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Wardrobe View" sheetId="4" state="visible" r:id="rId4"/>
    <sheet xmlns:r="http://schemas.openxmlformats.org/officeDocument/2006/relationships" name="Dashboard" sheetId="5" state="visible" r:id="rId5"/>
  </sheets>
  <definedNames>
    <definedName name="Wardrobes">'Lists'!$A$2:$A$9</definedName>
    <definedName name="Categories">'Lists'!$B$2:$B$33</definedName>
    <definedName name="Conditions">'Lists'!$C$2:$C$6</definedName>
    <definedName name="Sizes">'Lists'!$D$2:$D$88</definedName>
    <definedName name="Colors">'Lists'!$E$2:$E$39</definedName>
    <definedName name="ItemStatus">'Lists'!$F$2:$F$6</definedName>
    <definedName name="PurchaseStatus">'Lists'!$G$2:$G$4</definedName>
    <definedName name="Platforms">'Lists'!$H$2:$H$7</definedName>
    <definedName name="_xlnm._FilterDatabase" localSheetId="1" hidden="1">'Inventory'!$A$1:$V$1</definedName>
    <definedName name="_xlnm._FilterDatabase" localSheetId="2" hidden="1">'Transactions'!$A$1:$S$1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/d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Wardrobes</t>
        </is>
      </c>
      <c r="B1" s="1" t="inlineStr">
        <is>
          <t>Categories</t>
        </is>
      </c>
      <c r="C1" s="1" t="inlineStr">
        <is>
          <t>Conditions</t>
        </is>
      </c>
      <c r="D1" s="1" t="inlineStr">
        <is>
          <t>Sizes</t>
        </is>
      </c>
      <c r="E1" s="1" t="inlineStr">
        <is>
          <t>Colors</t>
        </is>
      </c>
      <c r="F1" s="1" t="inlineStr">
        <is>
          <t>Item Status</t>
        </is>
      </c>
      <c r="G1" s="1" t="inlineStr">
        <is>
          <t>Purchase Status</t>
        </is>
      </c>
      <c r="H1" s="1" t="inlineStr">
        <is>
          <t>Platforms</t>
        </is>
      </c>
    </row>
    <row r="2">
      <c r="A2" s="2" t="inlineStr">
        <is>
          <t>Everyday</t>
        </is>
      </c>
      <c r="B2" s="2" t="inlineStr">
        <is>
          <t>Top</t>
        </is>
      </c>
      <c r="C2" s="2" t="inlineStr">
        <is>
          <t>New</t>
        </is>
      </c>
      <c r="D2" s="2" t="inlineStr">
        <is>
          <t>XXS</t>
        </is>
      </c>
      <c r="E2" s="2" t="inlineStr">
        <is>
          <t>Black</t>
        </is>
      </c>
      <c r="F2" s="2" t="inlineStr">
        <is>
          <t>Available</t>
        </is>
      </c>
      <c r="G2" s="2" t="inlineStr">
        <is>
          <t>Purchased</t>
        </is>
      </c>
      <c r="H2" s="2" t="inlineStr">
        <is>
          <t>In-person</t>
        </is>
      </c>
    </row>
    <row r="3">
      <c r="A3" s="2" t="inlineStr">
        <is>
          <t>Work</t>
        </is>
      </c>
      <c r="B3" s="2" t="inlineStr">
        <is>
          <t>Bottom</t>
        </is>
      </c>
      <c r="C3" s="2" t="inlineStr">
        <is>
          <t>Like New</t>
        </is>
      </c>
      <c r="D3" s="2" t="inlineStr">
        <is>
          <t>XS</t>
        </is>
      </c>
      <c r="E3" s="2" t="inlineStr">
        <is>
          <t>White</t>
        </is>
      </c>
      <c r="F3" s="2" t="inlineStr">
        <is>
          <t>Rented</t>
        </is>
      </c>
      <c r="G3" s="2" t="inlineStr">
        <is>
          <t>Not purchased</t>
        </is>
      </c>
      <c r="H3" s="2" t="inlineStr">
        <is>
          <t>Venmo</t>
        </is>
      </c>
    </row>
    <row r="4">
      <c r="A4" s="2" t="inlineStr">
        <is>
          <t>Casual</t>
        </is>
      </c>
      <c r="B4" s="2" t="inlineStr">
        <is>
          <t>Outerwear</t>
        </is>
      </c>
      <c r="C4" s="2" t="inlineStr">
        <is>
          <t>Good</t>
        </is>
      </c>
      <c r="D4" s="2" t="inlineStr">
        <is>
          <t>S</t>
        </is>
      </c>
      <c r="E4" s="2" t="inlineStr">
        <is>
          <t>Gray</t>
        </is>
      </c>
      <c r="F4" s="2" t="inlineStr">
        <is>
          <t>Cleaning</t>
        </is>
      </c>
      <c r="G4" s="2" t="inlineStr">
        <is>
          <t>Pending purchase</t>
        </is>
      </c>
      <c r="H4" s="2" t="inlineStr">
        <is>
          <t>Cash</t>
        </is>
      </c>
    </row>
    <row r="5">
      <c r="A5" s="2" t="inlineStr">
        <is>
          <t>Formal</t>
        </is>
      </c>
      <c r="B5" s="2" t="inlineStr">
        <is>
          <t>Jacket</t>
        </is>
      </c>
      <c r="C5" s="2" t="inlineStr">
        <is>
          <t>Fair</t>
        </is>
      </c>
      <c r="D5" s="2" t="inlineStr">
        <is>
          <t>M</t>
        </is>
      </c>
      <c r="E5" s="2" t="inlineStr">
        <is>
          <t>Brown</t>
        </is>
      </c>
      <c r="F5" s="2" t="inlineStr">
        <is>
          <t>Repair</t>
        </is>
      </c>
      <c r="H5" s="2" t="inlineStr">
        <is>
          <t>Zelle</t>
        </is>
      </c>
    </row>
    <row r="6">
      <c r="A6" s="2" t="inlineStr">
        <is>
          <t>Night Out</t>
        </is>
      </c>
      <c r="B6" s="2" t="inlineStr">
        <is>
          <t>Coat</t>
        </is>
      </c>
      <c r="C6" s="2" t="inlineStr">
        <is>
          <t>Needs Repair</t>
        </is>
      </c>
      <c r="D6" s="2" t="inlineStr">
        <is>
          <t>L</t>
        </is>
      </c>
      <c r="E6" s="2" t="inlineStr">
        <is>
          <t>Blue</t>
        </is>
      </c>
      <c r="F6" s="2" t="inlineStr">
        <is>
          <t>Retired</t>
        </is>
      </c>
      <c r="H6" s="2" t="inlineStr">
        <is>
          <t>PayPal</t>
        </is>
      </c>
    </row>
    <row r="7">
      <c r="A7" s="2" t="inlineStr">
        <is>
          <t>Vacation</t>
        </is>
      </c>
      <c r="B7" s="2" t="inlineStr">
        <is>
          <t>Hoodie</t>
        </is>
      </c>
      <c r="D7" s="2" t="inlineStr">
        <is>
          <t>XL</t>
        </is>
      </c>
      <c r="E7" s="2" t="inlineStr">
        <is>
          <t>Navy</t>
        </is>
      </c>
      <c r="H7" s="2" t="inlineStr">
        <is>
          <t>Other</t>
        </is>
      </c>
    </row>
    <row r="8">
      <c r="A8" s="2" t="inlineStr">
        <is>
          <t>Active</t>
        </is>
      </c>
      <c r="B8" s="2" t="inlineStr">
        <is>
          <t>Sweater</t>
        </is>
      </c>
      <c r="D8" s="2" t="inlineStr">
        <is>
          <t>XXL</t>
        </is>
      </c>
      <c r="E8" s="2" t="inlineStr">
        <is>
          <t>Green</t>
        </is>
      </c>
    </row>
    <row r="9">
      <c r="A9" s="2" t="inlineStr">
        <is>
          <t>Seasonal</t>
        </is>
      </c>
      <c r="B9" s="2" t="inlineStr">
        <is>
          <t>T-Shirt</t>
        </is>
      </c>
      <c r="D9" s="2" t="inlineStr">
        <is>
          <t>XXXL</t>
        </is>
      </c>
      <c r="E9" s="2" t="inlineStr">
        <is>
          <t>Red</t>
        </is>
      </c>
    </row>
    <row r="10">
      <c r="B10" s="2" t="inlineStr">
        <is>
          <t>Shirt</t>
        </is>
      </c>
      <c r="D10" s="2" t="inlineStr">
        <is>
          <t>One Size</t>
        </is>
      </c>
      <c r="E10" s="2" t="inlineStr">
        <is>
          <t>Pink</t>
        </is>
      </c>
    </row>
    <row r="11">
      <c r="B11" s="2" t="inlineStr">
        <is>
          <t>Polo</t>
        </is>
      </c>
      <c r="D11" s="2" t="inlineStr">
        <is>
          <t>00</t>
        </is>
      </c>
      <c r="E11" s="2" t="inlineStr">
        <is>
          <t>Purple</t>
        </is>
      </c>
    </row>
    <row r="12">
      <c r="B12" s="2" t="inlineStr">
        <is>
          <t>Dress</t>
        </is>
      </c>
      <c r="D12" s="2" t="inlineStr">
        <is>
          <t>0</t>
        </is>
      </c>
      <c r="E12" s="2" t="inlineStr">
        <is>
          <t>Yellow</t>
        </is>
      </c>
    </row>
    <row r="13">
      <c r="B13" s="2" t="inlineStr">
        <is>
          <t>Suit</t>
        </is>
      </c>
      <c r="D13" s="2" t="inlineStr">
        <is>
          <t>2</t>
        </is>
      </c>
      <c r="E13" s="2" t="inlineStr">
        <is>
          <t>Orange</t>
        </is>
      </c>
    </row>
    <row r="14">
      <c r="B14" s="2" t="inlineStr">
        <is>
          <t>Blazer</t>
        </is>
      </c>
      <c r="D14" s="2" t="inlineStr">
        <is>
          <t>4</t>
        </is>
      </c>
      <c r="E14" s="2" t="inlineStr">
        <is>
          <t>Beige</t>
        </is>
      </c>
    </row>
    <row r="15">
      <c r="B15" s="2" t="inlineStr">
        <is>
          <t>Set</t>
        </is>
      </c>
      <c r="D15" s="2" t="inlineStr">
        <is>
          <t>6</t>
        </is>
      </c>
      <c r="E15" s="2" t="inlineStr">
        <is>
          <t>Tan</t>
        </is>
      </c>
    </row>
    <row r="16">
      <c r="B16" s="2" t="inlineStr">
        <is>
          <t>Activewear</t>
        </is>
      </c>
      <c r="D16" s="2" t="inlineStr">
        <is>
          <t>8</t>
        </is>
      </c>
      <c r="E16" s="2" t="inlineStr">
        <is>
          <t>Cream</t>
        </is>
      </c>
    </row>
    <row r="17">
      <c r="B17" s="2" t="inlineStr">
        <is>
          <t>Loungewear</t>
        </is>
      </c>
      <c r="D17" s="2" t="inlineStr">
        <is>
          <t>10</t>
        </is>
      </c>
      <c r="E17" s="2" t="inlineStr">
        <is>
          <t>Off-White</t>
        </is>
      </c>
    </row>
    <row r="18">
      <c r="B18" s="2" t="inlineStr">
        <is>
          <t>Sleepwear</t>
        </is>
      </c>
      <c r="D18" s="2" t="inlineStr">
        <is>
          <t>12</t>
        </is>
      </c>
      <c r="E18" s="2" t="inlineStr">
        <is>
          <t>Charcoal</t>
        </is>
      </c>
    </row>
    <row r="19">
      <c r="B19" s="2" t="inlineStr">
        <is>
          <t>Shoes</t>
        </is>
      </c>
      <c r="D19" s="2" t="inlineStr">
        <is>
          <t>14</t>
        </is>
      </c>
      <c r="E19" s="2" t="inlineStr">
        <is>
          <t>Chocolate</t>
        </is>
      </c>
    </row>
    <row r="20">
      <c r="B20" s="2" t="inlineStr">
        <is>
          <t>Sneakers</t>
        </is>
      </c>
      <c r="D20" s="2" t="inlineStr">
        <is>
          <t>16</t>
        </is>
      </c>
      <c r="E20" s="2" t="inlineStr">
        <is>
          <t>Silver</t>
        </is>
      </c>
    </row>
    <row r="21">
      <c r="B21" s="2" t="inlineStr">
        <is>
          <t>Boots</t>
        </is>
      </c>
      <c r="D21" s="2" t="inlineStr">
        <is>
          <t>18</t>
        </is>
      </c>
      <c r="E21" s="2" t="inlineStr">
        <is>
          <t>Light Blue</t>
        </is>
      </c>
    </row>
    <row r="22">
      <c r="B22" s="2" t="inlineStr">
        <is>
          <t>Loafers</t>
        </is>
      </c>
      <c r="D22" s="2" t="inlineStr">
        <is>
          <t>20</t>
        </is>
      </c>
      <c r="E22" s="2" t="inlineStr">
        <is>
          <t>Royal Blue</t>
        </is>
      </c>
    </row>
    <row r="23">
      <c r="B23" s="2" t="inlineStr">
        <is>
          <t>Dress Shoes</t>
        </is>
      </c>
      <c r="D23" s="2" t="inlineStr">
        <is>
          <t>22</t>
        </is>
      </c>
      <c r="E23" s="2" t="inlineStr">
        <is>
          <t>Teal</t>
        </is>
      </c>
    </row>
    <row r="24">
      <c r="B24" s="2" t="inlineStr">
        <is>
          <t>Sandals</t>
        </is>
      </c>
      <c r="D24" s="2" t="inlineStr">
        <is>
          <t>24</t>
        </is>
      </c>
      <c r="E24" s="2" t="inlineStr">
        <is>
          <t>Turquoise</t>
        </is>
      </c>
    </row>
    <row r="25">
      <c r="B25" s="2" t="inlineStr">
        <is>
          <t>Accessory</t>
        </is>
      </c>
      <c r="D25" s="2" t="inlineStr">
        <is>
          <t>25</t>
        </is>
      </c>
      <c r="E25" s="2" t="inlineStr">
        <is>
          <t>Olive</t>
        </is>
      </c>
    </row>
    <row r="26">
      <c r="B26" s="2" t="inlineStr">
        <is>
          <t>Bag</t>
        </is>
      </c>
      <c r="D26" s="2" t="inlineStr">
        <is>
          <t>26</t>
        </is>
      </c>
      <c r="E26" s="2" t="inlineStr">
        <is>
          <t>Forest Green</t>
        </is>
      </c>
    </row>
    <row r="27">
      <c r="B27" s="2" t="inlineStr">
        <is>
          <t>Belt</t>
        </is>
      </c>
      <c r="D27" s="2" t="inlineStr">
        <is>
          <t>27</t>
        </is>
      </c>
      <c r="E27" s="2" t="inlineStr">
        <is>
          <t>Sage</t>
        </is>
      </c>
    </row>
    <row r="28">
      <c r="B28" s="2" t="inlineStr">
        <is>
          <t>Hat</t>
        </is>
      </c>
      <c r="D28" s="2" t="inlineStr">
        <is>
          <t>28</t>
        </is>
      </c>
      <c r="E28" s="2" t="inlineStr">
        <is>
          <t>Mustard</t>
        </is>
      </c>
    </row>
    <row r="29">
      <c r="B29" s="2" t="inlineStr">
        <is>
          <t>Jewelry</t>
        </is>
      </c>
      <c r="D29" s="2" t="inlineStr">
        <is>
          <t>29</t>
        </is>
      </c>
      <c r="E29" s="2" t="inlineStr">
        <is>
          <t>Rust</t>
        </is>
      </c>
    </row>
    <row r="30">
      <c r="B30" s="2" t="inlineStr">
        <is>
          <t>Watch</t>
        </is>
      </c>
      <c r="D30" s="2" t="inlineStr">
        <is>
          <t>30</t>
        </is>
      </c>
      <c r="E30" s="2" t="inlineStr">
        <is>
          <t>Burgundy</t>
        </is>
      </c>
    </row>
    <row r="31">
      <c r="B31" s="2" t="inlineStr">
        <is>
          <t>Sunglasses</t>
        </is>
      </c>
      <c r="D31" s="2" t="inlineStr">
        <is>
          <t>31</t>
        </is>
      </c>
      <c r="E31" s="2" t="inlineStr">
        <is>
          <t>Maroon</t>
        </is>
      </c>
    </row>
    <row r="32">
      <c r="B32" s="2" t="inlineStr">
        <is>
          <t>Scarf</t>
        </is>
      </c>
      <c r="D32" s="2" t="inlineStr">
        <is>
          <t>32</t>
        </is>
      </c>
      <c r="E32" s="2" t="inlineStr">
        <is>
          <t>Blush</t>
        </is>
      </c>
    </row>
    <row r="33">
      <c r="B33" s="2" t="inlineStr">
        <is>
          <t>Tie</t>
        </is>
      </c>
      <c r="D33" s="2" t="inlineStr">
        <is>
          <t>33</t>
        </is>
      </c>
      <c r="E33" s="2" t="inlineStr">
        <is>
          <t>Hot Pink</t>
        </is>
      </c>
    </row>
    <row r="34">
      <c r="D34" s="2" t="inlineStr">
        <is>
          <t>34</t>
        </is>
      </c>
      <c r="E34" s="2" t="inlineStr">
        <is>
          <t>Lavender</t>
        </is>
      </c>
    </row>
    <row r="35">
      <c r="D35" s="2" t="inlineStr">
        <is>
          <t>35</t>
        </is>
      </c>
      <c r="E35" s="2" t="inlineStr">
        <is>
          <t>Gold</t>
        </is>
      </c>
    </row>
    <row r="36">
      <c r="D36" s="2" t="inlineStr">
        <is>
          <t>36</t>
        </is>
      </c>
      <c r="E36" s="2" t="inlineStr">
        <is>
          <t>Multicolor</t>
        </is>
      </c>
    </row>
    <row r="37">
      <c r="D37" s="2" t="inlineStr">
        <is>
          <t>38</t>
        </is>
      </c>
      <c r="E37" s="2" t="inlineStr">
        <is>
          <t>Patterned</t>
        </is>
      </c>
    </row>
    <row r="38">
      <c r="D38" s="2" t="inlineStr">
        <is>
          <t>40</t>
        </is>
      </c>
      <c r="E38" s="2" t="inlineStr">
        <is>
          <t>Denim</t>
        </is>
      </c>
    </row>
    <row r="39">
      <c r="D39" s="2" t="inlineStr">
        <is>
          <t>42</t>
        </is>
      </c>
      <c r="E39" s="2" t="inlineStr">
        <is>
          <t>Animal Print</t>
        </is>
      </c>
    </row>
    <row r="40">
      <c r="D40" s="2" t="inlineStr">
        <is>
          <t>44</t>
        </is>
      </c>
    </row>
    <row r="41">
      <c r="D41" s="2" t="inlineStr">
        <is>
          <t>46</t>
        </is>
      </c>
    </row>
    <row r="42">
      <c r="D42" s="2" t="inlineStr">
        <is>
          <t>48</t>
        </is>
      </c>
    </row>
    <row r="43">
      <c r="D43" s="2" t="inlineStr">
        <is>
          <t>50</t>
        </is>
      </c>
    </row>
    <row r="44">
      <c r="D44" s="2" t="inlineStr">
        <is>
          <t>52</t>
        </is>
      </c>
    </row>
    <row r="45">
      <c r="D45" s="2" t="inlineStr">
        <is>
          <t>54</t>
        </is>
      </c>
    </row>
    <row r="46">
      <c r="D46" s="2" t="inlineStr">
        <is>
          <t>56</t>
        </is>
      </c>
    </row>
    <row r="47">
      <c r="D47" s="2" t="inlineStr">
        <is>
          <t>58</t>
        </is>
      </c>
    </row>
    <row r="48">
      <c r="D48" s="2" t="inlineStr">
        <is>
          <t>60</t>
        </is>
      </c>
    </row>
    <row r="49">
      <c r="D49" s="2" t="inlineStr">
        <is>
          <t>28x30</t>
        </is>
      </c>
    </row>
    <row r="50">
      <c r="D50" s="2" t="inlineStr">
        <is>
          <t>28x32</t>
        </is>
      </c>
    </row>
    <row r="51">
      <c r="D51" s="2" t="inlineStr">
        <is>
          <t>30x30</t>
        </is>
      </c>
    </row>
    <row r="52">
      <c r="D52" s="2" t="inlineStr">
        <is>
          <t>30x32</t>
        </is>
      </c>
    </row>
    <row r="53">
      <c r="D53" s="2" t="inlineStr">
        <is>
          <t>30x34</t>
        </is>
      </c>
    </row>
    <row r="54">
      <c r="D54" s="2" t="inlineStr">
        <is>
          <t>32x30</t>
        </is>
      </c>
    </row>
    <row r="55">
      <c r="D55" s="2" t="inlineStr">
        <is>
          <t>32x32</t>
        </is>
      </c>
    </row>
    <row r="56">
      <c r="D56" s="2" t="inlineStr">
        <is>
          <t>32x34</t>
        </is>
      </c>
    </row>
    <row r="57">
      <c r="D57" s="2" t="inlineStr">
        <is>
          <t>34x30</t>
        </is>
      </c>
    </row>
    <row r="58">
      <c r="D58" s="2" t="inlineStr">
        <is>
          <t>34x32</t>
        </is>
      </c>
    </row>
    <row r="59">
      <c r="D59" s="2" t="inlineStr">
        <is>
          <t>34x34</t>
        </is>
      </c>
    </row>
    <row r="60">
      <c r="D60" s="2" t="inlineStr">
        <is>
          <t>36x30</t>
        </is>
      </c>
    </row>
    <row r="61">
      <c r="D61" s="2" t="inlineStr">
        <is>
          <t>36x32</t>
        </is>
      </c>
    </row>
    <row r="62">
      <c r="D62" s="2" t="inlineStr">
        <is>
          <t>36x34</t>
        </is>
      </c>
    </row>
    <row r="63">
      <c r="D63" s="2" t="inlineStr">
        <is>
          <t>38x30</t>
        </is>
      </c>
    </row>
    <row r="64">
      <c r="D64" s="2" t="inlineStr">
        <is>
          <t>38x32</t>
        </is>
      </c>
    </row>
    <row r="65">
      <c r="D65" s="2" t="inlineStr">
        <is>
          <t>38x34</t>
        </is>
      </c>
    </row>
    <row r="66">
      <c r="D66" s="2" t="inlineStr">
        <is>
          <t>3</t>
        </is>
      </c>
    </row>
    <row r="67">
      <c r="D67" s="2" t="inlineStr">
        <is>
          <t>3.5</t>
        </is>
      </c>
    </row>
    <row r="68">
      <c r="D68" s="2" t="inlineStr">
        <is>
          <t>4</t>
        </is>
      </c>
    </row>
    <row r="69">
      <c r="D69" s="2" t="inlineStr">
        <is>
          <t>4.5</t>
        </is>
      </c>
    </row>
    <row r="70">
      <c r="D70" s="2" t="inlineStr">
        <is>
          <t>5</t>
        </is>
      </c>
    </row>
    <row r="71">
      <c r="D71" s="2" t="inlineStr">
        <is>
          <t>5.5</t>
        </is>
      </c>
    </row>
    <row r="72">
      <c r="D72" s="2" t="inlineStr">
        <is>
          <t>6</t>
        </is>
      </c>
    </row>
    <row r="73">
      <c r="D73" s="2" t="inlineStr">
        <is>
          <t>6.5</t>
        </is>
      </c>
    </row>
    <row r="74">
      <c r="D74" s="2" t="inlineStr">
        <is>
          <t>7</t>
        </is>
      </c>
    </row>
    <row r="75">
      <c r="D75" s="2" t="inlineStr">
        <is>
          <t>7.5</t>
        </is>
      </c>
    </row>
    <row r="76">
      <c r="D76" s="2" t="inlineStr">
        <is>
          <t>8</t>
        </is>
      </c>
    </row>
    <row r="77">
      <c r="D77" s="2" t="inlineStr">
        <is>
          <t>8.5</t>
        </is>
      </c>
    </row>
    <row r="78">
      <c r="D78" s="2" t="inlineStr">
        <is>
          <t>9</t>
        </is>
      </c>
    </row>
    <row r="79">
      <c r="D79" s="2" t="inlineStr">
        <is>
          <t>9.5</t>
        </is>
      </c>
    </row>
    <row r="80">
      <c r="D80" s="2" t="inlineStr">
        <is>
          <t>10</t>
        </is>
      </c>
    </row>
    <row r="81">
      <c r="D81" s="2" t="inlineStr">
        <is>
          <t>10.5</t>
        </is>
      </c>
    </row>
    <row r="82">
      <c r="D82" s="2" t="inlineStr">
        <is>
          <t>11</t>
        </is>
      </c>
    </row>
    <row r="83">
      <c r="D83" s="2" t="inlineStr">
        <is>
          <t>11.5</t>
        </is>
      </c>
    </row>
    <row r="84">
      <c r="D84" s="2" t="inlineStr">
        <is>
          <t>12</t>
        </is>
      </c>
    </row>
    <row r="85">
      <c r="D85" s="2" t="inlineStr">
        <is>
          <t>12.5</t>
        </is>
      </c>
    </row>
    <row r="86">
      <c r="D86" s="2" t="inlineStr">
        <is>
          <t>13</t>
        </is>
      </c>
    </row>
    <row r="87">
      <c r="D87" s="2" t="inlineStr">
        <is>
          <t>14</t>
        </is>
      </c>
    </row>
    <row r="88">
      <c r="D88" s="2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4" customWidth="1" min="4" max="4"/>
    <col width="28" customWidth="1" min="5" max="5"/>
    <col width="10" customWidth="1" min="6" max="6"/>
    <col width="30" customWidth="1" min="7" max="7"/>
    <col width="16" customWidth="1" min="8" max="8"/>
    <col width="14" customWidth="1" min="9" max="9"/>
    <col width="14" customWidth="1" min="10" max="10"/>
    <col width="12" customWidth="1" min="11" max="11"/>
    <col width="14" customWidth="1" min="12" max="12"/>
    <col width="16" customWidth="1" min="13" max="13"/>
    <col width="16" customWidth="1" min="14" max="14"/>
    <col width="12" customWidth="1" min="15" max="15"/>
    <col width="12" customWidth="1" min="16" max="16"/>
    <col width="16" customWidth="1" min="17" max="17"/>
    <col width="12" customWidth="1" min="18" max="18"/>
    <col width="18" customWidth="1" min="19" max="19"/>
    <col width="14" customWidth="1" min="20" max="20"/>
    <col width="18" customWidth="1" min="21" max="21"/>
    <col width="24" customWidth="1" min="22" max="22"/>
  </cols>
  <sheetData>
    <row r="1">
      <c r="A1" s="1" t="inlineStr">
        <is>
          <t>Item ID</t>
        </is>
      </c>
      <c r="B1" s="1" t="inlineStr">
        <is>
          <t>Wardrobe Name</t>
        </is>
      </c>
      <c r="C1" s="1" t="inlineStr">
        <is>
          <t>Item Name</t>
        </is>
      </c>
      <c r="D1" s="1" t="inlineStr">
        <is>
          <t>Category</t>
        </is>
      </c>
      <c r="E1" s="1" t="inlineStr">
        <is>
          <t>Image URL</t>
        </is>
      </c>
      <c r="F1" s="1" t="inlineStr">
        <is>
          <t>Image</t>
        </is>
      </c>
      <c r="G1" s="1" t="inlineStr">
        <is>
          <t>Item Link</t>
        </is>
      </c>
      <c r="H1" s="1" t="inlineStr">
        <is>
          <t>Cost of Item ($)</t>
        </is>
      </c>
      <c r="I1" s="1" t="inlineStr">
        <is>
          <t>Rental Fee ($)</t>
        </is>
      </c>
      <c r="J1" s="1" t="inlineStr">
        <is>
          <t>Condition</t>
        </is>
      </c>
      <c r="K1" s="1" t="inlineStr">
        <is>
          <t>Size</t>
        </is>
      </c>
      <c r="L1" s="1" t="inlineStr">
        <is>
          <t>Color</t>
        </is>
      </c>
      <c r="M1" s="1" t="inlineStr">
        <is>
          <t>Brand</t>
        </is>
      </c>
      <c r="N1" s="1" t="inlineStr">
        <is>
          <t>Purchase Status</t>
        </is>
      </c>
      <c r="O1" s="1" t="inlineStr">
        <is>
          <t>Status</t>
        </is>
      </c>
      <c r="P1" s="1" t="inlineStr">
        <is>
          <t>Date Added</t>
        </is>
      </c>
      <c r="Q1" s="1" t="inlineStr">
        <is>
          <t>Extra Costs ($)</t>
        </is>
      </c>
      <c r="R1" s="1" t="inlineStr">
        <is>
          <t>Times Rented</t>
        </is>
      </c>
      <c r="S1" s="1" t="inlineStr">
        <is>
          <t>Total Revenue ($)</t>
        </is>
      </c>
      <c r="T1" s="1" t="inlineStr">
        <is>
          <t>Profit ($)</t>
        </is>
      </c>
      <c r="U1" s="1" t="inlineStr">
        <is>
          <t>Break-even Rentals</t>
        </is>
      </c>
      <c r="V1" s="1" t="inlineStr">
        <is>
          <t>Notes</t>
        </is>
      </c>
    </row>
    <row r="2" ht="60" customHeight="1">
      <c r="A2" t="inlineStr">
        <is>
          <t>W001</t>
        </is>
      </c>
      <c r="B2" s="3" t="inlineStr">
        <is>
          <t>Work</t>
        </is>
      </c>
      <c r="C2" s="3" t="inlineStr">
        <is>
          <t>Black Blazer</t>
        </is>
      </c>
      <c r="D2" s="3" t="inlineStr">
        <is>
          <t>Jacket</t>
        </is>
      </c>
      <c r="E2" s="3" t="n"/>
      <c r="F2">
        <f>IF(E2="","",IMAGE(E2))</f>
        <v/>
      </c>
      <c r="G2" s="3" t="n"/>
      <c r="H2" s="4" t="n">
        <v>120</v>
      </c>
      <c r="I2" s="4" t="n">
        <v>25</v>
      </c>
      <c r="J2" s="3" t="inlineStr">
        <is>
          <t>Like New</t>
        </is>
      </c>
      <c r="K2" s="3" t="inlineStr">
        <is>
          <t>M</t>
        </is>
      </c>
      <c r="L2" s="3" t="inlineStr">
        <is>
          <t>Black</t>
        </is>
      </c>
      <c r="M2" s="3" t="inlineStr">
        <is>
          <t>Zara</t>
        </is>
      </c>
      <c r="N2" s="3" t="inlineStr">
        <is>
          <t>Purchased</t>
        </is>
      </c>
      <c r="O2" s="3" t="inlineStr">
        <is>
          <t>Available</t>
        </is>
      </c>
      <c r="P2" s="5" t="n">
        <v>46012</v>
      </c>
      <c r="Q2" s="4" t="n">
        <v>0</v>
      </c>
      <c r="R2" s="6">
        <f>IF($C2="","",COUNTIF(Transactions!$C:$C,$A2))</f>
        <v/>
      </c>
      <c r="S2" s="7">
        <f>IF($C2="","",SUMIF(Transactions!$C:$C,$A2,Transactions!$R:$R))</f>
        <v/>
      </c>
      <c r="T2" s="7">
        <f>IF($C2="","",$S2-IF($N2="Purchased",$H2,0)-$Q2)</f>
        <v/>
      </c>
      <c r="U2" s="6">
        <f>IF(OR($C2="",$I2=0),"",CEILING((IF($N2="Purchased",$H2,0)+$Q2)/$I2,1))</f>
        <v/>
      </c>
      <c r="V2" s="3" t="n"/>
    </row>
    <row r="3">
      <c r="A3" t="inlineStr">
        <is>
          <t>W002</t>
        </is>
      </c>
      <c r="B3" s="3" t="n"/>
      <c r="C3" s="3" t="n"/>
      <c r="D3" s="3" t="n"/>
      <c r="E3" s="3" t="n"/>
      <c r="F3">
        <f>IF(E3="","",IMAGE(E3))</f>
        <v/>
      </c>
      <c r="G3" s="3" t="n"/>
      <c r="H3" s="4" t="n"/>
      <c r="I3" s="4" t="n"/>
      <c r="J3" s="3" t="n"/>
      <c r="K3" s="3" t="n"/>
      <c r="L3" s="3" t="n"/>
      <c r="M3" s="3" t="n"/>
      <c r="N3" s="3" t="n"/>
      <c r="O3" s="3" t="n"/>
      <c r="P3" s="5" t="n"/>
      <c r="Q3" s="4" t="n"/>
      <c r="R3" s="6">
        <f>IF($C3="","",COUNTIF(Transactions!$C:$C,$A3))</f>
        <v/>
      </c>
      <c r="S3" s="7">
        <f>IF($C3="","",SUMIF(Transactions!$C:$C,$A3,Transactions!$R:$R))</f>
        <v/>
      </c>
      <c r="T3" s="7">
        <f>IF($C3="","",$S3-IF($N3="Purchased",$H3,0)-$Q3)</f>
        <v/>
      </c>
      <c r="U3" s="6">
        <f>IF(OR($C3="",$I3=0),"",CEILING((IF($N3="Purchased",$H3,0)+$Q3)/$I3,1))</f>
        <v/>
      </c>
      <c r="V3" s="3" t="n"/>
    </row>
    <row r="4">
      <c r="A4" t="inlineStr">
        <is>
          <t>W003</t>
        </is>
      </c>
      <c r="B4" s="3" t="n"/>
      <c r="C4" s="3" t="n"/>
      <c r="D4" s="3" t="n"/>
      <c r="E4" s="3" t="n"/>
      <c r="F4">
        <f>IF(E4="","",IMAGE(E4))</f>
        <v/>
      </c>
      <c r="G4" s="3" t="n"/>
      <c r="H4" s="4" t="n"/>
      <c r="I4" s="4" t="n"/>
      <c r="J4" s="3" t="n"/>
      <c r="K4" s="3" t="n"/>
      <c r="L4" s="3" t="n"/>
      <c r="M4" s="3" t="n"/>
      <c r="N4" s="3" t="n"/>
      <c r="O4" s="3" t="n"/>
      <c r="P4" s="5" t="n"/>
      <c r="Q4" s="4" t="n"/>
      <c r="R4" s="6">
        <f>IF($C4="","",COUNTIF(Transactions!$C:$C,$A4))</f>
        <v/>
      </c>
      <c r="S4" s="7">
        <f>IF($C4="","",SUMIF(Transactions!$C:$C,$A4,Transactions!$R:$R))</f>
        <v/>
      </c>
      <c r="T4" s="7">
        <f>IF($C4="","",$S4-IF($N4="Purchased",$H4,0)-$Q4)</f>
        <v/>
      </c>
      <c r="U4" s="6">
        <f>IF(OR($C4="",$I4=0),"",CEILING((IF($N4="Purchased",$H4,0)+$Q4)/$I4,1))</f>
        <v/>
      </c>
      <c r="V4" s="3" t="n"/>
    </row>
    <row r="5">
      <c r="A5" t="inlineStr">
        <is>
          <t>W004</t>
        </is>
      </c>
      <c r="B5" s="3" t="n"/>
      <c r="C5" s="3" t="n"/>
      <c r="D5" s="3" t="n"/>
      <c r="E5" s="3" t="n"/>
      <c r="F5">
        <f>IF(E5="","",IMAGE(E5))</f>
        <v/>
      </c>
      <c r="G5" s="3" t="n"/>
      <c r="H5" s="4" t="n"/>
      <c r="I5" s="4" t="n"/>
      <c r="J5" s="3" t="n"/>
      <c r="K5" s="3" t="n"/>
      <c r="L5" s="3" t="n"/>
      <c r="M5" s="3" t="n"/>
      <c r="N5" s="3" t="n"/>
      <c r="O5" s="3" t="n"/>
      <c r="P5" s="5" t="n"/>
      <c r="Q5" s="4" t="n"/>
      <c r="R5" s="6">
        <f>IF($C5="","",COUNTIF(Transactions!$C:$C,$A5))</f>
        <v/>
      </c>
      <c r="S5" s="7">
        <f>IF($C5="","",SUMIF(Transactions!$C:$C,$A5,Transactions!$R:$R))</f>
        <v/>
      </c>
      <c r="T5" s="7">
        <f>IF($C5="","",$S5-IF($N5="Purchased",$H5,0)-$Q5)</f>
        <v/>
      </c>
      <c r="U5" s="6">
        <f>IF(OR($C5="",$I5=0),"",CEILING((IF($N5="Purchased",$H5,0)+$Q5)/$I5,1))</f>
        <v/>
      </c>
      <c r="V5" s="3" t="n"/>
    </row>
    <row r="6">
      <c r="A6" t="inlineStr">
        <is>
          <t>W005</t>
        </is>
      </c>
      <c r="B6" s="3" t="n"/>
      <c r="C6" s="3" t="n"/>
      <c r="D6" s="3" t="n"/>
      <c r="E6" s="3" t="n"/>
      <c r="F6">
        <f>IF(E6="","",IMAGE(E6))</f>
        <v/>
      </c>
      <c r="G6" s="3" t="n"/>
      <c r="H6" s="4" t="n"/>
      <c r="I6" s="4" t="n"/>
      <c r="J6" s="3" t="n"/>
      <c r="K6" s="3" t="n"/>
      <c r="L6" s="3" t="n"/>
      <c r="M6" s="3" t="n"/>
      <c r="N6" s="3" t="n"/>
      <c r="O6" s="3" t="n"/>
      <c r="P6" s="5" t="n"/>
      <c r="Q6" s="4" t="n"/>
      <c r="R6" s="6">
        <f>IF($C6="","",COUNTIF(Transactions!$C:$C,$A6))</f>
        <v/>
      </c>
      <c r="S6" s="7">
        <f>IF($C6="","",SUMIF(Transactions!$C:$C,$A6,Transactions!$R:$R))</f>
        <v/>
      </c>
      <c r="T6" s="7">
        <f>IF($C6="","",$S6-IF($N6="Purchased",$H6,0)-$Q6)</f>
        <v/>
      </c>
      <c r="U6" s="6">
        <f>IF(OR($C6="",$I6=0),"",CEILING((IF($N6="Purchased",$H6,0)+$Q6)/$I6,1))</f>
        <v/>
      </c>
      <c r="V6" s="3" t="n"/>
    </row>
    <row r="7">
      <c r="A7" t="inlineStr">
        <is>
          <t>W006</t>
        </is>
      </c>
      <c r="B7" s="3" t="n"/>
      <c r="C7" s="3" t="n"/>
      <c r="D7" s="3" t="n"/>
      <c r="E7" s="3" t="n"/>
      <c r="F7">
        <f>IF(E7="","",IMAGE(E7))</f>
        <v/>
      </c>
      <c r="G7" s="3" t="n"/>
      <c r="H7" s="4" t="n"/>
      <c r="I7" s="4" t="n"/>
      <c r="J7" s="3" t="n"/>
      <c r="K7" s="3" t="n"/>
      <c r="L7" s="3" t="n"/>
      <c r="M7" s="3" t="n"/>
      <c r="N7" s="3" t="n"/>
      <c r="O7" s="3" t="n"/>
      <c r="P7" s="5" t="n"/>
      <c r="Q7" s="4" t="n"/>
      <c r="R7" s="6">
        <f>IF($C7="","",COUNTIF(Transactions!$C:$C,$A7))</f>
        <v/>
      </c>
      <c r="S7" s="7">
        <f>IF($C7="","",SUMIF(Transactions!$C:$C,$A7,Transactions!$R:$R))</f>
        <v/>
      </c>
      <c r="T7" s="7">
        <f>IF($C7="","",$S7-IF($N7="Purchased",$H7,0)-$Q7)</f>
        <v/>
      </c>
      <c r="U7" s="6">
        <f>IF(OR($C7="",$I7=0),"",CEILING((IF($N7="Purchased",$H7,0)+$Q7)/$I7,1))</f>
        <v/>
      </c>
      <c r="V7" s="3" t="n"/>
    </row>
    <row r="8">
      <c r="A8" t="inlineStr">
        <is>
          <t>W007</t>
        </is>
      </c>
      <c r="B8" s="3" t="n"/>
      <c r="C8" s="3" t="n"/>
      <c r="D8" s="3" t="n"/>
      <c r="E8" s="3" t="n"/>
      <c r="F8">
        <f>IF(E8="","",IMAGE(E8))</f>
        <v/>
      </c>
      <c r="G8" s="3" t="n"/>
      <c r="H8" s="4" t="n"/>
      <c r="I8" s="4" t="n"/>
      <c r="J8" s="3" t="n"/>
      <c r="K8" s="3" t="n"/>
      <c r="L8" s="3" t="n"/>
      <c r="M8" s="3" t="n"/>
      <c r="N8" s="3" t="n"/>
      <c r="O8" s="3" t="n"/>
      <c r="P8" s="5" t="n"/>
      <c r="Q8" s="4" t="n"/>
      <c r="R8" s="6">
        <f>IF($C8="","",COUNTIF(Transactions!$C:$C,$A8))</f>
        <v/>
      </c>
      <c r="S8" s="7">
        <f>IF($C8="","",SUMIF(Transactions!$C:$C,$A8,Transactions!$R:$R))</f>
        <v/>
      </c>
      <c r="T8" s="7">
        <f>IF($C8="","",$S8-IF($N8="Purchased",$H8,0)-$Q8)</f>
        <v/>
      </c>
      <c r="U8" s="6">
        <f>IF(OR($C8="",$I8=0),"",CEILING((IF($N8="Purchased",$H8,0)+$Q8)/$I8,1))</f>
        <v/>
      </c>
      <c r="V8" s="3" t="n"/>
    </row>
    <row r="9">
      <c r="A9" t="inlineStr">
        <is>
          <t>W008</t>
        </is>
      </c>
      <c r="B9" s="3" t="n"/>
      <c r="C9" s="3" t="n"/>
      <c r="D9" s="3" t="n"/>
      <c r="E9" s="3" t="n"/>
      <c r="F9">
        <f>IF(E9="","",IMAGE(E9))</f>
        <v/>
      </c>
      <c r="G9" s="3" t="n"/>
      <c r="H9" s="4" t="n"/>
      <c r="I9" s="4" t="n"/>
      <c r="J9" s="3" t="n"/>
      <c r="K9" s="3" t="n"/>
      <c r="L9" s="3" t="n"/>
      <c r="M9" s="3" t="n"/>
      <c r="N9" s="3" t="n"/>
      <c r="O9" s="3" t="n"/>
      <c r="P9" s="5" t="n"/>
      <c r="Q9" s="4" t="n"/>
      <c r="R9" s="6">
        <f>IF($C9="","",COUNTIF(Transactions!$C:$C,$A9))</f>
        <v/>
      </c>
      <c r="S9" s="7">
        <f>IF($C9="","",SUMIF(Transactions!$C:$C,$A9,Transactions!$R:$R))</f>
        <v/>
      </c>
      <c r="T9" s="7">
        <f>IF($C9="","",$S9-IF($N9="Purchased",$H9,0)-$Q9)</f>
        <v/>
      </c>
      <c r="U9" s="6">
        <f>IF(OR($C9="",$I9=0),"",CEILING((IF($N9="Purchased",$H9,0)+$Q9)/$I9,1))</f>
        <v/>
      </c>
      <c r="V9" s="3" t="n"/>
    </row>
    <row r="10">
      <c r="A10" t="inlineStr">
        <is>
          <t>W009</t>
        </is>
      </c>
      <c r="B10" s="3" t="n"/>
      <c r="C10" s="3" t="n"/>
      <c r="D10" s="3" t="n"/>
      <c r="E10" s="3" t="n"/>
      <c r="F10">
        <f>IF(E10="","",IMAGE(E10))</f>
        <v/>
      </c>
      <c r="G10" s="3" t="n"/>
      <c r="H10" s="4" t="n"/>
      <c r="I10" s="4" t="n"/>
      <c r="J10" s="3" t="n"/>
      <c r="K10" s="3" t="n"/>
      <c r="L10" s="3" t="n"/>
      <c r="M10" s="3" t="n"/>
      <c r="N10" s="3" t="n"/>
      <c r="O10" s="3" t="n"/>
      <c r="P10" s="5" t="n"/>
      <c r="Q10" s="4" t="n"/>
      <c r="R10" s="6">
        <f>IF($C10="","",COUNTIF(Transactions!$C:$C,$A10))</f>
        <v/>
      </c>
      <c r="S10" s="7">
        <f>IF($C10="","",SUMIF(Transactions!$C:$C,$A10,Transactions!$R:$R))</f>
        <v/>
      </c>
      <c r="T10" s="7">
        <f>IF($C10="","",$S10-IF($N10="Purchased",$H10,0)-$Q10)</f>
        <v/>
      </c>
      <c r="U10" s="6">
        <f>IF(OR($C10="",$I10=0),"",CEILING((IF($N10="Purchased",$H10,0)+$Q10)/$I10,1))</f>
        <v/>
      </c>
      <c r="V10" s="3" t="n"/>
    </row>
    <row r="11">
      <c r="A11" t="inlineStr">
        <is>
          <t>W010</t>
        </is>
      </c>
      <c r="B11" s="3" t="n"/>
      <c r="C11" s="3" t="n"/>
      <c r="D11" s="3" t="n"/>
      <c r="E11" s="3" t="n"/>
      <c r="F11">
        <f>IF(E11="","",IMAGE(E11))</f>
        <v/>
      </c>
      <c r="G11" s="3" t="n"/>
      <c r="H11" s="4" t="n"/>
      <c r="I11" s="4" t="n"/>
      <c r="J11" s="3" t="n"/>
      <c r="K11" s="3" t="n"/>
      <c r="L11" s="3" t="n"/>
      <c r="M11" s="3" t="n"/>
      <c r="N11" s="3" t="n"/>
      <c r="O11" s="3" t="n"/>
      <c r="P11" s="5" t="n"/>
      <c r="Q11" s="4" t="n"/>
      <c r="R11" s="6">
        <f>IF($C11="","",COUNTIF(Transactions!$C:$C,$A11))</f>
        <v/>
      </c>
      <c r="S11" s="7">
        <f>IF($C11="","",SUMIF(Transactions!$C:$C,$A11,Transactions!$R:$R))</f>
        <v/>
      </c>
      <c r="T11" s="7">
        <f>IF($C11="","",$S11-IF($N11="Purchased",$H11,0)-$Q11)</f>
        <v/>
      </c>
      <c r="U11" s="6">
        <f>IF(OR($C11="",$I11=0),"",CEILING((IF($N11="Purchased",$H11,0)+$Q11)/$I11,1))</f>
        <v/>
      </c>
      <c r="V11" s="3" t="n"/>
    </row>
    <row r="12">
      <c r="A12" t="inlineStr">
        <is>
          <t>W011</t>
        </is>
      </c>
      <c r="B12" s="3" t="n"/>
      <c r="C12" s="3" t="n"/>
      <c r="D12" s="3" t="n"/>
      <c r="E12" s="3" t="n"/>
      <c r="F12">
        <f>IF(E12="","",IMAGE(E12))</f>
        <v/>
      </c>
      <c r="G12" s="3" t="n"/>
      <c r="H12" s="4" t="n"/>
      <c r="I12" s="4" t="n"/>
      <c r="J12" s="3" t="n"/>
      <c r="K12" s="3" t="n"/>
      <c r="L12" s="3" t="n"/>
      <c r="M12" s="3" t="n"/>
      <c r="N12" s="3" t="n"/>
      <c r="O12" s="3" t="n"/>
      <c r="P12" s="5" t="n"/>
      <c r="Q12" s="4" t="n"/>
      <c r="R12" s="6">
        <f>IF($C12="","",COUNTIF(Transactions!$C:$C,$A12))</f>
        <v/>
      </c>
      <c r="S12" s="7">
        <f>IF($C12="","",SUMIF(Transactions!$C:$C,$A12,Transactions!$R:$R))</f>
        <v/>
      </c>
      <c r="T12" s="7">
        <f>IF($C12="","",$S12-IF($N12="Purchased",$H12,0)-$Q12)</f>
        <v/>
      </c>
      <c r="U12" s="6">
        <f>IF(OR($C12="",$I12=0),"",CEILING((IF($N12="Purchased",$H12,0)+$Q12)/$I12,1))</f>
        <v/>
      </c>
      <c r="V12" s="3" t="n"/>
    </row>
    <row r="13">
      <c r="A13" t="inlineStr">
        <is>
          <t>W012</t>
        </is>
      </c>
      <c r="B13" s="3" t="n"/>
      <c r="C13" s="3" t="n"/>
      <c r="D13" s="3" t="n"/>
      <c r="E13" s="3" t="n"/>
      <c r="F13">
        <f>IF(E13="","",IMAGE(E13))</f>
        <v/>
      </c>
      <c r="G13" s="3" t="n"/>
      <c r="H13" s="4" t="n"/>
      <c r="I13" s="4" t="n"/>
      <c r="J13" s="3" t="n"/>
      <c r="K13" s="3" t="n"/>
      <c r="L13" s="3" t="n"/>
      <c r="M13" s="3" t="n"/>
      <c r="N13" s="3" t="n"/>
      <c r="O13" s="3" t="n"/>
      <c r="P13" s="5" t="n"/>
      <c r="Q13" s="4" t="n"/>
      <c r="R13" s="6">
        <f>IF($C13="","",COUNTIF(Transactions!$C:$C,$A13))</f>
        <v/>
      </c>
      <c r="S13" s="7">
        <f>IF($C13="","",SUMIF(Transactions!$C:$C,$A13,Transactions!$R:$R))</f>
        <v/>
      </c>
      <c r="T13" s="7">
        <f>IF($C13="","",$S13-IF($N13="Purchased",$H13,0)-$Q13)</f>
        <v/>
      </c>
      <c r="U13" s="6">
        <f>IF(OR($C13="",$I13=0),"",CEILING((IF($N13="Purchased",$H13,0)+$Q13)/$I13,1))</f>
        <v/>
      </c>
      <c r="V13" s="3" t="n"/>
    </row>
    <row r="14">
      <c r="A14" t="inlineStr">
        <is>
          <t>W013</t>
        </is>
      </c>
      <c r="B14" s="3" t="n"/>
      <c r="C14" s="3" t="n"/>
      <c r="D14" s="3" t="n"/>
      <c r="E14" s="3" t="n"/>
      <c r="F14">
        <f>IF(E14="","",IMAGE(E14))</f>
        <v/>
      </c>
      <c r="G14" s="3" t="n"/>
      <c r="H14" s="4" t="n"/>
      <c r="I14" s="4" t="n"/>
      <c r="J14" s="3" t="n"/>
      <c r="K14" s="3" t="n"/>
      <c r="L14" s="3" t="n"/>
      <c r="M14" s="3" t="n"/>
      <c r="N14" s="3" t="n"/>
      <c r="O14" s="3" t="n"/>
      <c r="P14" s="5" t="n"/>
      <c r="Q14" s="4" t="n"/>
      <c r="R14" s="6">
        <f>IF($C14="","",COUNTIF(Transactions!$C:$C,$A14))</f>
        <v/>
      </c>
      <c r="S14" s="7">
        <f>IF($C14="","",SUMIF(Transactions!$C:$C,$A14,Transactions!$R:$R))</f>
        <v/>
      </c>
      <c r="T14" s="7">
        <f>IF($C14="","",$S14-IF($N14="Purchased",$H14,0)-$Q14)</f>
        <v/>
      </c>
      <c r="U14" s="6">
        <f>IF(OR($C14="",$I14=0),"",CEILING((IF($N14="Purchased",$H14,0)+$Q14)/$I14,1))</f>
        <v/>
      </c>
      <c r="V14" s="3" t="n"/>
    </row>
    <row r="15">
      <c r="A15" t="inlineStr">
        <is>
          <t>W014</t>
        </is>
      </c>
      <c r="B15" s="3" t="n"/>
      <c r="C15" s="3" t="n"/>
      <c r="D15" s="3" t="n"/>
      <c r="E15" s="3" t="n"/>
      <c r="F15">
        <f>IF(E15="","",IMAGE(E15))</f>
        <v/>
      </c>
      <c r="G15" s="3" t="n"/>
      <c r="H15" s="4" t="n"/>
      <c r="I15" s="4" t="n"/>
      <c r="J15" s="3" t="n"/>
      <c r="K15" s="3" t="n"/>
      <c r="L15" s="3" t="n"/>
      <c r="M15" s="3" t="n"/>
      <c r="N15" s="3" t="n"/>
      <c r="O15" s="3" t="n"/>
      <c r="P15" s="5" t="n"/>
      <c r="Q15" s="4" t="n"/>
      <c r="R15" s="6">
        <f>IF($C15="","",COUNTIF(Transactions!$C:$C,$A15))</f>
        <v/>
      </c>
      <c r="S15" s="7">
        <f>IF($C15="","",SUMIF(Transactions!$C:$C,$A15,Transactions!$R:$R))</f>
        <v/>
      </c>
      <c r="T15" s="7">
        <f>IF($C15="","",$S15-IF($N15="Purchased",$H15,0)-$Q15)</f>
        <v/>
      </c>
      <c r="U15" s="6">
        <f>IF(OR($C15="",$I15=0),"",CEILING((IF($N15="Purchased",$H15,0)+$Q15)/$I15,1))</f>
        <v/>
      </c>
      <c r="V15" s="3" t="n"/>
    </row>
    <row r="16">
      <c r="A16" t="inlineStr">
        <is>
          <t>W015</t>
        </is>
      </c>
      <c r="B16" s="3" t="n"/>
      <c r="C16" s="3" t="n"/>
      <c r="D16" s="3" t="n"/>
      <c r="E16" s="3" t="n"/>
      <c r="F16">
        <f>IF(E16="","",IMAGE(E16))</f>
        <v/>
      </c>
      <c r="G16" s="3" t="n"/>
      <c r="H16" s="4" t="n"/>
      <c r="I16" s="4" t="n"/>
      <c r="J16" s="3" t="n"/>
      <c r="K16" s="3" t="n"/>
      <c r="L16" s="3" t="n"/>
      <c r="M16" s="3" t="n"/>
      <c r="N16" s="3" t="n"/>
      <c r="O16" s="3" t="n"/>
      <c r="P16" s="5" t="n"/>
      <c r="Q16" s="4" t="n"/>
      <c r="R16" s="6">
        <f>IF($C16="","",COUNTIF(Transactions!$C:$C,$A16))</f>
        <v/>
      </c>
      <c r="S16" s="7">
        <f>IF($C16="","",SUMIF(Transactions!$C:$C,$A16,Transactions!$R:$R))</f>
        <v/>
      </c>
      <c r="T16" s="7">
        <f>IF($C16="","",$S16-IF($N16="Purchased",$H16,0)-$Q16)</f>
        <v/>
      </c>
      <c r="U16" s="6">
        <f>IF(OR($C16="",$I16=0),"",CEILING((IF($N16="Purchased",$H16,0)+$Q16)/$I16,1))</f>
        <v/>
      </c>
      <c r="V16" s="3" t="n"/>
    </row>
    <row r="17">
      <c r="A17" t="inlineStr">
        <is>
          <t>W016</t>
        </is>
      </c>
      <c r="B17" s="3" t="n"/>
      <c r="C17" s="3" t="n"/>
      <c r="D17" s="3" t="n"/>
      <c r="E17" s="3" t="n"/>
      <c r="F17">
        <f>IF(E17="","",IMAGE(E17))</f>
        <v/>
      </c>
      <c r="G17" s="3" t="n"/>
      <c r="H17" s="4" t="n"/>
      <c r="I17" s="4" t="n"/>
      <c r="J17" s="3" t="n"/>
      <c r="K17" s="3" t="n"/>
      <c r="L17" s="3" t="n"/>
      <c r="M17" s="3" t="n"/>
      <c r="N17" s="3" t="n"/>
      <c r="O17" s="3" t="n"/>
      <c r="P17" s="5" t="n"/>
      <c r="Q17" s="4" t="n"/>
      <c r="R17" s="6">
        <f>IF($C17="","",COUNTIF(Transactions!$C:$C,$A17))</f>
        <v/>
      </c>
      <c r="S17" s="7">
        <f>IF($C17="","",SUMIF(Transactions!$C:$C,$A17,Transactions!$R:$R))</f>
        <v/>
      </c>
      <c r="T17" s="7">
        <f>IF($C17="","",$S17-IF($N17="Purchased",$H17,0)-$Q17)</f>
        <v/>
      </c>
      <c r="U17" s="6">
        <f>IF(OR($C17="",$I17=0),"",CEILING((IF($N17="Purchased",$H17,0)+$Q17)/$I17,1))</f>
        <v/>
      </c>
      <c r="V17" s="3" t="n"/>
    </row>
    <row r="18">
      <c r="A18" t="inlineStr">
        <is>
          <t>W017</t>
        </is>
      </c>
      <c r="B18" s="3" t="n"/>
      <c r="C18" s="3" t="n"/>
      <c r="D18" s="3" t="n"/>
      <c r="E18" s="3" t="n"/>
      <c r="F18">
        <f>IF(E18="","",IMAGE(E18))</f>
        <v/>
      </c>
      <c r="G18" s="3" t="n"/>
      <c r="H18" s="4" t="n"/>
      <c r="I18" s="4" t="n"/>
      <c r="J18" s="3" t="n"/>
      <c r="K18" s="3" t="n"/>
      <c r="L18" s="3" t="n"/>
      <c r="M18" s="3" t="n"/>
      <c r="N18" s="3" t="n"/>
      <c r="O18" s="3" t="n"/>
      <c r="P18" s="5" t="n"/>
      <c r="Q18" s="4" t="n"/>
      <c r="R18" s="6">
        <f>IF($C18="","",COUNTIF(Transactions!$C:$C,$A18))</f>
        <v/>
      </c>
      <c r="S18" s="7">
        <f>IF($C18="","",SUMIF(Transactions!$C:$C,$A18,Transactions!$R:$R))</f>
        <v/>
      </c>
      <c r="T18" s="7">
        <f>IF($C18="","",$S18-IF($N18="Purchased",$H18,0)-$Q18)</f>
        <v/>
      </c>
      <c r="U18" s="6">
        <f>IF(OR($C18="",$I18=0),"",CEILING((IF($N18="Purchased",$H18,0)+$Q18)/$I18,1))</f>
        <v/>
      </c>
      <c r="V18" s="3" t="n"/>
    </row>
    <row r="19">
      <c r="A19" t="inlineStr">
        <is>
          <t>W018</t>
        </is>
      </c>
      <c r="B19" s="3" t="n"/>
      <c r="C19" s="3" t="n"/>
      <c r="D19" s="3" t="n"/>
      <c r="E19" s="3" t="n"/>
      <c r="F19">
        <f>IF(E19="","",IMAGE(E19))</f>
        <v/>
      </c>
      <c r="G19" s="3" t="n"/>
      <c r="H19" s="4" t="n"/>
      <c r="I19" s="4" t="n"/>
      <c r="J19" s="3" t="n"/>
      <c r="K19" s="3" t="n"/>
      <c r="L19" s="3" t="n"/>
      <c r="M19" s="3" t="n"/>
      <c r="N19" s="3" t="n"/>
      <c r="O19" s="3" t="n"/>
      <c r="P19" s="5" t="n"/>
      <c r="Q19" s="4" t="n"/>
      <c r="R19" s="6">
        <f>IF($C19="","",COUNTIF(Transactions!$C:$C,$A19))</f>
        <v/>
      </c>
      <c r="S19" s="7">
        <f>IF($C19="","",SUMIF(Transactions!$C:$C,$A19,Transactions!$R:$R))</f>
        <v/>
      </c>
      <c r="T19" s="7">
        <f>IF($C19="","",$S19-IF($N19="Purchased",$H19,0)-$Q19)</f>
        <v/>
      </c>
      <c r="U19" s="6">
        <f>IF(OR($C19="",$I19=0),"",CEILING((IF($N19="Purchased",$H19,0)+$Q19)/$I19,1))</f>
        <v/>
      </c>
      <c r="V19" s="3" t="n"/>
    </row>
    <row r="20">
      <c r="A20" t="inlineStr">
        <is>
          <t>W019</t>
        </is>
      </c>
      <c r="B20" s="3" t="n"/>
      <c r="C20" s="3" t="n"/>
      <c r="D20" s="3" t="n"/>
      <c r="E20" s="3" t="n"/>
      <c r="F20">
        <f>IF(E20="","",IMAGE(E20))</f>
        <v/>
      </c>
      <c r="G20" s="3" t="n"/>
      <c r="H20" s="4" t="n"/>
      <c r="I20" s="4" t="n"/>
      <c r="J20" s="3" t="n"/>
      <c r="K20" s="3" t="n"/>
      <c r="L20" s="3" t="n"/>
      <c r="M20" s="3" t="n"/>
      <c r="N20" s="3" t="n"/>
      <c r="O20" s="3" t="n"/>
      <c r="P20" s="5" t="n"/>
      <c r="Q20" s="4" t="n"/>
      <c r="R20" s="6">
        <f>IF($C20="","",COUNTIF(Transactions!$C:$C,$A20))</f>
        <v/>
      </c>
      <c r="S20" s="7">
        <f>IF($C20="","",SUMIF(Transactions!$C:$C,$A20,Transactions!$R:$R))</f>
        <v/>
      </c>
      <c r="T20" s="7">
        <f>IF($C20="","",$S20-IF($N20="Purchased",$H20,0)-$Q20)</f>
        <v/>
      </c>
      <c r="U20" s="6">
        <f>IF(OR($C20="",$I20=0),"",CEILING((IF($N20="Purchased",$H20,0)+$Q20)/$I20,1))</f>
        <v/>
      </c>
      <c r="V20" s="3" t="n"/>
    </row>
    <row r="21">
      <c r="A21" t="inlineStr">
        <is>
          <t>W020</t>
        </is>
      </c>
      <c r="B21" s="3" t="n"/>
      <c r="C21" s="3" t="n"/>
      <c r="D21" s="3" t="n"/>
      <c r="E21" s="3" t="n"/>
      <c r="F21">
        <f>IF(E21="","",IMAGE(E21))</f>
        <v/>
      </c>
      <c r="G21" s="3" t="n"/>
      <c r="H21" s="4" t="n"/>
      <c r="I21" s="4" t="n"/>
      <c r="J21" s="3" t="n"/>
      <c r="K21" s="3" t="n"/>
      <c r="L21" s="3" t="n"/>
      <c r="M21" s="3" t="n"/>
      <c r="N21" s="3" t="n"/>
      <c r="O21" s="3" t="n"/>
      <c r="P21" s="5" t="n"/>
      <c r="Q21" s="4" t="n"/>
      <c r="R21" s="6">
        <f>IF($C21="","",COUNTIF(Transactions!$C:$C,$A21))</f>
        <v/>
      </c>
      <c r="S21" s="7">
        <f>IF($C21="","",SUMIF(Transactions!$C:$C,$A21,Transactions!$R:$R))</f>
        <v/>
      </c>
      <c r="T21" s="7">
        <f>IF($C21="","",$S21-IF($N21="Purchased",$H21,0)-$Q21)</f>
        <v/>
      </c>
      <c r="U21" s="6">
        <f>IF(OR($C21="",$I21=0),"",CEILING((IF($N21="Purchased",$H21,0)+$Q21)/$I21,1))</f>
        <v/>
      </c>
      <c r="V21" s="3" t="n"/>
    </row>
    <row r="22">
      <c r="A22" t="inlineStr">
        <is>
          <t>W021</t>
        </is>
      </c>
      <c r="B22" s="3" t="n"/>
      <c r="C22" s="3" t="n"/>
      <c r="D22" s="3" t="n"/>
      <c r="E22" s="3" t="n"/>
      <c r="F22">
        <f>IF(E22="","",IMAGE(E22))</f>
        <v/>
      </c>
      <c r="G22" s="3" t="n"/>
      <c r="H22" s="4" t="n"/>
      <c r="I22" s="4" t="n"/>
      <c r="J22" s="3" t="n"/>
      <c r="K22" s="3" t="n"/>
      <c r="L22" s="3" t="n"/>
      <c r="M22" s="3" t="n"/>
      <c r="N22" s="3" t="n"/>
      <c r="O22" s="3" t="n"/>
      <c r="P22" s="5" t="n"/>
      <c r="Q22" s="4" t="n"/>
      <c r="R22" s="6">
        <f>IF($C22="","",COUNTIF(Transactions!$C:$C,$A22))</f>
        <v/>
      </c>
      <c r="S22" s="7">
        <f>IF($C22="","",SUMIF(Transactions!$C:$C,$A22,Transactions!$R:$R))</f>
        <v/>
      </c>
      <c r="T22" s="7">
        <f>IF($C22="","",$S22-IF($N22="Purchased",$H22,0)-$Q22)</f>
        <v/>
      </c>
      <c r="U22" s="6">
        <f>IF(OR($C22="",$I22=0),"",CEILING((IF($N22="Purchased",$H22,0)+$Q22)/$I22,1))</f>
        <v/>
      </c>
      <c r="V22" s="3" t="n"/>
    </row>
    <row r="23">
      <c r="A23" t="inlineStr">
        <is>
          <t>W022</t>
        </is>
      </c>
      <c r="B23" s="3" t="n"/>
      <c r="C23" s="3" t="n"/>
      <c r="D23" s="3" t="n"/>
      <c r="E23" s="3" t="n"/>
      <c r="F23">
        <f>IF(E23="","",IMAGE(E23))</f>
        <v/>
      </c>
      <c r="G23" s="3" t="n"/>
      <c r="H23" s="4" t="n"/>
      <c r="I23" s="4" t="n"/>
      <c r="J23" s="3" t="n"/>
      <c r="K23" s="3" t="n"/>
      <c r="L23" s="3" t="n"/>
      <c r="M23" s="3" t="n"/>
      <c r="N23" s="3" t="n"/>
      <c r="O23" s="3" t="n"/>
      <c r="P23" s="5" t="n"/>
      <c r="Q23" s="4" t="n"/>
      <c r="R23" s="6">
        <f>IF($C23="","",COUNTIF(Transactions!$C:$C,$A23))</f>
        <v/>
      </c>
      <c r="S23" s="7">
        <f>IF($C23="","",SUMIF(Transactions!$C:$C,$A23,Transactions!$R:$R))</f>
        <v/>
      </c>
      <c r="T23" s="7">
        <f>IF($C23="","",$S23-IF($N23="Purchased",$H23,0)-$Q23)</f>
        <v/>
      </c>
      <c r="U23" s="6">
        <f>IF(OR($C23="",$I23=0),"",CEILING((IF($N23="Purchased",$H23,0)+$Q23)/$I23,1))</f>
        <v/>
      </c>
      <c r="V23" s="3" t="n"/>
    </row>
    <row r="24">
      <c r="A24" t="inlineStr">
        <is>
          <t>W023</t>
        </is>
      </c>
      <c r="B24" s="3" t="n"/>
      <c r="C24" s="3" t="n"/>
      <c r="D24" s="3" t="n"/>
      <c r="E24" s="3" t="n"/>
      <c r="F24">
        <f>IF(E24="","",IMAGE(E24))</f>
        <v/>
      </c>
      <c r="G24" s="3" t="n"/>
      <c r="H24" s="4" t="n"/>
      <c r="I24" s="4" t="n"/>
      <c r="J24" s="3" t="n"/>
      <c r="K24" s="3" t="n"/>
      <c r="L24" s="3" t="n"/>
      <c r="M24" s="3" t="n"/>
      <c r="N24" s="3" t="n"/>
      <c r="O24" s="3" t="n"/>
      <c r="P24" s="5" t="n"/>
      <c r="Q24" s="4" t="n"/>
      <c r="R24" s="6">
        <f>IF($C24="","",COUNTIF(Transactions!$C:$C,$A24))</f>
        <v/>
      </c>
      <c r="S24" s="7">
        <f>IF($C24="","",SUMIF(Transactions!$C:$C,$A24,Transactions!$R:$R))</f>
        <v/>
      </c>
      <c r="T24" s="7">
        <f>IF($C24="","",$S24-IF($N24="Purchased",$H24,0)-$Q24)</f>
        <v/>
      </c>
      <c r="U24" s="6">
        <f>IF(OR($C24="",$I24=0),"",CEILING((IF($N24="Purchased",$H24,0)+$Q24)/$I24,1))</f>
        <v/>
      </c>
      <c r="V24" s="3" t="n"/>
    </row>
    <row r="25">
      <c r="A25" t="inlineStr">
        <is>
          <t>W024</t>
        </is>
      </c>
      <c r="B25" s="3" t="n"/>
      <c r="C25" s="3" t="n"/>
      <c r="D25" s="3" t="n"/>
      <c r="E25" s="3" t="n"/>
      <c r="F25">
        <f>IF(E25="","",IMAGE(E25))</f>
        <v/>
      </c>
      <c r="G25" s="3" t="n"/>
      <c r="H25" s="4" t="n"/>
      <c r="I25" s="4" t="n"/>
      <c r="J25" s="3" t="n"/>
      <c r="K25" s="3" t="n"/>
      <c r="L25" s="3" t="n"/>
      <c r="M25" s="3" t="n"/>
      <c r="N25" s="3" t="n"/>
      <c r="O25" s="3" t="n"/>
      <c r="P25" s="5" t="n"/>
      <c r="Q25" s="4" t="n"/>
      <c r="R25" s="6">
        <f>IF($C25="","",COUNTIF(Transactions!$C:$C,$A25))</f>
        <v/>
      </c>
      <c r="S25" s="7">
        <f>IF($C25="","",SUMIF(Transactions!$C:$C,$A25,Transactions!$R:$R))</f>
        <v/>
      </c>
      <c r="T25" s="7">
        <f>IF($C25="","",$S25-IF($N25="Purchased",$H25,0)-$Q25)</f>
        <v/>
      </c>
      <c r="U25" s="6">
        <f>IF(OR($C25="",$I25=0),"",CEILING((IF($N25="Purchased",$H25,0)+$Q25)/$I25,1))</f>
        <v/>
      </c>
      <c r="V25" s="3" t="n"/>
    </row>
    <row r="26">
      <c r="A26" t="inlineStr">
        <is>
          <t>W025</t>
        </is>
      </c>
      <c r="B26" s="3" t="n"/>
      <c r="C26" s="3" t="n"/>
      <c r="D26" s="3" t="n"/>
      <c r="E26" s="3" t="n"/>
      <c r="F26">
        <f>IF(E26="","",IMAGE(E26))</f>
        <v/>
      </c>
      <c r="G26" s="3" t="n"/>
      <c r="H26" s="4" t="n"/>
      <c r="I26" s="4" t="n"/>
      <c r="J26" s="3" t="n"/>
      <c r="K26" s="3" t="n"/>
      <c r="L26" s="3" t="n"/>
      <c r="M26" s="3" t="n"/>
      <c r="N26" s="3" t="n"/>
      <c r="O26" s="3" t="n"/>
      <c r="P26" s="5" t="n"/>
      <c r="Q26" s="4" t="n"/>
      <c r="R26" s="6">
        <f>IF($C26="","",COUNTIF(Transactions!$C:$C,$A26))</f>
        <v/>
      </c>
      <c r="S26" s="7">
        <f>IF($C26="","",SUMIF(Transactions!$C:$C,$A26,Transactions!$R:$R))</f>
        <v/>
      </c>
      <c r="T26" s="7">
        <f>IF($C26="","",$S26-IF($N26="Purchased",$H26,0)-$Q26)</f>
        <v/>
      </c>
      <c r="U26" s="6">
        <f>IF(OR($C26="",$I26=0),"",CEILING((IF($N26="Purchased",$H26,0)+$Q26)/$I26,1))</f>
        <v/>
      </c>
      <c r="V26" s="3" t="n"/>
    </row>
    <row r="27">
      <c r="A27" t="inlineStr">
        <is>
          <t>W026</t>
        </is>
      </c>
      <c r="B27" s="3" t="n"/>
      <c r="C27" s="3" t="n"/>
      <c r="D27" s="3" t="n"/>
      <c r="E27" s="3" t="n"/>
      <c r="F27">
        <f>IF(E27="","",IMAGE(E27))</f>
        <v/>
      </c>
      <c r="G27" s="3" t="n"/>
      <c r="H27" s="4" t="n"/>
      <c r="I27" s="4" t="n"/>
      <c r="J27" s="3" t="n"/>
      <c r="K27" s="3" t="n"/>
      <c r="L27" s="3" t="n"/>
      <c r="M27" s="3" t="n"/>
      <c r="N27" s="3" t="n"/>
      <c r="O27" s="3" t="n"/>
      <c r="P27" s="5" t="n"/>
      <c r="Q27" s="4" t="n"/>
      <c r="R27" s="6">
        <f>IF($C27="","",COUNTIF(Transactions!$C:$C,$A27))</f>
        <v/>
      </c>
      <c r="S27" s="7">
        <f>IF($C27="","",SUMIF(Transactions!$C:$C,$A27,Transactions!$R:$R))</f>
        <v/>
      </c>
      <c r="T27" s="7">
        <f>IF($C27="","",$S27-IF($N27="Purchased",$H27,0)-$Q27)</f>
        <v/>
      </c>
      <c r="U27" s="6">
        <f>IF(OR($C27="",$I27=0),"",CEILING((IF($N27="Purchased",$H27,0)+$Q27)/$I27,1))</f>
        <v/>
      </c>
      <c r="V27" s="3" t="n"/>
    </row>
    <row r="28">
      <c r="A28" t="inlineStr">
        <is>
          <t>W027</t>
        </is>
      </c>
      <c r="B28" s="3" t="n"/>
      <c r="C28" s="3" t="n"/>
      <c r="D28" s="3" t="n"/>
      <c r="E28" s="3" t="n"/>
      <c r="F28">
        <f>IF(E28="","",IMAGE(E28))</f>
        <v/>
      </c>
      <c r="G28" s="3" t="n"/>
      <c r="H28" s="4" t="n"/>
      <c r="I28" s="4" t="n"/>
      <c r="J28" s="3" t="n"/>
      <c r="K28" s="3" t="n"/>
      <c r="L28" s="3" t="n"/>
      <c r="M28" s="3" t="n"/>
      <c r="N28" s="3" t="n"/>
      <c r="O28" s="3" t="n"/>
      <c r="P28" s="5" t="n"/>
      <c r="Q28" s="4" t="n"/>
      <c r="R28" s="6">
        <f>IF($C28="","",COUNTIF(Transactions!$C:$C,$A28))</f>
        <v/>
      </c>
      <c r="S28" s="7">
        <f>IF($C28="","",SUMIF(Transactions!$C:$C,$A28,Transactions!$R:$R))</f>
        <v/>
      </c>
      <c r="T28" s="7">
        <f>IF($C28="","",$S28-IF($N28="Purchased",$H28,0)-$Q28)</f>
        <v/>
      </c>
      <c r="U28" s="6">
        <f>IF(OR($C28="",$I28=0),"",CEILING((IF($N28="Purchased",$H28,0)+$Q28)/$I28,1))</f>
        <v/>
      </c>
      <c r="V28" s="3" t="n"/>
    </row>
    <row r="29">
      <c r="A29" t="inlineStr">
        <is>
          <t>W028</t>
        </is>
      </c>
      <c r="B29" s="3" t="n"/>
      <c r="C29" s="3" t="n"/>
      <c r="D29" s="3" t="n"/>
      <c r="E29" s="3" t="n"/>
      <c r="F29">
        <f>IF(E29="","",IMAGE(E29))</f>
        <v/>
      </c>
      <c r="G29" s="3" t="n"/>
      <c r="H29" s="4" t="n"/>
      <c r="I29" s="4" t="n"/>
      <c r="J29" s="3" t="n"/>
      <c r="K29" s="3" t="n"/>
      <c r="L29" s="3" t="n"/>
      <c r="M29" s="3" t="n"/>
      <c r="N29" s="3" t="n"/>
      <c r="O29" s="3" t="n"/>
      <c r="P29" s="5" t="n"/>
      <c r="Q29" s="4" t="n"/>
      <c r="R29" s="6">
        <f>IF($C29="","",COUNTIF(Transactions!$C:$C,$A29))</f>
        <v/>
      </c>
      <c r="S29" s="7">
        <f>IF($C29="","",SUMIF(Transactions!$C:$C,$A29,Transactions!$R:$R))</f>
        <v/>
      </c>
      <c r="T29" s="7">
        <f>IF($C29="","",$S29-IF($N29="Purchased",$H29,0)-$Q29)</f>
        <v/>
      </c>
      <c r="U29" s="6">
        <f>IF(OR($C29="",$I29=0),"",CEILING((IF($N29="Purchased",$H29,0)+$Q29)/$I29,1))</f>
        <v/>
      </c>
      <c r="V29" s="3" t="n"/>
    </row>
    <row r="30">
      <c r="A30" t="inlineStr">
        <is>
          <t>W029</t>
        </is>
      </c>
      <c r="B30" s="3" t="n"/>
      <c r="C30" s="3" t="n"/>
      <c r="D30" s="3" t="n"/>
      <c r="E30" s="3" t="n"/>
      <c r="F30">
        <f>IF(E30="","",IMAGE(E30))</f>
        <v/>
      </c>
      <c r="G30" s="3" t="n"/>
      <c r="H30" s="4" t="n"/>
      <c r="I30" s="4" t="n"/>
      <c r="J30" s="3" t="n"/>
      <c r="K30" s="3" t="n"/>
      <c r="L30" s="3" t="n"/>
      <c r="M30" s="3" t="n"/>
      <c r="N30" s="3" t="n"/>
      <c r="O30" s="3" t="n"/>
      <c r="P30" s="5" t="n"/>
      <c r="Q30" s="4" t="n"/>
      <c r="R30" s="6">
        <f>IF($C30="","",COUNTIF(Transactions!$C:$C,$A30))</f>
        <v/>
      </c>
      <c r="S30" s="7">
        <f>IF($C30="","",SUMIF(Transactions!$C:$C,$A30,Transactions!$R:$R))</f>
        <v/>
      </c>
      <c r="T30" s="7">
        <f>IF($C30="","",$S30-IF($N30="Purchased",$H30,0)-$Q30)</f>
        <v/>
      </c>
      <c r="U30" s="6">
        <f>IF(OR($C30="",$I30=0),"",CEILING((IF($N30="Purchased",$H30,0)+$Q30)/$I30,1))</f>
        <v/>
      </c>
      <c r="V30" s="3" t="n"/>
    </row>
    <row r="31">
      <c r="A31" t="inlineStr">
        <is>
          <t>W030</t>
        </is>
      </c>
      <c r="B31" s="3" t="n"/>
      <c r="C31" s="3" t="n"/>
      <c r="D31" s="3" t="n"/>
      <c r="E31" s="3" t="n"/>
      <c r="F31">
        <f>IF(E31="","",IMAGE(E31))</f>
        <v/>
      </c>
      <c r="G31" s="3" t="n"/>
      <c r="H31" s="4" t="n"/>
      <c r="I31" s="4" t="n"/>
      <c r="J31" s="3" t="n"/>
      <c r="K31" s="3" t="n"/>
      <c r="L31" s="3" t="n"/>
      <c r="M31" s="3" t="n"/>
      <c r="N31" s="3" t="n"/>
      <c r="O31" s="3" t="n"/>
      <c r="P31" s="5" t="n"/>
      <c r="Q31" s="4" t="n"/>
      <c r="R31" s="6">
        <f>IF($C31="","",COUNTIF(Transactions!$C:$C,$A31))</f>
        <v/>
      </c>
      <c r="S31" s="7">
        <f>IF($C31="","",SUMIF(Transactions!$C:$C,$A31,Transactions!$R:$R))</f>
        <v/>
      </c>
      <c r="T31" s="7">
        <f>IF($C31="","",$S31-IF($N31="Purchased",$H31,0)-$Q31)</f>
        <v/>
      </c>
      <c r="U31" s="6">
        <f>IF(OR($C31="",$I31=0),"",CEILING((IF($N31="Purchased",$H31,0)+$Q31)/$I31,1))</f>
        <v/>
      </c>
      <c r="V31" s="3" t="n"/>
    </row>
    <row r="32">
      <c r="A32" t="inlineStr">
        <is>
          <t>W031</t>
        </is>
      </c>
      <c r="B32" s="3" t="n"/>
      <c r="C32" s="3" t="n"/>
      <c r="D32" s="3" t="n"/>
      <c r="E32" s="3" t="n"/>
      <c r="F32">
        <f>IF(E32="","",IMAGE(E32))</f>
        <v/>
      </c>
      <c r="G32" s="3" t="n"/>
      <c r="H32" s="4" t="n"/>
      <c r="I32" s="4" t="n"/>
      <c r="J32" s="3" t="n"/>
      <c r="K32" s="3" t="n"/>
      <c r="L32" s="3" t="n"/>
      <c r="M32" s="3" t="n"/>
      <c r="N32" s="3" t="n"/>
      <c r="O32" s="3" t="n"/>
      <c r="P32" s="5" t="n"/>
      <c r="Q32" s="4" t="n"/>
      <c r="R32" s="6">
        <f>IF($C32="","",COUNTIF(Transactions!$C:$C,$A32))</f>
        <v/>
      </c>
      <c r="S32" s="7">
        <f>IF($C32="","",SUMIF(Transactions!$C:$C,$A32,Transactions!$R:$R))</f>
        <v/>
      </c>
      <c r="T32" s="7">
        <f>IF($C32="","",$S32-IF($N32="Purchased",$H32,0)-$Q32)</f>
        <v/>
      </c>
      <c r="U32" s="6">
        <f>IF(OR($C32="",$I32=0),"",CEILING((IF($N32="Purchased",$H32,0)+$Q32)/$I32,1))</f>
        <v/>
      </c>
      <c r="V32" s="3" t="n"/>
    </row>
    <row r="33">
      <c r="A33" t="inlineStr">
        <is>
          <t>W032</t>
        </is>
      </c>
      <c r="B33" s="3" t="n"/>
      <c r="C33" s="3" t="n"/>
      <c r="D33" s="3" t="n"/>
      <c r="E33" s="3" t="n"/>
      <c r="F33">
        <f>IF(E33="","",IMAGE(E33))</f>
        <v/>
      </c>
      <c r="G33" s="3" t="n"/>
      <c r="H33" s="4" t="n"/>
      <c r="I33" s="4" t="n"/>
      <c r="J33" s="3" t="n"/>
      <c r="K33" s="3" t="n"/>
      <c r="L33" s="3" t="n"/>
      <c r="M33" s="3" t="n"/>
      <c r="N33" s="3" t="n"/>
      <c r="O33" s="3" t="n"/>
      <c r="P33" s="5" t="n"/>
      <c r="Q33" s="4" t="n"/>
      <c r="R33" s="6">
        <f>IF($C33="","",COUNTIF(Transactions!$C:$C,$A33))</f>
        <v/>
      </c>
      <c r="S33" s="7">
        <f>IF($C33="","",SUMIF(Transactions!$C:$C,$A33,Transactions!$R:$R))</f>
        <v/>
      </c>
      <c r="T33" s="7">
        <f>IF($C33="","",$S33-IF($N33="Purchased",$H33,0)-$Q33)</f>
        <v/>
      </c>
      <c r="U33" s="6">
        <f>IF(OR($C33="",$I33=0),"",CEILING((IF($N33="Purchased",$H33,0)+$Q33)/$I33,1))</f>
        <v/>
      </c>
      <c r="V33" s="3" t="n"/>
    </row>
    <row r="34">
      <c r="A34" t="inlineStr">
        <is>
          <t>W033</t>
        </is>
      </c>
      <c r="B34" s="3" t="n"/>
      <c r="C34" s="3" t="n"/>
      <c r="D34" s="3" t="n"/>
      <c r="E34" s="3" t="n"/>
      <c r="F34">
        <f>IF(E34="","",IMAGE(E34))</f>
        <v/>
      </c>
      <c r="G34" s="3" t="n"/>
      <c r="H34" s="4" t="n"/>
      <c r="I34" s="4" t="n"/>
      <c r="J34" s="3" t="n"/>
      <c r="K34" s="3" t="n"/>
      <c r="L34" s="3" t="n"/>
      <c r="M34" s="3" t="n"/>
      <c r="N34" s="3" t="n"/>
      <c r="O34" s="3" t="n"/>
      <c r="P34" s="5" t="n"/>
      <c r="Q34" s="4" t="n"/>
      <c r="R34" s="6">
        <f>IF($C34="","",COUNTIF(Transactions!$C:$C,$A34))</f>
        <v/>
      </c>
      <c r="S34" s="7">
        <f>IF($C34="","",SUMIF(Transactions!$C:$C,$A34,Transactions!$R:$R))</f>
        <v/>
      </c>
      <c r="T34" s="7">
        <f>IF($C34="","",$S34-IF($N34="Purchased",$H34,0)-$Q34)</f>
        <v/>
      </c>
      <c r="U34" s="6">
        <f>IF(OR($C34="",$I34=0),"",CEILING((IF($N34="Purchased",$H34,0)+$Q34)/$I34,1))</f>
        <v/>
      </c>
      <c r="V34" s="3" t="n"/>
    </row>
    <row r="35">
      <c r="A35" t="inlineStr">
        <is>
          <t>W034</t>
        </is>
      </c>
      <c r="B35" s="3" t="n"/>
      <c r="C35" s="3" t="n"/>
      <c r="D35" s="3" t="n"/>
      <c r="E35" s="3" t="n"/>
      <c r="F35">
        <f>IF(E35="","",IMAGE(E35))</f>
        <v/>
      </c>
      <c r="G35" s="3" t="n"/>
      <c r="H35" s="4" t="n"/>
      <c r="I35" s="4" t="n"/>
      <c r="J35" s="3" t="n"/>
      <c r="K35" s="3" t="n"/>
      <c r="L35" s="3" t="n"/>
      <c r="M35" s="3" t="n"/>
      <c r="N35" s="3" t="n"/>
      <c r="O35" s="3" t="n"/>
      <c r="P35" s="5" t="n"/>
      <c r="Q35" s="4" t="n"/>
      <c r="R35" s="6">
        <f>IF($C35="","",COUNTIF(Transactions!$C:$C,$A35))</f>
        <v/>
      </c>
      <c r="S35" s="7">
        <f>IF($C35="","",SUMIF(Transactions!$C:$C,$A35,Transactions!$R:$R))</f>
        <v/>
      </c>
      <c r="T35" s="7">
        <f>IF($C35="","",$S35-IF($N35="Purchased",$H35,0)-$Q35)</f>
        <v/>
      </c>
      <c r="U35" s="6">
        <f>IF(OR($C35="",$I35=0),"",CEILING((IF($N35="Purchased",$H35,0)+$Q35)/$I35,1))</f>
        <v/>
      </c>
      <c r="V35" s="3" t="n"/>
    </row>
    <row r="36">
      <c r="A36" t="inlineStr">
        <is>
          <t>W035</t>
        </is>
      </c>
      <c r="B36" s="3" t="n"/>
      <c r="C36" s="3" t="n"/>
      <c r="D36" s="3" t="n"/>
      <c r="E36" s="3" t="n"/>
      <c r="F36">
        <f>IF(E36="","",IMAGE(E36))</f>
        <v/>
      </c>
      <c r="G36" s="3" t="n"/>
      <c r="H36" s="4" t="n"/>
      <c r="I36" s="4" t="n"/>
      <c r="J36" s="3" t="n"/>
      <c r="K36" s="3" t="n"/>
      <c r="L36" s="3" t="n"/>
      <c r="M36" s="3" t="n"/>
      <c r="N36" s="3" t="n"/>
      <c r="O36" s="3" t="n"/>
      <c r="P36" s="5" t="n"/>
      <c r="Q36" s="4" t="n"/>
      <c r="R36" s="6">
        <f>IF($C36="","",COUNTIF(Transactions!$C:$C,$A36))</f>
        <v/>
      </c>
      <c r="S36" s="7">
        <f>IF($C36="","",SUMIF(Transactions!$C:$C,$A36,Transactions!$R:$R))</f>
        <v/>
      </c>
      <c r="T36" s="7">
        <f>IF($C36="","",$S36-IF($N36="Purchased",$H36,0)-$Q36)</f>
        <v/>
      </c>
      <c r="U36" s="6">
        <f>IF(OR($C36="",$I36=0),"",CEILING((IF($N36="Purchased",$H36,0)+$Q36)/$I36,1))</f>
        <v/>
      </c>
      <c r="V36" s="3" t="n"/>
    </row>
    <row r="37">
      <c r="A37" t="inlineStr">
        <is>
          <t>W036</t>
        </is>
      </c>
      <c r="B37" s="3" t="n"/>
      <c r="C37" s="3" t="n"/>
      <c r="D37" s="3" t="n"/>
      <c r="E37" s="3" t="n"/>
      <c r="F37">
        <f>IF(E37="","",IMAGE(E37))</f>
        <v/>
      </c>
      <c r="G37" s="3" t="n"/>
      <c r="H37" s="4" t="n"/>
      <c r="I37" s="4" t="n"/>
      <c r="J37" s="3" t="n"/>
      <c r="K37" s="3" t="n"/>
      <c r="L37" s="3" t="n"/>
      <c r="M37" s="3" t="n"/>
      <c r="N37" s="3" t="n"/>
      <c r="O37" s="3" t="n"/>
      <c r="P37" s="5" t="n"/>
      <c r="Q37" s="4" t="n"/>
      <c r="R37" s="6">
        <f>IF($C37="","",COUNTIF(Transactions!$C:$C,$A37))</f>
        <v/>
      </c>
      <c r="S37" s="7">
        <f>IF($C37="","",SUMIF(Transactions!$C:$C,$A37,Transactions!$R:$R))</f>
        <v/>
      </c>
      <c r="T37" s="7">
        <f>IF($C37="","",$S37-IF($N37="Purchased",$H37,0)-$Q37)</f>
        <v/>
      </c>
      <c r="U37" s="6">
        <f>IF(OR($C37="",$I37=0),"",CEILING((IF($N37="Purchased",$H37,0)+$Q37)/$I37,1))</f>
        <v/>
      </c>
      <c r="V37" s="3" t="n"/>
    </row>
    <row r="38">
      <c r="A38" t="inlineStr">
        <is>
          <t>W037</t>
        </is>
      </c>
      <c r="B38" s="3" t="n"/>
      <c r="C38" s="3" t="n"/>
      <c r="D38" s="3" t="n"/>
      <c r="E38" s="3" t="n"/>
      <c r="F38">
        <f>IF(E38="","",IMAGE(E38))</f>
        <v/>
      </c>
      <c r="G38" s="3" t="n"/>
      <c r="H38" s="4" t="n"/>
      <c r="I38" s="4" t="n"/>
      <c r="J38" s="3" t="n"/>
      <c r="K38" s="3" t="n"/>
      <c r="L38" s="3" t="n"/>
      <c r="M38" s="3" t="n"/>
      <c r="N38" s="3" t="n"/>
      <c r="O38" s="3" t="n"/>
      <c r="P38" s="5" t="n"/>
      <c r="Q38" s="4" t="n"/>
      <c r="R38" s="6">
        <f>IF($C38="","",COUNTIF(Transactions!$C:$C,$A38))</f>
        <v/>
      </c>
      <c r="S38" s="7">
        <f>IF($C38="","",SUMIF(Transactions!$C:$C,$A38,Transactions!$R:$R))</f>
        <v/>
      </c>
      <c r="T38" s="7">
        <f>IF($C38="","",$S38-IF($N38="Purchased",$H38,0)-$Q38)</f>
        <v/>
      </c>
      <c r="U38" s="6">
        <f>IF(OR($C38="",$I38=0),"",CEILING((IF($N38="Purchased",$H38,0)+$Q38)/$I38,1))</f>
        <v/>
      </c>
      <c r="V38" s="3" t="n"/>
    </row>
    <row r="39">
      <c r="A39" t="inlineStr">
        <is>
          <t>W038</t>
        </is>
      </c>
      <c r="B39" s="3" t="n"/>
      <c r="C39" s="3" t="n"/>
      <c r="D39" s="3" t="n"/>
      <c r="E39" s="3" t="n"/>
      <c r="F39">
        <f>IF(E39="","",IMAGE(E39))</f>
        <v/>
      </c>
      <c r="G39" s="3" t="n"/>
      <c r="H39" s="4" t="n"/>
      <c r="I39" s="4" t="n"/>
      <c r="J39" s="3" t="n"/>
      <c r="K39" s="3" t="n"/>
      <c r="L39" s="3" t="n"/>
      <c r="M39" s="3" t="n"/>
      <c r="N39" s="3" t="n"/>
      <c r="O39" s="3" t="n"/>
      <c r="P39" s="5" t="n"/>
      <c r="Q39" s="4" t="n"/>
      <c r="R39" s="6">
        <f>IF($C39="","",COUNTIF(Transactions!$C:$C,$A39))</f>
        <v/>
      </c>
      <c r="S39" s="7">
        <f>IF($C39="","",SUMIF(Transactions!$C:$C,$A39,Transactions!$R:$R))</f>
        <v/>
      </c>
      <c r="T39" s="7">
        <f>IF($C39="","",$S39-IF($N39="Purchased",$H39,0)-$Q39)</f>
        <v/>
      </c>
      <c r="U39" s="6">
        <f>IF(OR($C39="",$I39=0),"",CEILING((IF($N39="Purchased",$H39,0)+$Q39)/$I39,1))</f>
        <v/>
      </c>
      <c r="V39" s="3" t="n"/>
    </row>
    <row r="40">
      <c r="A40" t="inlineStr">
        <is>
          <t>W039</t>
        </is>
      </c>
      <c r="B40" s="3" t="n"/>
      <c r="C40" s="3" t="n"/>
      <c r="D40" s="3" t="n"/>
      <c r="E40" s="3" t="n"/>
      <c r="F40">
        <f>IF(E40="","",IMAGE(E40))</f>
        <v/>
      </c>
      <c r="G40" s="3" t="n"/>
      <c r="H40" s="4" t="n"/>
      <c r="I40" s="4" t="n"/>
      <c r="J40" s="3" t="n"/>
      <c r="K40" s="3" t="n"/>
      <c r="L40" s="3" t="n"/>
      <c r="M40" s="3" t="n"/>
      <c r="N40" s="3" t="n"/>
      <c r="O40" s="3" t="n"/>
      <c r="P40" s="5" t="n"/>
      <c r="Q40" s="4" t="n"/>
      <c r="R40" s="6">
        <f>IF($C40="","",COUNTIF(Transactions!$C:$C,$A40))</f>
        <v/>
      </c>
      <c r="S40" s="7">
        <f>IF($C40="","",SUMIF(Transactions!$C:$C,$A40,Transactions!$R:$R))</f>
        <v/>
      </c>
      <c r="T40" s="7">
        <f>IF($C40="","",$S40-IF($N40="Purchased",$H40,0)-$Q40)</f>
        <v/>
      </c>
      <c r="U40" s="6">
        <f>IF(OR($C40="",$I40=0),"",CEILING((IF($N40="Purchased",$H40,0)+$Q40)/$I40,1))</f>
        <v/>
      </c>
      <c r="V40" s="3" t="n"/>
    </row>
    <row r="41">
      <c r="A41" t="inlineStr">
        <is>
          <t>W040</t>
        </is>
      </c>
      <c r="B41" s="3" t="n"/>
      <c r="C41" s="3" t="n"/>
      <c r="D41" s="3" t="n"/>
      <c r="E41" s="3" t="n"/>
      <c r="F41">
        <f>IF(E41="","",IMAGE(E41))</f>
        <v/>
      </c>
      <c r="G41" s="3" t="n"/>
      <c r="H41" s="4" t="n"/>
      <c r="I41" s="4" t="n"/>
      <c r="J41" s="3" t="n"/>
      <c r="K41" s="3" t="n"/>
      <c r="L41" s="3" t="n"/>
      <c r="M41" s="3" t="n"/>
      <c r="N41" s="3" t="n"/>
      <c r="O41" s="3" t="n"/>
      <c r="P41" s="5" t="n"/>
      <c r="Q41" s="4" t="n"/>
      <c r="R41" s="6">
        <f>IF($C41="","",COUNTIF(Transactions!$C:$C,$A41))</f>
        <v/>
      </c>
      <c r="S41" s="7">
        <f>IF($C41="","",SUMIF(Transactions!$C:$C,$A41,Transactions!$R:$R))</f>
        <v/>
      </c>
      <c r="T41" s="7">
        <f>IF($C41="","",$S41-IF($N41="Purchased",$H41,0)-$Q41)</f>
        <v/>
      </c>
      <c r="U41" s="6">
        <f>IF(OR($C41="",$I41=0),"",CEILING((IF($N41="Purchased",$H41,0)+$Q41)/$I41,1))</f>
        <v/>
      </c>
      <c r="V41" s="3" t="n"/>
    </row>
    <row r="42">
      <c r="A42" t="inlineStr">
        <is>
          <t>W041</t>
        </is>
      </c>
      <c r="B42" s="3" t="n"/>
      <c r="C42" s="3" t="n"/>
      <c r="D42" s="3" t="n"/>
      <c r="E42" s="3" t="n"/>
      <c r="F42">
        <f>IF(E42="","",IMAGE(E42))</f>
        <v/>
      </c>
      <c r="G42" s="3" t="n"/>
      <c r="H42" s="4" t="n"/>
      <c r="I42" s="4" t="n"/>
      <c r="J42" s="3" t="n"/>
      <c r="K42" s="3" t="n"/>
      <c r="L42" s="3" t="n"/>
      <c r="M42" s="3" t="n"/>
      <c r="N42" s="3" t="n"/>
      <c r="O42" s="3" t="n"/>
      <c r="P42" s="5" t="n"/>
      <c r="Q42" s="4" t="n"/>
      <c r="R42" s="6">
        <f>IF($C42="","",COUNTIF(Transactions!$C:$C,$A42))</f>
        <v/>
      </c>
      <c r="S42" s="7">
        <f>IF($C42="","",SUMIF(Transactions!$C:$C,$A42,Transactions!$R:$R))</f>
        <v/>
      </c>
      <c r="T42" s="7">
        <f>IF($C42="","",$S42-IF($N42="Purchased",$H42,0)-$Q42)</f>
        <v/>
      </c>
      <c r="U42" s="6">
        <f>IF(OR($C42="",$I42=0),"",CEILING((IF($N42="Purchased",$H42,0)+$Q42)/$I42,1))</f>
        <v/>
      </c>
      <c r="V42" s="3" t="n"/>
    </row>
    <row r="43">
      <c r="A43" t="inlineStr">
        <is>
          <t>W042</t>
        </is>
      </c>
      <c r="B43" s="3" t="n"/>
      <c r="C43" s="3" t="n"/>
      <c r="D43" s="3" t="n"/>
      <c r="E43" s="3" t="n"/>
      <c r="F43">
        <f>IF(E43="","",IMAGE(E43))</f>
        <v/>
      </c>
      <c r="G43" s="3" t="n"/>
      <c r="H43" s="4" t="n"/>
      <c r="I43" s="4" t="n"/>
      <c r="J43" s="3" t="n"/>
      <c r="K43" s="3" t="n"/>
      <c r="L43" s="3" t="n"/>
      <c r="M43" s="3" t="n"/>
      <c r="N43" s="3" t="n"/>
      <c r="O43" s="3" t="n"/>
      <c r="P43" s="5" t="n"/>
      <c r="Q43" s="4" t="n"/>
      <c r="R43" s="6">
        <f>IF($C43="","",COUNTIF(Transactions!$C:$C,$A43))</f>
        <v/>
      </c>
      <c r="S43" s="7">
        <f>IF($C43="","",SUMIF(Transactions!$C:$C,$A43,Transactions!$R:$R))</f>
        <v/>
      </c>
      <c r="T43" s="7">
        <f>IF($C43="","",$S43-IF($N43="Purchased",$H43,0)-$Q43)</f>
        <v/>
      </c>
      <c r="U43" s="6">
        <f>IF(OR($C43="",$I43=0),"",CEILING((IF($N43="Purchased",$H43,0)+$Q43)/$I43,1))</f>
        <v/>
      </c>
      <c r="V43" s="3" t="n"/>
    </row>
    <row r="44">
      <c r="A44" t="inlineStr">
        <is>
          <t>W043</t>
        </is>
      </c>
      <c r="B44" s="3" t="n"/>
      <c r="C44" s="3" t="n"/>
      <c r="D44" s="3" t="n"/>
      <c r="E44" s="3" t="n"/>
      <c r="F44">
        <f>IF(E44="","",IMAGE(E44))</f>
        <v/>
      </c>
      <c r="G44" s="3" t="n"/>
      <c r="H44" s="4" t="n"/>
      <c r="I44" s="4" t="n"/>
      <c r="J44" s="3" t="n"/>
      <c r="K44" s="3" t="n"/>
      <c r="L44" s="3" t="n"/>
      <c r="M44" s="3" t="n"/>
      <c r="N44" s="3" t="n"/>
      <c r="O44" s="3" t="n"/>
      <c r="P44" s="5" t="n"/>
      <c r="Q44" s="4" t="n"/>
      <c r="R44" s="6">
        <f>IF($C44="","",COUNTIF(Transactions!$C:$C,$A44))</f>
        <v/>
      </c>
      <c r="S44" s="7">
        <f>IF($C44="","",SUMIF(Transactions!$C:$C,$A44,Transactions!$R:$R))</f>
        <v/>
      </c>
      <c r="T44" s="7">
        <f>IF($C44="","",$S44-IF($N44="Purchased",$H44,0)-$Q44)</f>
        <v/>
      </c>
      <c r="U44" s="6">
        <f>IF(OR($C44="",$I44=0),"",CEILING((IF($N44="Purchased",$H44,0)+$Q44)/$I44,1))</f>
        <v/>
      </c>
      <c r="V44" s="3" t="n"/>
    </row>
    <row r="45">
      <c r="A45" t="inlineStr">
        <is>
          <t>W044</t>
        </is>
      </c>
      <c r="B45" s="3" t="n"/>
      <c r="C45" s="3" t="n"/>
      <c r="D45" s="3" t="n"/>
      <c r="E45" s="3" t="n"/>
      <c r="F45">
        <f>IF(E45="","",IMAGE(E45))</f>
        <v/>
      </c>
      <c r="G45" s="3" t="n"/>
      <c r="H45" s="4" t="n"/>
      <c r="I45" s="4" t="n"/>
      <c r="J45" s="3" t="n"/>
      <c r="K45" s="3" t="n"/>
      <c r="L45" s="3" t="n"/>
      <c r="M45" s="3" t="n"/>
      <c r="N45" s="3" t="n"/>
      <c r="O45" s="3" t="n"/>
      <c r="P45" s="5" t="n"/>
      <c r="Q45" s="4" t="n"/>
      <c r="R45" s="6">
        <f>IF($C45="","",COUNTIF(Transactions!$C:$C,$A45))</f>
        <v/>
      </c>
      <c r="S45" s="7">
        <f>IF($C45="","",SUMIF(Transactions!$C:$C,$A45,Transactions!$R:$R))</f>
        <v/>
      </c>
      <c r="T45" s="7">
        <f>IF($C45="","",$S45-IF($N45="Purchased",$H45,0)-$Q45)</f>
        <v/>
      </c>
      <c r="U45" s="6">
        <f>IF(OR($C45="",$I45=0),"",CEILING((IF($N45="Purchased",$H45,0)+$Q45)/$I45,1))</f>
        <v/>
      </c>
      <c r="V45" s="3" t="n"/>
    </row>
    <row r="46">
      <c r="A46" t="inlineStr">
        <is>
          <t>W045</t>
        </is>
      </c>
      <c r="B46" s="3" t="n"/>
      <c r="C46" s="3" t="n"/>
      <c r="D46" s="3" t="n"/>
      <c r="E46" s="3" t="n"/>
      <c r="F46">
        <f>IF(E46="","",IMAGE(E46))</f>
        <v/>
      </c>
      <c r="G46" s="3" t="n"/>
      <c r="H46" s="4" t="n"/>
      <c r="I46" s="4" t="n"/>
      <c r="J46" s="3" t="n"/>
      <c r="K46" s="3" t="n"/>
      <c r="L46" s="3" t="n"/>
      <c r="M46" s="3" t="n"/>
      <c r="N46" s="3" t="n"/>
      <c r="O46" s="3" t="n"/>
      <c r="P46" s="5" t="n"/>
      <c r="Q46" s="4" t="n"/>
      <c r="R46" s="6">
        <f>IF($C46="","",COUNTIF(Transactions!$C:$C,$A46))</f>
        <v/>
      </c>
      <c r="S46" s="7">
        <f>IF($C46="","",SUMIF(Transactions!$C:$C,$A46,Transactions!$R:$R))</f>
        <v/>
      </c>
      <c r="T46" s="7">
        <f>IF($C46="","",$S46-IF($N46="Purchased",$H46,0)-$Q46)</f>
        <v/>
      </c>
      <c r="U46" s="6">
        <f>IF(OR($C46="",$I46=0),"",CEILING((IF($N46="Purchased",$H46,0)+$Q46)/$I46,1))</f>
        <v/>
      </c>
      <c r="V46" s="3" t="n"/>
    </row>
    <row r="47">
      <c r="A47" t="inlineStr">
        <is>
          <t>W046</t>
        </is>
      </c>
      <c r="B47" s="3" t="n"/>
      <c r="C47" s="3" t="n"/>
      <c r="D47" s="3" t="n"/>
      <c r="E47" s="3" t="n"/>
      <c r="F47">
        <f>IF(E47="","",IMAGE(E47))</f>
        <v/>
      </c>
      <c r="G47" s="3" t="n"/>
      <c r="H47" s="4" t="n"/>
      <c r="I47" s="4" t="n"/>
      <c r="J47" s="3" t="n"/>
      <c r="K47" s="3" t="n"/>
      <c r="L47" s="3" t="n"/>
      <c r="M47" s="3" t="n"/>
      <c r="N47" s="3" t="n"/>
      <c r="O47" s="3" t="n"/>
      <c r="P47" s="5" t="n"/>
      <c r="Q47" s="4" t="n"/>
      <c r="R47" s="6">
        <f>IF($C47="","",COUNTIF(Transactions!$C:$C,$A47))</f>
        <v/>
      </c>
      <c r="S47" s="7">
        <f>IF($C47="","",SUMIF(Transactions!$C:$C,$A47,Transactions!$R:$R))</f>
        <v/>
      </c>
      <c r="T47" s="7">
        <f>IF($C47="","",$S47-IF($N47="Purchased",$H47,0)-$Q47)</f>
        <v/>
      </c>
      <c r="U47" s="6">
        <f>IF(OR($C47="",$I47=0),"",CEILING((IF($N47="Purchased",$H47,0)+$Q47)/$I47,1))</f>
        <v/>
      </c>
      <c r="V47" s="3" t="n"/>
    </row>
    <row r="48">
      <c r="A48" t="inlineStr">
        <is>
          <t>W047</t>
        </is>
      </c>
      <c r="B48" s="3" t="n"/>
      <c r="C48" s="3" t="n"/>
      <c r="D48" s="3" t="n"/>
      <c r="E48" s="3" t="n"/>
      <c r="F48">
        <f>IF(E48="","",IMAGE(E48))</f>
        <v/>
      </c>
      <c r="G48" s="3" t="n"/>
      <c r="H48" s="4" t="n"/>
      <c r="I48" s="4" t="n"/>
      <c r="J48" s="3" t="n"/>
      <c r="K48" s="3" t="n"/>
      <c r="L48" s="3" t="n"/>
      <c r="M48" s="3" t="n"/>
      <c r="N48" s="3" t="n"/>
      <c r="O48" s="3" t="n"/>
      <c r="P48" s="5" t="n"/>
      <c r="Q48" s="4" t="n"/>
      <c r="R48" s="6">
        <f>IF($C48="","",COUNTIF(Transactions!$C:$C,$A48))</f>
        <v/>
      </c>
      <c r="S48" s="7">
        <f>IF($C48="","",SUMIF(Transactions!$C:$C,$A48,Transactions!$R:$R))</f>
        <v/>
      </c>
      <c r="T48" s="7">
        <f>IF($C48="","",$S48-IF($N48="Purchased",$H48,0)-$Q48)</f>
        <v/>
      </c>
      <c r="U48" s="6">
        <f>IF(OR($C48="",$I48=0),"",CEILING((IF($N48="Purchased",$H48,0)+$Q48)/$I48,1))</f>
        <v/>
      </c>
      <c r="V48" s="3" t="n"/>
    </row>
    <row r="49">
      <c r="A49" t="inlineStr">
        <is>
          <t>W048</t>
        </is>
      </c>
      <c r="B49" s="3" t="n"/>
      <c r="C49" s="3" t="n"/>
      <c r="D49" s="3" t="n"/>
      <c r="E49" s="3" t="n"/>
      <c r="F49">
        <f>IF(E49="","",IMAGE(E49))</f>
        <v/>
      </c>
      <c r="G49" s="3" t="n"/>
      <c r="H49" s="4" t="n"/>
      <c r="I49" s="4" t="n"/>
      <c r="J49" s="3" t="n"/>
      <c r="K49" s="3" t="n"/>
      <c r="L49" s="3" t="n"/>
      <c r="M49" s="3" t="n"/>
      <c r="N49" s="3" t="n"/>
      <c r="O49" s="3" t="n"/>
      <c r="P49" s="5" t="n"/>
      <c r="Q49" s="4" t="n"/>
      <c r="R49" s="6">
        <f>IF($C49="","",COUNTIF(Transactions!$C:$C,$A49))</f>
        <v/>
      </c>
      <c r="S49" s="7">
        <f>IF($C49="","",SUMIF(Transactions!$C:$C,$A49,Transactions!$R:$R))</f>
        <v/>
      </c>
      <c r="T49" s="7">
        <f>IF($C49="","",$S49-IF($N49="Purchased",$H49,0)-$Q49)</f>
        <v/>
      </c>
      <c r="U49" s="6">
        <f>IF(OR($C49="",$I49=0),"",CEILING((IF($N49="Purchased",$H49,0)+$Q49)/$I49,1))</f>
        <v/>
      </c>
      <c r="V49" s="3" t="n"/>
    </row>
    <row r="50">
      <c r="A50" t="inlineStr">
        <is>
          <t>W049</t>
        </is>
      </c>
      <c r="B50" s="3" t="n"/>
      <c r="C50" s="3" t="n"/>
      <c r="D50" s="3" t="n"/>
      <c r="E50" s="3" t="n"/>
      <c r="F50">
        <f>IF(E50="","",IMAGE(E50))</f>
        <v/>
      </c>
      <c r="G50" s="3" t="n"/>
      <c r="H50" s="4" t="n"/>
      <c r="I50" s="4" t="n"/>
      <c r="J50" s="3" t="n"/>
      <c r="K50" s="3" t="n"/>
      <c r="L50" s="3" t="n"/>
      <c r="M50" s="3" t="n"/>
      <c r="N50" s="3" t="n"/>
      <c r="O50" s="3" t="n"/>
      <c r="P50" s="5" t="n"/>
      <c r="Q50" s="4" t="n"/>
      <c r="R50" s="6">
        <f>IF($C50="","",COUNTIF(Transactions!$C:$C,$A50))</f>
        <v/>
      </c>
      <c r="S50" s="7">
        <f>IF($C50="","",SUMIF(Transactions!$C:$C,$A50,Transactions!$R:$R))</f>
        <v/>
      </c>
      <c r="T50" s="7">
        <f>IF($C50="","",$S50-IF($N50="Purchased",$H50,0)-$Q50)</f>
        <v/>
      </c>
      <c r="U50" s="6">
        <f>IF(OR($C50="",$I50=0),"",CEILING((IF($N50="Purchased",$H50,0)+$Q50)/$I50,1))</f>
        <v/>
      </c>
      <c r="V50" s="3" t="n"/>
    </row>
    <row r="51">
      <c r="A51" t="inlineStr">
        <is>
          <t>W050</t>
        </is>
      </c>
      <c r="B51" s="3" t="n"/>
      <c r="C51" s="3" t="n"/>
      <c r="D51" s="3" t="n"/>
      <c r="E51" s="3" t="n"/>
      <c r="F51">
        <f>IF(E51="","",IMAGE(E51))</f>
        <v/>
      </c>
      <c r="G51" s="3" t="n"/>
      <c r="H51" s="4" t="n"/>
      <c r="I51" s="4" t="n"/>
      <c r="J51" s="3" t="n"/>
      <c r="K51" s="3" t="n"/>
      <c r="L51" s="3" t="n"/>
      <c r="M51" s="3" t="n"/>
      <c r="N51" s="3" t="n"/>
      <c r="O51" s="3" t="n"/>
      <c r="P51" s="5" t="n"/>
      <c r="Q51" s="4" t="n"/>
      <c r="R51" s="6">
        <f>IF($C51="","",COUNTIF(Transactions!$C:$C,$A51))</f>
        <v/>
      </c>
      <c r="S51" s="7">
        <f>IF($C51="","",SUMIF(Transactions!$C:$C,$A51,Transactions!$R:$R))</f>
        <v/>
      </c>
      <c r="T51" s="7">
        <f>IF($C51="","",$S51-IF($N51="Purchased",$H51,0)-$Q51)</f>
        <v/>
      </c>
      <c r="U51" s="6">
        <f>IF(OR($C51="",$I51=0),"",CEILING((IF($N51="Purchased",$H51,0)+$Q51)/$I51,1))</f>
        <v/>
      </c>
      <c r="V51" s="3" t="n"/>
    </row>
    <row r="52">
      <c r="A52" t="inlineStr">
        <is>
          <t>W051</t>
        </is>
      </c>
      <c r="B52" s="3" t="n"/>
      <c r="C52" s="3" t="n"/>
      <c r="D52" s="3" t="n"/>
      <c r="E52" s="3" t="n"/>
      <c r="F52">
        <f>IF(E52="","",IMAGE(E52))</f>
        <v/>
      </c>
      <c r="G52" s="3" t="n"/>
      <c r="H52" s="4" t="n"/>
      <c r="I52" s="4" t="n"/>
      <c r="J52" s="3" t="n"/>
      <c r="K52" s="3" t="n"/>
      <c r="L52" s="3" t="n"/>
      <c r="M52" s="3" t="n"/>
      <c r="N52" s="3" t="n"/>
      <c r="O52" s="3" t="n"/>
      <c r="P52" s="5" t="n"/>
      <c r="Q52" s="4" t="n"/>
      <c r="R52" s="6">
        <f>IF($C52="","",COUNTIF(Transactions!$C:$C,$A52))</f>
        <v/>
      </c>
      <c r="S52" s="7">
        <f>IF($C52="","",SUMIF(Transactions!$C:$C,$A52,Transactions!$R:$R))</f>
        <v/>
      </c>
      <c r="T52" s="7">
        <f>IF($C52="","",$S52-IF($N52="Purchased",$H52,0)-$Q52)</f>
        <v/>
      </c>
      <c r="U52" s="6">
        <f>IF(OR($C52="",$I52=0),"",CEILING((IF($N52="Purchased",$H52,0)+$Q52)/$I52,1))</f>
        <v/>
      </c>
      <c r="V52" s="3" t="n"/>
    </row>
    <row r="53">
      <c r="A53" t="inlineStr">
        <is>
          <t>W052</t>
        </is>
      </c>
      <c r="B53" s="3" t="n"/>
      <c r="C53" s="3" t="n"/>
      <c r="D53" s="3" t="n"/>
      <c r="E53" s="3" t="n"/>
      <c r="F53">
        <f>IF(E53="","",IMAGE(E53))</f>
        <v/>
      </c>
      <c r="G53" s="3" t="n"/>
      <c r="H53" s="4" t="n"/>
      <c r="I53" s="4" t="n"/>
      <c r="J53" s="3" t="n"/>
      <c r="K53" s="3" t="n"/>
      <c r="L53" s="3" t="n"/>
      <c r="M53" s="3" t="n"/>
      <c r="N53" s="3" t="n"/>
      <c r="O53" s="3" t="n"/>
      <c r="P53" s="5" t="n"/>
      <c r="Q53" s="4" t="n"/>
      <c r="R53" s="6">
        <f>IF($C53="","",COUNTIF(Transactions!$C:$C,$A53))</f>
        <v/>
      </c>
      <c r="S53" s="7">
        <f>IF($C53="","",SUMIF(Transactions!$C:$C,$A53,Transactions!$R:$R))</f>
        <v/>
      </c>
      <c r="T53" s="7">
        <f>IF($C53="","",$S53-IF($N53="Purchased",$H53,0)-$Q53)</f>
        <v/>
      </c>
      <c r="U53" s="6">
        <f>IF(OR($C53="",$I53=0),"",CEILING((IF($N53="Purchased",$H53,0)+$Q53)/$I53,1))</f>
        <v/>
      </c>
      <c r="V53" s="3" t="n"/>
    </row>
    <row r="54">
      <c r="A54" t="inlineStr">
        <is>
          <t>W053</t>
        </is>
      </c>
      <c r="B54" s="3" t="n"/>
      <c r="C54" s="3" t="n"/>
      <c r="D54" s="3" t="n"/>
      <c r="E54" s="3" t="n"/>
      <c r="F54">
        <f>IF(E54="","",IMAGE(E54))</f>
        <v/>
      </c>
      <c r="G54" s="3" t="n"/>
      <c r="H54" s="4" t="n"/>
      <c r="I54" s="4" t="n"/>
      <c r="J54" s="3" t="n"/>
      <c r="K54" s="3" t="n"/>
      <c r="L54" s="3" t="n"/>
      <c r="M54" s="3" t="n"/>
      <c r="N54" s="3" t="n"/>
      <c r="O54" s="3" t="n"/>
      <c r="P54" s="5" t="n"/>
      <c r="Q54" s="4" t="n"/>
      <c r="R54" s="6">
        <f>IF($C54="","",COUNTIF(Transactions!$C:$C,$A54))</f>
        <v/>
      </c>
      <c r="S54" s="7">
        <f>IF($C54="","",SUMIF(Transactions!$C:$C,$A54,Transactions!$R:$R))</f>
        <v/>
      </c>
      <c r="T54" s="7">
        <f>IF($C54="","",$S54-IF($N54="Purchased",$H54,0)-$Q54)</f>
        <v/>
      </c>
      <c r="U54" s="6">
        <f>IF(OR($C54="",$I54=0),"",CEILING((IF($N54="Purchased",$H54,0)+$Q54)/$I54,1))</f>
        <v/>
      </c>
      <c r="V54" s="3" t="n"/>
    </row>
    <row r="55">
      <c r="A55" t="inlineStr">
        <is>
          <t>W054</t>
        </is>
      </c>
      <c r="B55" s="3" t="n"/>
      <c r="C55" s="3" t="n"/>
      <c r="D55" s="3" t="n"/>
      <c r="E55" s="3" t="n"/>
      <c r="F55">
        <f>IF(E55="","",IMAGE(E55))</f>
        <v/>
      </c>
      <c r="G55" s="3" t="n"/>
      <c r="H55" s="4" t="n"/>
      <c r="I55" s="4" t="n"/>
      <c r="J55" s="3" t="n"/>
      <c r="K55" s="3" t="n"/>
      <c r="L55" s="3" t="n"/>
      <c r="M55" s="3" t="n"/>
      <c r="N55" s="3" t="n"/>
      <c r="O55" s="3" t="n"/>
      <c r="P55" s="5" t="n"/>
      <c r="Q55" s="4" t="n"/>
      <c r="R55" s="6">
        <f>IF($C55="","",COUNTIF(Transactions!$C:$C,$A55))</f>
        <v/>
      </c>
      <c r="S55" s="7">
        <f>IF($C55="","",SUMIF(Transactions!$C:$C,$A55,Transactions!$R:$R))</f>
        <v/>
      </c>
      <c r="T55" s="7">
        <f>IF($C55="","",$S55-IF($N55="Purchased",$H55,0)-$Q55)</f>
        <v/>
      </c>
      <c r="U55" s="6">
        <f>IF(OR($C55="",$I55=0),"",CEILING((IF($N55="Purchased",$H55,0)+$Q55)/$I55,1))</f>
        <v/>
      </c>
      <c r="V55" s="3" t="n"/>
    </row>
    <row r="56">
      <c r="A56" t="inlineStr">
        <is>
          <t>W055</t>
        </is>
      </c>
      <c r="B56" s="3" t="n"/>
      <c r="C56" s="3" t="n"/>
      <c r="D56" s="3" t="n"/>
      <c r="E56" s="3" t="n"/>
      <c r="F56">
        <f>IF(E56="","",IMAGE(E56))</f>
        <v/>
      </c>
      <c r="G56" s="3" t="n"/>
      <c r="H56" s="4" t="n"/>
      <c r="I56" s="4" t="n"/>
      <c r="J56" s="3" t="n"/>
      <c r="K56" s="3" t="n"/>
      <c r="L56" s="3" t="n"/>
      <c r="M56" s="3" t="n"/>
      <c r="N56" s="3" t="n"/>
      <c r="O56" s="3" t="n"/>
      <c r="P56" s="5" t="n"/>
      <c r="Q56" s="4" t="n"/>
      <c r="R56" s="6">
        <f>IF($C56="","",COUNTIF(Transactions!$C:$C,$A56))</f>
        <v/>
      </c>
      <c r="S56" s="7">
        <f>IF($C56="","",SUMIF(Transactions!$C:$C,$A56,Transactions!$R:$R))</f>
        <v/>
      </c>
      <c r="T56" s="7">
        <f>IF($C56="","",$S56-IF($N56="Purchased",$H56,0)-$Q56)</f>
        <v/>
      </c>
      <c r="U56" s="6">
        <f>IF(OR($C56="",$I56=0),"",CEILING((IF($N56="Purchased",$H56,0)+$Q56)/$I56,1))</f>
        <v/>
      </c>
      <c r="V56" s="3" t="n"/>
    </row>
    <row r="57">
      <c r="A57" t="inlineStr">
        <is>
          <t>W056</t>
        </is>
      </c>
      <c r="B57" s="3" t="n"/>
      <c r="C57" s="3" t="n"/>
      <c r="D57" s="3" t="n"/>
      <c r="E57" s="3" t="n"/>
      <c r="F57">
        <f>IF(E57="","",IMAGE(E57))</f>
        <v/>
      </c>
      <c r="G57" s="3" t="n"/>
      <c r="H57" s="4" t="n"/>
      <c r="I57" s="4" t="n"/>
      <c r="J57" s="3" t="n"/>
      <c r="K57" s="3" t="n"/>
      <c r="L57" s="3" t="n"/>
      <c r="M57" s="3" t="n"/>
      <c r="N57" s="3" t="n"/>
      <c r="O57" s="3" t="n"/>
      <c r="P57" s="5" t="n"/>
      <c r="Q57" s="4" t="n"/>
      <c r="R57" s="6">
        <f>IF($C57="","",COUNTIF(Transactions!$C:$C,$A57))</f>
        <v/>
      </c>
      <c r="S57" s="7">
        <f>IF($C57="","",SUMIF(Transactions!$C:$C,$A57,Transactions!$R:$R))</f>
        <v/>
      </c>
      <c r="T57" s="7">
        <f>IF($C57="","",$S57-IF($N57="Purchased",$H57,0)-$Q57)</f>
        <v/>
      </c>
      <c r="U57" s="6">
        <f>IF(OR($C57="",$I57=0),"",CEILING((IF($N57="Purchased",$H57,0)+$Q57)/$I57,1))</f>
        <v/>
      </c>
      <c r="V57" s="3" t="n"/>
    </row>
    <row r="58">
      <c r="A58" t="inlineStr">
        <is>
          <t>W057</t>
        </is>
      </c>
      <c r="B58" s="3" t="n"/>
      <c r="C58" s="3" t="n"/>
      <c r="D58" s="3" t="n"/>
      <c r="E58" s="3" t="n"/>
      <c r="F58">
        <f>IF(E58="","",IMAGE(E58))</f>
        <v/>
      </c>
      <c r="G58" s="3" t="n"/>
      <c r="H58" s="4" t="n"/>
      <c r="I58" s="4" t="n"/>
      <c r="J58" s="3" t="n"/>
      <c r="K58" s="3" t="n"/>
      <c r="L58" s="3" t="n"/>
      <c r="M58" s="3" t="n"/>
      <c r="N58" s="3" t="n"/>
      <c r="O58" s="3" t="n"/>
      <c r="P58" s="5" t="n"/>
      <c r="Q58" s="4" t="n"/>
      <c r="R58" s="6">
        <f>IF($C58="","",COUNTIF(Transactions!$C:$C,$A58))</f>
        <v/>
      </c>
      <c r="S58" s="7">
        <f>IF($C58="","",SUMIF(Transactions!$C:$C,$A58,Transactions!$R:$R))</f>
        <v/>
      </c>
      <c r="T58" s="7">
        <f>IF($C58="","",$S58-IF($N58="Purchased",$H58,0)-$Q58)</f>
        <v/>
      </c>
      <c r="U58" s="6">
        <f>IF(OR($C58="",$I58=0),"",CEILING((IF($N58="Purchased",$H58,0)+$Q58)/$I58,1))</f>
        <v/>
      </c>
      <c r="V58" s="3" t="n"/>
    </row>
    <row r="59">
      <c r="A59" t="inlineStr">
        <is>
          <t>W058</t>
        </is>
      </c>
      <c r="B59" s="3" t="n"/>
      <c r="C59" s="3" t="n"/>
      <c r="D59" s="3" t="n"/>
      <c r="E59" s="3" t="n"/>
      <c r="F59">
        <f>IF(E59="","",IMAGE(E59))</f>
        <v/>
      </c>
      <c r="G59" s="3" t="n"/>
      <c r="H59" s="4" t="n"/>
      <c r="I59" s="4" t="n"/>
      <c r="J59" s="3" t="n"/>
      <c r="K59" s="3" t="n"/>
      <c r="L59" s="3" t="n"/>
      <c r="M59" s="3" t="n"/>
      <c r="N59" s="3" t="n"/>
      <c r="O59" s="3" t="n"/>
      <c r="P59" s="5" t="n"/>
      <c r="Q59" s="4" t="n"/>
      <c r="R59" s="6">
        <f>IF($C59="","",COUNTIF(Transactions!$C:$C,$A59))</f>
        <v/>
      </c>
      <c r="S59" s="7">
        <f>IF($C59="","",SUMIF(Transactions!$C:$C,$A59,Transactions!$R:$R))</f>
        <v/>
      </c>
      <c r="T59" s="7">
        <f>IF($C59="","",$S59-IF($N59="Purchased",$H59,0)-$Q59)</f>
        <v/>
      </c>
      <c r="U59" s="6">
        <f>IF(OR($C59="",$I59=0),"",CEILING((IF($N59="Purchased",$H59,0)+$Q59)/$I59,1))</f>
        <v/>
      </c>
      <c r="V59" s="3" t="n"/>
    </row>
    <row r="60">
      <c r="A60" t="inlineStr">
        <is>
          <t>W059</t>
        </is>
      </c>
      <c r="B60" s="3" t="n"/>
      <c r="C60" s="3" t="n"/>
      <c r="D60" s="3" t="n"/>
      <c r="E60" s="3" t="n"/>
      <c r="F60">
        <f>IF(E60="","",IMAGE(E60))</f>
        <v/>
      </c>
      <c r="G60" s="3" t="n"/>
      <c r="H60" s="4" t="n"/>
      <c r="I60" s="4" t="n"/>
      <c r="J60" s="3" t="n"/>
      <c r="K60" s="3" t="n"/>
      <c r="L60" s="3" t="n"/>
      <c r="M60" s="3" t="n"/>
      <c r="N60" s="3" t="n"/>
      <c r="O60" s="3" t="n"/>
      <c r="P60" s="5" t="n"/>
      <c r="Q60" s="4" t="n"/>
      <c r="R60" s="6">
        <f>IF($C60="","",COUNTIF(Transactions!$C:$C,$A60))</f>
        <v/>
      </c>
      <c r="S60" s="7">
        <f>IF($C60="","",SUMIF(Transactions!$C:$C,$A60,Transactions!$R:$R))</f>
        <v/>
      </c>
      <c r="T60" s="7">
        <f>IF($C60="","",$S60-IF($N60="Purchased",$H60,0)-$Q60)</f>
        <v/>
      </c>
      <c r="U60" s="6">
        <f>IF(OR($C60="",$I60=0),"",CEILING((IF($N60="Purchased",$H60,0)+$Q60)/$I60,1))</f>
        <v/>
      </c>
      <c r="V60" s="3" t="n"/>
    </row>
    <row r="61">
      <c r="A61" t="inlineStr">
        <is>
          <t>W060</t>
        </is>
      </c>
      <c r="B61" s="3" t="n"/>
      <c r="C61" s="3" t="n"/>
      <c r="D61" s="3" t="n"/>
      <c r="E61" s="3" t="n"/>
      <c r="F61">
        <f>IF(E61="","",IMAGE(E61))</f>
        <v/>
      </c>
      <c r="G61" s="3" t="n"/>
      <c r="H61" s="4" t="n"/>
      <c r="I61" s="4" t="n"/>
      <c r="J61" s="3" t="n"/>
      <c r="K61" s="3" t="n"/>
      <c r="L61" s="3" t="n"/>
      <c r="M61" s="3" t="n"/>
      <c r="N61" s="3" t="n"/>
      <c r="O61" s="3" t="n"/>
      <c r="P61" s="5" t="n"/>
      <c r="Q61" s="4" t="n"/>
      <c r="R61" s="6">
        <f>IF($C61="","",COUNTIF(Transactions!$C:$C,$A61))</f>
        <v/>
      </c>
      <c r="S61" s="7">
        <f>IF($C61="","",SUMIF(Transactions!$C:$C,$A61,Transactions!$R:$R))</f>
        <v/>
      </c>
      <c r="T61" s="7">
        <f>IF($C61="","",$S61-IF($N61="Purchased",$H61,0)-$Q61)</f>
        <v/>
      </c>
      <c r="U61" s="6">
        <f>IF(OR($C61="",$I61=0),"",CEILING((IF($N61="Purchased",$H61,0)+$Q61)/$I61,1))</f>
        <v/>
      </c>
      <c r="V61" s="3" t="n"/>
    </row>
    <row r="62">
      <c r="A62" t="inlineStr">
        <is>
          <t>W061</t>
        </is>
      </c>
      <c r="B62" s="3" t="n"/>
      <c r="C62" s="3" t="n"/>
      <c r="D62" s="3" t="n"/>
      <c r="E62" s="3" t="n"/>
      <c r="F62">
        <f>IF(E62="","",IMAGE(E62))</f>
        <v/>
      </c>
      <c r="G62" s="3" t="n"/>
      <c r="H62" s="4" t="n"/>
      <c r="I62" s="4" t="n"/>
      <c r="J62" s="3" t="n"/>
      <c r="K62" s="3" t="n"/>
      <c r="L62" s="3" t="n"/>
      <c r="M62" s="3" t="n"/>
      <c r="N62" s="3" t="n"/>
      <c r="O62" s="3" t="n"/>
      <c r="P62" s="5" t="n"/>
      <c r="Q62" s="4" t="n"/>
      <c r="R62" s="6">
        <f>IF($C62="","",COUNTIF(Transactions!$C:$C,$A62))</f>
        <v/>
      </c>
      <c r="S62" s="7">
        <f>IF($C62="","",SUMIF(Transactions!$C:$C,$A62,Transactions!$R:$R))</f>
        <v/>
      </c>
      <c r="T62" s="7">
        <f>IF($C62="","",$S62-IF($N62="Purchased",$H62,0)-$Q62)</f>
        <v/>
      </c>
      <c r="U62" s="6">
        <f>IF(OR($C62="",$I62=0),"",CEILING((IF($N62="Purchased",$H62,0)+$Q62)/$I62,1))</f>
        <v/>
      </c>
      <c r="V62" s="3" t="n"/>
    </row>
    <row r="63">
      <c r="A63" t="inlineStr">
        <is>
          <t>W062</t>
        </is>
      </c>
      <c r="B63" s="3" t="n"/>
      <c r="C63" s="3" t="n"/>
      <c r="D63" s="3" t="n"/>
      <c r="E63" s="3" t="n"/>
      <c r="F63">
        <f>IF(E63="","",IMAGE(E63))</f>
        <v/>
      </c>
      <c r="G63" s="3" t="n"/>
      <c r="H63" s="4" t="n"/>
      <c r="I63" s="4" t="n"/>
      <c r="J63" s="3" t="n"/>
      <c r="K63" s="3" t="n"/>
      <c r="L63" s="3" t="n"/>
      <c r="M63" s="3" t="n"/>
      <c r="N63" s="3" t="n"/>
      <c r="O63" s="3" t="n"/>
      <c r="P63" s="5" t="n"/>
      <c r="Q63" s="4" t="n"/>
      <c r="R63" s="6">
        <f>IF($C63="","",COUNTIF(Transactions!$C:$C,$A63))</f>
        <v/>
      </c>
      <c r="S63" s="7">
        <f>IF($C63="","",SUMIF(Transactions!$C:$C,$A63,Transactions!$R:$R))</f>
        <v/>
      </c>
      <c r="T63" s="7">
        <f>IF($C63="","",$S63-IF($N63="Purchased",$H63,0)-$Q63)</f>
        <v/>
      </c>
      <c r="U63" s="6">
        <f>IF(OR($C63="",$I63=0),"",CEILING((IF($N63="Purchased",$H63,0)+$Q63)/$I63,1))</f>
        <v/>
      </c>
      <c r="V63" s="3" t="n"/>
    </row>
    <row r="64">
      <c r="A64" t="inlineStr">
        <is>
          <t>W063</t>
        </is>
      </c>
      <c r="B64" s="3" t="n"/>
      <c r="C64" s="3" t="n"/>
      <c r="D64" s="3" t="n"/>
      <c r="E64" s="3" t="n"/>
      <c r="F64">
        <f>IF(E64="","",IMAGE(E64))</f>
        <v/>
      </c>
      <c r="G64" s="3" t="n"/>
      <c r="H64" s="4" t="n"/>
      <c r="I64" s="4" t="n"/>
      <c r="J64" s="3" t="n"/>
      <c r="K64" s="3" t="n"/>
      <c r="L64" s="3" t="n"/>
      <c r="M64" s="3" t="n"/>
      <c r="N64" s="3" t="n"/>
      <c r="O64" s="3" t="n"/>
      <c r="P64" s="5" t="n"/>
      <c r="Q64" s="4" t="n"/>
      <c r="R64" s="6">
        <f>IF($C64="","",COUNTIF(Transactions!$C:$C,$A64))</f>
        <v/>
      </c>
      <c r="S64" s="7">
        <f>IF($C64="","",SUMIF(Transactions!$C:$C,$A64,Transactions!$R:$R))</f>
        <v/>
      </c>
      <c r="T64" s="7">
        <f>IF($C64="","",$S64-IF($N64="Purchased",$H64,0)-$Q64)</f>
        <v/>
      </c>
      <c r="U64" s="6">
        <f>IF(OR($C64="",$I64=0),"",CEILING((IF($N64="Purchased",$H64,0)+$Q64)/$I64,1))</f>
        <v/>
      </c>
      <c r="V64" s="3" t="n"/>
    </row>
    <row r="65">
      <c r="A65" t="inlineStr">
        <is>
          <t>W064</t>
        </is>
      </c>
      <c r="B65" s="3" t="n"/>
      <c r="C65" s="3" t="n"/>
      <c r="D65" s="3" t="n"/>
      <c r="E65" s="3" t="n"/>
      <c r="F65">
        <f>IF(E65="","",IMAGE(E65))</f>
        <v/>
      </c>
      <c r="G65" s="3" t="n"/>
      <c r="H65" s="4" t="n"/>
      <c r="I65" s="4" t="n"/>
      <c r="J65" s="3" t="n"/>
      <c r="K65" s="3" t="n"/>
      <c r="L65" s="3" t="n"/>
      <c r="M65" s="3" t="n"/>
      <c r="N65" s="3" t="n"/>
      <c r="O65" s="3" t="n"/>
      <c r="P65" s="5" t="n"/>
      <c r="Q65" s="4" t="n"/>
      <c r="R65" s="6">
        <f>IF($C65="","",COUNTIF(Transactions!$C:$C,$A65))</f>
        <v/>
      </c>
      <c r="S65" s="7">
        <f>IF($C65="","",SUMIF(Transactions!$C:$C,$A65,Transactions!$R:$R))</f>
        <v/>
      </c>
      <c r="T65" s="7">
        <f>IF($C65="","",$S65-IF($N65="Purchased",$H65,0)-$Q65)</f>
        <v/>
      </c>
      <c r="U65" s="6">
        <f>IF(OR($C65="",$I65=0),"",CEILING((IF($N65="Purchased",$H65,0)+$Q65)/$I65,1))</f>
        <v/>
      </c>
      <c r="V65" s="3" t="n"/>
    </row>
    <row r="66">
      <c r="A66" t="inlineStr">
        <is>
          <t>W065</t>
        </is>
      </c>
      <c r="B66" s="3" t="n"/>
      <c r="C66" s="3" t="n"/>
      <c r="D66" s="3" t="n"/>
      <c r="E66" s="3" t="n"/>
      <c r="F66">
        <f>IF(E66="","",IMAGE(E66))</f>
        <v/>
      </c>
      <c r="G66" s="3" t="n"/>
      <c r="H66" s="4" t="n"/>
      <c r="I66" s="4" t="n"/>
      <c r="J66" s="3" t="n"/>
      <c r="K66" s="3" t="n"/>
      <c r="L66" s="3" t="n"/>
      <c r="M66" s="3" t="n"/>
      <c r="N66" s="3" t="n"/>
      <c r="O66" s="3" t="n"/>
      <c r="P66" s="5" t="n"/>
      <c r="Q66" s="4" t="n"/>
      <c r="R66" s="6">
        <f>IF($C66="","",COUNTIF(Transactions!$C:$C,$A66))</f>
        <v/>
      </c>
      <c r="S66" s="7">
        <f>IF($C66="","",SUMIF(Transactions!$C:$C,$A66,Transactions!$R:$R))</f>
        <v/>
      </c>
      <c r="T66" s="7">
        <f>IF($C66="","",$S66-IF($N66="Purchased",$H66,0)-$Q66)</f>
        <v/>
      </c>
      <c r="U66" s="6">
        <f>IF(OR($C66="",$I66=0),"",CEILING((IF($N66="Purchased",$H66,0)+$Q66)/$I66,1))</f>
        <v/>
      </c>
      <c r="V66" s="3" t="n"/>
    </row>
    <row r="67">
      <c r="A67" t="inlineStr">
        <is>
          <t>W066</t>
        </is>
      </c>
      <c r="B67" s="3" t="n"/>
      <c r="C67" s="3" t="n"/>
      <c r="D67" s="3" t="n"/>
      <c r="E67" s="3" t="n"/>
      <c r="F67">
        <f>IF(E67="","",IMAGE(E67))</f>
        <v/>
      </c>
      <c r="G67" s="3" t="n"/>
      <c r="H67" s="4" t="n"/>
      <c r="I67" s="4" t="n"/>
      <c r="J67" s="3" t="n"/>
      <c r="K67" s="3" t="n"/>
      <c r="L67" s="3" t="n"/>
      <c r="M67" s="3" t="n"/>
      <c r="N67" s="3" t="n"/>
      <c r="O67" s="3" t="n"/>
      <c r="P67" s="5" t="n"/>
      <c r="Q67" s="4" t="n"/>
      <c r="R67" s="6">
        <f>IF($C67="","",COUNTIF(Transactions!$C:$C,$A67))</f>
        <v/>
      </c>
      <c r="S67" s="7">
        <f>IF($C67="","",SUMIF(Transactions!$C:$C,$A67,Transactions!$R:$R))</f>
        <v/>
      </c>
      <c r="T67" s="7">
        <f>IF($C67="","",$S67-IF($N67="Purchased",$H67,0)-$Q67)</f>
        <v/>
      </c>
      <c r="U67" s="6">
        <f>IF(OR($C67="",$I67=0),"",CEILING((IF($N67="Purchased",$H67,0)+$Q67)/$I67,1))</f>
        <v/>
      </c>
      <c r="V67" s="3" t="n"/>
    </row>
    <row r="68">
      <c r="A68" t="inlineStr">
        <is>
          <t>W067</t>
        </is>
      </c>
      <c r="B68" s="3" t="n"/>
      <c r="C68" s="3" t="n"/>
      <c r="D68" s="3" t="n"/>
      <c r="E68" s="3" t="n"/>
      <c r="F68">
        <f>IF(E68="","",IMAGE(E68))</f>
        <v/>
      </c>
      <c r="G68" s="3" t="n"/>
      <c r="H68" s="4" t="n"/>
      <c r="I68" s="4" t="n"/>
      <c r="J68" s="3" t="n"/>
      <c r="K68" s="3" t="n"/>
      <c r="L68" s="3" t="n"/>
      <c r="M68" s="3" t="n"/>
      <c r="N68" s="3" t="n"/>
      <c r="O68" s="3" t="n"/>
      <c r="P68" s="5" t="n"/>
      <c r="Q68" s="4" t="n"/>
      <c r="R68" s="6">
        <f>IF($C68="","",COUNTIF(Transactions!$C:$C,$A68))</f>
        <v/>
      </c>
      <c r="S68" s="7">
        <f>IF($C68="","",SUMIF(Transactions!$C:$C,$A68,Transactions!$R:$R))</f>
        <v/>
      </c>
      <c r="T68" s="7">
        <f>IF($C68="","",$S68-IF($N68="Purchased",$H68,0)-$Q68)</f>
        <v/>
      </c>
      <c r="U68" s="6">
        <f>IF(OR($C68="",$I68=0),"",CEILING((IF($N68="Purchased",$H68,0)+$Q68)/$I68,1))</f>
        <v/>
      </c>
      <c r="V68" s="3" t="n"/>
    </row>
    <row r="69">
      <c r="A69" t="inlineStr">
        <is>
          <t>W068</t>
        </is>
      </c>
      <c r="B69" s="3" t="n"/>
      <c r="C69" s="3" t="n"/>
      <c r="D69" s="3" t="n"/>
      <c r="E69" s="3" t="n"/>
      <c r="F69">
        <f>IF(E69="","",IMAGE(E69))</f>
        <v/>
      </c>
      <c r="G69" s="3" t="n"/>
      <c r="H69" s="4" t="n"/>
      <c r="I69" s="4" t="n"/>
      <c r="J69" s="3" t="n"/>
      <c r="K69" s="3" t="n"/>
      <c r="L69" s="3" t="n"/>
      <c r="M69" s="3" t="n"/>
      <c r="N69" s="3" t="n"/>
      <c r="O69" s="3" t="n"/>
      <c r="P69" s="5" t="n"/>
      <c r="Q69" s="4" t="n"/>
      <c r="R69" s="6">
        <f>IF($C69="","",COUNTIF(Transactions!$C:$C,$A69))</f>
        <v/>
      </c>
      <c r="S69" s="7">
        <f>IF($C69="","",SUMIF(Transactions!$C:$C,$A69,Transactions!$R:$R))</f>
        <v/>
      </c>
      <c r="T69" s="7">
        <f>IF($C69="","",$S69-IF($N69="Purchased",$H69,0)-$Q69)</f>
        <v/>
      </c>
      <c r="U69" s="6">
        <f>IF(OR($C69="",$I69=0),"",CEILING((IF($N69="Purchased",$H69,0)+$Q69)/$I69,1))</f>
        <v/>
      </c>
      <c r="V69" s="3" t="n"/>
    </row>
    <row r="70">
      <c r="A70" t="inlineStr">
        <is>
          <t>W069</t>
        </is>
      </c>
      <c r="B70" s="3" t="n"/>
      <c r="C70" s="3" t="n"/>
      <c r="D70" s="3" t="n"/>
      <c r="E70" s="3" t="n"/>
      <c r="F70">
        <f>IF(E70="","",IMAGE(E70))</f>
        <v/>
      </c>
      <c r="G70" s="3" t="n"/>
      <c r="H70" s="4" t="n"/>
      <c r="I70" s="4" t="n"/>
      <c r="J70" s="3" t="n"/>
      <c r="K70" s="3" t="n"/>
      <c r="L70" s="3" t="n"/>
      <c r="M70" s="3" t="n"/>
      <c r="N70" s="3" t="n"/>
      <c r="O70" s="3" t="n"/>
      <c r="P70" s="5" t="n"/>
      <c r="Q70" s="4" t="n"/>
      <c r="R70" s="6">
        <f>IF($C70="","",COUNTIF(Transactions!$C:$C,$A70))</f>
        <v/>
      </c>
      <c r="S70" s="7">
        <f>IF($C70="","",SUMIF(Transactions!$C:$C,$A70,Transactions!$R:$R))</f>
        <v/>
      </c>
      <c r="T70" s="7">
        <f>IF($C70="","",$S70-IF($N70="Purchased",$H70,0)-$Q70)</f>
        <v/>
      </c>
      <c r="U70" s="6">
        <f>IF(OR($C70="",$I70=0),"",CEILING((IF($N70="Purchased",$H70,0)+$Q70)/$I70,1))</f>
        <v/>
      </c>
      <c r="V70" s="3" t="n"/>
    </row>
    <row r="71">
      <c r="A71" t="inlineStr">
        <is>
          <t>W070</t>
        </is>
      </c>
      <c r="B71" s="3" t="n"/>
      <c r="C71" s="3" t="n"/>
      <c r="D71" s="3" t="n"/>
      <c r="E71" s="3" t="n"/>
      <c r="F71">
        <f>IF(E71="","",IMAGE(E71))</f>
        <v/>
      </c>
      <c r="G71" s="3" t="n"/>
      <c r="H71" s="4" t="n"/>
      <c r="I71" s="4" t="n"/>
      <c r="J71" s="3" t="n"/>
      <c r="K71" s="3" t="n"/>
      <c r="L71" s="3" t="n"/>
      <c r="M71" s="3" t="n"/>
      <c r="N71" s="3" t="n"/>
      <c r="O71" s="3" t="n"/>
      <c r="P71" s="5" t="n"/>
      <c r="Q71" s="4" t="n"/>
      <c r="R71" s="6">
        <f>IF($C71="","",COUNTIF(Transactions!$C:$C,$A71))</f>
        <v/>
      </c>
      <c r="S71" s="7">
        <f>IF($C71="","",SUMIF(Transactions!$C:$C,$A71,Transactions!$R:$R))</f>
        <v/>
      </c>
      <c r="T71" s="7">
        <f>IF($C71="","",$S71-IF($N71="Purchased",$H71,0)-$Q71)</f>
        <v/>
      </c>
      <c r="U71" s="6">
        <f>IF(OR($C71="",$I71=0),"",CEILING((IF($N71="Purchased",$H71,0)+$Q71)/$I71,1))</f>
        <v/>
      </c>
      <c r="V71" s="3" t="n"/>
    </row>
    <row r="72">
      <c r="A72" t="inlineStr">
        <is>
          <t>W071</t>
        </is>
      </c>
      <c r="B72" s="3" t="n"/>
      <c r="C72" s="3" t="n"/>
      <c r="D72" s="3" t="n"/>
      <c r="E72" s="3" t="n"/>
      <c r="F72">
        <f>IF(E72="","",IMAGE(E72))</f>
        <v/>
      </c>
      <c r="G72" s="3" t="n"/>
      <c r="H72" s="4" t="n"/>
      <c r="I72" s="4" t="n"/>
      <c r="J72" s="3" t="n"/>
      <c r="K72" s="3" t="n"/>
      <c r="L72" s="3" t="n"/>
      <c r="M72" s="3" t="n"/>
      <c r="N72" s="3" t="n"/>
      <c r="O72" s="3" t="n"/>
      <c r="P72" s="5" t="n"/>
      <c r="Q72" s="4" t="n"/>
      <c r="R72" s="6">
        <f>IF($C72="","",COUNTIF(Transactions!$C:$C,$A72))</f>
        <v/>
      </c>
      <c r="S72" s="7">
        <f>IF($C72="","",SUMIF(Transactions!$C:$C,$A72,Transactions!$R:$R))</f>
        <v/>
      </c>
      <c r="T72" s="7">
        <f>IF($C72="","",$S72-IF($N72="Purchased",$H72,0)-$Q72)</f>
        <v/>
      </c>
      <c r="U72" s="6">
        <f>IF(OR($C72="",$I72=0),"",CEILING((IF($N72="Purchased",$H72,0)+$Q72)/$I72,1))</f>
        <v/>
      </c>
      <c r="V72" s="3" t="n"/>
    </row>
    <row r="73">
      <c r="A73" t="inlineStr">
        <is>
          <t>W072</t>
        </is>
      </c>
      <c r="B73" s="3" t="n"/>
      <c r="C73" s="3" t="n"/>
      <c r="D73" s="3" t="n"/>
      <c r="E73" s="3" t="n"/>
      <c r="F73">
        <f>IF(E73="","",IMAGE(E73))</f>
        <v/>
      </c>
      <c r="G73" s="3" t="n"/>
      <c r="H73" s="4" t="n"/>
      <c r="I73" s="4" t="n"/>
      <c r="J73" s="3" t="n"/>
      <c r="K73" s="3" t="n"/>
      <c r="L73" s="3" t="n"/>
      <c r="M73" s="3" t="n"/>
      <c r="N73" s="3" t="n"/>
      <c r="O73" s="3" t="n"/>
      <c r="P73" s="5" t="n"/>
      <c r="Q73" s="4" t="n"/>
      <c r="R73" s="6">
        <f>IF($C73="","",COUNTIF(Transactions!$C:$C,$A73))</f>
        <v/>
      </c>
      <c r="S73" s="7">
        <f>IF($C73="","",SUMIF(Transactions!$C:$C,$A73,Transactions!$R:$R))</f>
        <v/>
      </c>
      <c r="T73" s="7">
        <f>IF($C73="","",$S73-IF($N73="Purchased",$H73,0)-$Q73)</f>
        <v/>
      </c>
      <c r="U73" s="6">
        <f>IF(OR($C73="",$I73=0),"",CEILING((IF($N73="Purchased",$H73,0)+$Q73)/$I73,1))</f>
        <v/>
      </c>
      <c r="V73" s="3" t="n"/>
    </row>
    <row r="74">
      <c r="A74" t="inlineStr">
        <is>
          <t>W073</t>
        </is>
      </c>
      <c r="B74" s="3" t="n"/>
      <c r="C74" s="3" t="n"/>
      <c r="D74" s="3" t="n"/>
      <c r="E74" s="3" t="n"/>
      <c r="F74">
        <f>IF(E74="","",IMAGE(E74))</f>
        <v/>
      </c>
      <c r="G74" s="3" t="n"/>
      <c r="H74" s="4" t="n"/>
      <c r="I74" s="4" t="n"/>
      <c r="J74" s="3" t="n"/>
      <c r="K74" s="3" t="n"/>
      <c r="L74" s="3" t="n"/>
      <c r="M74" s="3" t="n"/>
      <c r="N74" s="3" t="n"/>
      <c r="O74" s="3" t="n"/>
      <c r="P74" s="5" t="n"/>
      <c r="Q74" s="4" t="n"/>
      <c r="R74" s="6">
        <f>IF($C74="","",COUNTIF(Transactions!$C:$C,$A74))</f>
        <v/>
      </c>
      <c r="S74" s="7">
        <f>IF($C74="","",SUMIF(Transactions!$C:$C,$A74,Transactions!$R:$R))</f>
        <v/>
      </c>
      <c r="T74" s="7">
        <f>IF($C74="","",$S74-IF($N74="Purchased",$H74,0)-$Q74)</f>
        <v/>
      </c>
      <c r="U74" s="6">
        <f>IF(OR($C74="",$I74=0),"",CEILING((IF($N74="Purchased",$H74,0)+$Q74)/$I74,1))</f>
        <v/>
      </c>
      <c r="V74" s="3" t="n"/>
    </row>
    <row r="75">
      <c r="A75" t="inlineStr">
        <is>
          <t>W074</t>
        </is>
      </c>
      <c r="B75" s="3" t="n"/>
      <c r="C75" s="3" t="n"/>
      <c r="D75" s="3" t="n"/>
      <c r="E75" s="3" t="n"/>
      <c r="F75">
        <f>IF(E75="","",IMAGE(E75))</f>
        <v/>
      </c>
      <c r="G75" s="3" t="n"/>
      <c r="H75" s="4" t="n"/>
      <c r="I75" s="4" t="n"/>
      <c r="J75" s="3" t="n"/>
      <c r="K75" s="3" t="n"/>
      <c r="L75" s="3" t="n"/>
      <c r="M75" s="3" t="n"/>
      <c r="N75" s="3" t="n"/>
      <c r="O75" s="3" t="n"/>
      <c r="P75" s="5" t="n"/>
      <c r="Q75" s="4" t="n"/>
      <c r="R75" s="6">
        <f>IF($C75="","",COUNTIF(Transactions!$C:$C,$A75))</f>
        <v/>
      </c>
      <c r="S75" s="7">
        <f>IF($C75="","",SUMIF(Transactions!$C:$C,$A75,Transactions!$R:$R))</f>
        <v/>
      </c>
      <c r="T75" s="7">
        <f>IF($C75="","",$S75-IF($N75="Purchased",$H75,0)-$Q75)</f>
        <v/>
      </c>
      <c r="U75" s="6">
        <f>IF(OR($C75="",$I75=0),"",CEILING((IF($N75="Purchased",$H75,0)+$Q75)/$I75,1))</f>
        <v/>
      </c>
      <c r="V75" s="3" t="n"/>
    </row>
    <row r="76">
      <c r="A76" t="inlineStr">
        <is>
          <t>W075</t>
        </is>
      </c>
      <c r="B76" s="3" t="n"/>
      <c r="C76" s="3" t="n"/>
      <c r="D76" s="3" t="n"/>
      <c r="E76" s="3" t="n"/>
      <c r="F76">
        <f>IF(E76="","",IMAGE(E76))</f>
        <v/>
      </c>
      <c r="G76" s="3" t="n"/>
      <c r="H76" s="4" t="n"/>
      <c r="I76" s="4" t="n"/>
      <c r="J76" s="3" t="n"/>
      <c r="K76" s="3" t="n"/>
      <c r="L76" s="3" t="n"/>
      <c r="M76" s="3" t="n"/>
      <c r="N76" s="3" t="n"/>
      <c r="O76" s="3" t="n"/>
      <c r="P76" s="5" t="n"/>
      <c r="Q76" s="4" t="n"/>
      <c r="R76" s="6">
        <f>IF($C76="","",COUNTIF(Transactions!$C:$C,$A76))</f>
        <v/>
      </c>
      <c r="S76" s="7">
        <f>IF($C76="","",SUMIF(Transactions!$C:$C,$A76,Transactions!$R:$R))</f>
        <v/>
      </c>
      <c r="T76" s="7">
        <f>IF($C76="","",$S76-IF($N76="Purchased",$H76,0)-$Q76)</f>
        <v/>
      </c>
      <c r="U76" s="6">
        <f>IF(OR($C76="",$I76=0),"",CEILING((IF($N76="Purchased",$H76,0)+$Q76)/$I76,1))</f>
        <v/>
      </c>
      <c r="V76" s="3" t="n"/>
    </row>
    <row r="77">
      <c r="A77" t="inlineStr">
        <is>
          <t>W076</t>
        </is>
      </c>
      <c r="B77" s="3" t="n"/>
      <c r="C77" s="3" t="n"/>
      <c r="D77" s="3" t="n"/>
      <c r="E77" s="3" t="n"/>
      <c r="F77">
        <f>IF(E77="","",IMAGE(E77))</f>
        <v/>
      </c>
      <c r="G77" s="3" t="n"/>
      <c r="H77" s="4" t="n"/>
      <c r="I77" s="4" t="n"/>
      <c r="J77" s="3" t="n"/>
      <c r="K77" s="3" t="n"/>
      <c r="L77" s="3" t="n"/>
      <c r="M77" s="3" t="n"/>
      <c r="N77" s="3" t="n"/>
      <c r="O77" s="3" t="n"/>
      <c r="P77" s="5" t="n"/>
      <c r="Q77" s="4" t="n"/>
      <c r="R77" s="6">
        <f>IF($C77="","",COUNTIF(Transactions!$C:$C,$A77))</f>
        <v/>
      </c>
      <c r="S77" s="7">
        <f>IF($C77="","",SUMIF(Transactions!$C:$C,$A77,Transactions!$R:$R))</f>
        <v/>
      </c>
      <c r="T77" s="7">
        <f>IF($C77="","",$S77-IF($N77="Purchased",$H77,0)-$Q77)</f>
        <v/>
      </c>
      <c r="U77" s="6">
        <f>IF(OR($C77="",$I77=0),"",CEILING((IF($N77="Purchased",$H77,0)+$Q77)/$I77,1))</f>
        <v/>
      </c>
      <c r="V77" s="3" t="n"/>
    </row>
    <row r="78">
      <c r="A78" t="inlineStr">
        <is>
          <t>W077</t>
        </is>
      </c>
      <c r="B78" s="3" t="n"/>
      <c r="C78" s="3" t="n"/>
      <c r="D78" s="3" t="n"/>
      <c r="E78" s="3" t="n"/>
      <c r="F78">
        <f>IF(E78="","",IMAGE(E78))</f>
        <v/>
      </c>
      <c r="G78" s="3" t="n"/>
      <c r="H78" s="4" t="n"/>
      <c r="I78" s="4" t="n"/>
      <c r="J78" s="3" t="n"/>
      <c r="K78" s="3" t="n"/>
      <c r="L78" s="3" t="n"/>
      <c r="M78" s="3" t="n"/>
      <c r="N78" s="3" t="n"/>
      <c r="O78" s="3" t="n"/>
      <c r="P78" s="5" t="n"/>
      <c r="Q78" s="4" t="n"/>
      <c r="R78" s="6">
        <f>IF($C78="","",COUNTIF(Transactions!$C:$C,$A78))</f>
        <v/>
      </c>
      <c r="S78" s="7">
        <f>IF($C78="","",SUMIF(Transactions!$C:$C,$A78,Transactions!$R:$R))</f>
        <v/>
      </c>
      <c r="T78" s="7">
        <f>IF($C78="","",$S78-IF($N78="Purchased",$H78,0)-$Q78)</f>
        <v/>
      </c>
      <c r="U78" s="6">
        <f>IF(OR($C78="",$I78=0),"",CEILING((IF($N78="Purchased",$H78,0)+$Q78)/$I78,1))</f>
        <v/>
      </c>
      <c r="V78" s="3" t="n"/>
    </row>
    <row r="79">
      <c r="A79" t="inlineStr">
        <is>
          <t>W078</t>
        </is>
      </c>
      <c r="B79" s="3" t="n"/>
      <c r="C79" s="3" t="n"/>
      <c r="D79" s="3" t="n"/>
      <c r="E79" s="3" t="n"/>
      <c r="F79">
        <f>IF(E79="","",IMAGE(E79))</f>
        <v/>
      </c>
      <c r="G79" s="3" t="n"/>
      <c r="H79" s="4" t="n"/>
      <c r="I79" s="4" t="n"/>
      <c r="J79" s="3" t="n"/>
      <c r="K79" s="3" t="n"/>
      <c r="L79" s="3" t="n"/>
      <c r="M79" s="3" t="n"/>
      <c r="N79" s="3" t="n"/>
      <c r="O79" s="3" t="n"/>
      <c r="P79" s="5" t="n"/>
      <c r="Q79" s="4" t="n"/>
      <c r="R79" s="6">
        <f>IF($C79="","",COUNTIF(Transactions!$C:$C,$A79))</f>
        <v/>
      </c>
      <c r="S79" s="7">
        <f>IF($C79="","",SUMIF(Transactions!$C:$C,$A79,Transactions!$R:$R))</f>
        <v/>
      </c>
      <c r="T79" s="7">
        <f>IF($C79="","",$S79-IF($N79="Purchased",$H79,0)-$Q79)</f>
        <v/>
      </c>
      <c r="U79" s="6">
        <f>IF(OR($C79="",$I79=0),"",CEILING((IF($N79="Purchased",$H79,0)+$Q79)/$I79,1))</f>
        <v/>
      </c>
      <c r="V79" s="3" t="n"/>
    </row>
    <row r="80">
      <c r="A80" t="inlineStr">
        <is>
          <t>W079</t>
        </is>
      </c>
      <c r="B80" s="3" t="n"/>
      <c r="C80" s="3" t="n"/>
      <c r="D80" s="3" t="n"/>
      <c r="E80" s="3" t="n"/>
      <c r="F80">
        <f>IF(E80="","",IMAGE(E80))</f>
        <v/>
      </c>
      <c r="G80" s="3" t="n"/>
      <c r="H80" s="4" t="n"/>
      <c r="I80" s="4" t="n"/>
      <c r="J80" s="3" t="n"/>
      <c r="K80" s="3" t="n"/>
      <c r="L80" s="3" t="n"/>
      <c r="M80" s="3" t="n"/>
      <c r="N80" s="3" t="n"/>
      <c r="O80" s="3" t="n"/>
      <c r="P80" s="5" t="n"/>
      <c r="Q80" s="4" t="n"/>
      <c r="R80" s="6">
        <f>IF($C80="","",COUNTIF(Transactions!$C:$C,$A80))</f>
        <v/>
      </c>
      <c r="S80" s="7">
        <f>IF($C80="","",SUMIF(Transactions!$C:$C,$A80,Transactions!$R:$R))</f>
        <v/>
      </c>
      <c r="T80" s="7">
        <f>IF($C80="","",$S80-IF($N80="Purchased",$H80,0)-$Q80)</f>
        <v/>
      </c>
      <c r="U80" s="6">
        <f>IF(OR($C80="",$I80=0),"",CEILING((IF($N80="Purchased",$H80,0)+$Q80)/$I80,1))</f>
        <v/>
      </c>
      <c r="V80" s="3" t="n"/>
    </row>
    <row r="81">
      <c r="A81" t="inlineStr">
        <is>
          <t>W080</t>
        </is>
      </c>
      <c r="B81" s="3" t="n"/>
      <c r="C81" s="3" t="n"/>
      <c r="D81" s="3" t="n"/>
      <c r="E81" s="3" t="n"/>
      <c r="F81">
        <f>IF(E81="","",IMAGE(E81))</f>
        <v/>
      </c>
      <c r="G81" s="3" t="n"/>
      <c r="H81" s="4" t="n"/>
      <c r="I81" s="4" t="n"/>
      <c r="J81" s="3" t="n"/>
      <c r="K81" s="3" t="n"/>
      <c r="L81" s="3" t="n"/>
      <c r="M81" s="3" t="n"/>
      <c r="N81" s="3" t="n"/>
      <c r="O81" s="3" t="n"/>
      <c r="P81" s="5" t="n"/>
      <c r="Q81" s="4" t="n"/>
      <c r="R81" s="6">
        <f>IF($C81="","",COUNTIF(Transactions!$C:$C,$A81))</f>
        <v/>
      </c>
      <c r="S81" s="7">
        <f>IF($C81="","",SUMIF(Transactions!$C:$C,$A81,Transactions!$R:$R))</f>
        <v/>
      </c>
      <c r="T81" s="7">
        <f>IF($C81="","",$S81-IF($N81="Purchased",$H81,0)-$Q81)</f>
        <v/>
      </c>
      <c r="U81" s="6">
        <f>IF(OR($C81="",$I81=0),"",CEILING((IF($N81="Purchased",$H81,0)+$Q81)/$I81,1))</f>
        <v/>
      </c>
      <c r="V81" s="3" t="n"/>
    </row>
    <row r="82">
      <c r="A82" t="inlineStr">
        <is>
          <t>W081</t>
        </is>
      </c>
      <c r="B82" s="3" t="n"/>
      <c r="C82" s="3" t="n"/>
      <c r="D82" s="3" t="n"/>
      <c r="E82" s="3" t="n"/>
      <c r="F82">
        <f>IF(E82="","",IMAGE(E82))</f>
        <v/>
      </c>
      <c r="G82" s="3" t="n"/>
      <c r="H82" s="4" t="n"/>
      <c r="I82" s="4" t="n"/>
      <c r="J82" s="3" t="n"/>
      <c r="K82" s="3" t="n"/>
      <c r="L82" s="3" t="n"/>
      <c r="M82" s="3" t="n"/>
      <c r="N82" s="3" t="n"/>
      <c r="O82" s="3" t="n"/>
      <c r="P82" s="5" t="n"/>
      <c r="Q82" s="4" t="n"/>
      <c r="R82" s="6">
        <f>IF($C82="","",COUNTIF(Transactions!$C:$C,$A82))</f>
        <v/>
      </c>
      <c r="S82" s="7">
        <f>IF($C82="","",SUMIF(Transactions!$C:$C,$A82,Transactions!$R:$R))</f>
        <v/>
      </c>
      <c r="T82" s="7">
        <f>IF($C82="","",$S82-IF($N82="Purchased",$H82,0)-$Q82)</f>
        <v/>
      </c>
      <c r="U82" s="6">
        <f>IF(OR($C82="",$I82=0),"",CEILING((IF($N82="Purchased",$H82,0)+$Q82)/$I82,1))</f>
        <v/>
      </c>
      <c r="V82" s="3" t="n"/>
    </row>
    <row r="83">
      <c r="A83" t="inlineStr">
        <is>
          <t>W082</t>
        </is>
      </c>
      <c r="B83" s="3" t="n"/>
      <c r="C83" s="3" t="n"/>
      <c r="D83" s="3" t="n"/>
      <c r="E83" s="3" t="n"/>
      <c r="F83">
        <f>IF(E83="","",IMAGE(E83))</f>
        <v/>
      </c>
      <c r="G83" s="3" t="n"/>
      <c r="H83" s="4" t="n"/>
      <c r="I83" s="4" t="n"/>
      <c r="J83" s="3" t="n"/>
      <c r="K83" s="3" t="n"/>
      <c r="L83" s="3" t="n"/>
      <c r="M83" s="3" t="n"/>
      <c r="N83" s="3" t="n"/>
      <c r="O83" s="3" t="n"/>
      <c r="P83" s="5" t="n"/>
      <c r="Q83" s="4" t="n"/>
      <c r="R83" s="6">
        <f>IF($C83="","",COUNTIF(Transactions!$C:$C,$A83))</f>
        <v/>
      </c>
      <c r="S83" s="7">
        <f>IF($C83="","",SUMIF(Transactions!$C:$C,$A83,Transactions!$R:$R))</f>
        <v/>
      </c>
      <c r="T83" s="7">
        <f>IF($C83="","",$S83-IF($N83="Purchased",$H83,0)-$Q83)</f>
        <v/>
      </c>
      <c r="U83" s="6">
        <f>IF(OR($C83="",$I83=0),"",CEILING((IF($N83="Purchased",$H83,0)+$Q83)/$I83,1))</f>
        <v/>
      </c>
      <c r="V83" s="3" t="n"/>
    </row>
    <row r="84">
      <c r="A84" t="inlineStr">
        <is>
          <t>W083</t>
        </is>
      </c>
      <c r="B84" s="3" t="n"/>
      <c r="C84" s="3" t="n"/>
      <c r="D84" s="3" t="n"/>
      <c r="E84" s="3" t="n"/>
      <c r="F84">
        <f>IF(E84="","",IMAGE(E84))</f>
        <v/>
      </c>
      <c r="G84" s="3" t="n"/>
      <c r="H84" s="4" t="n"/>
      <c r="I84" s="4" t="n"/>
      <c r="J84" s="3" t="n"/>
      <c r="K84" s="3" t="n"/>
      <c r="L84" s="3" t="n"/>
      <c r="M84" s="3" t="n"/>
      <c r="N84" s="3" t="n"/>
      <c r="O84" s="3" t="n"/>
      <c r="P84" s="5" t="n"/>
      <c r="Q84" s="4" t="n"/>
      <c r="R84" s="6">
        <f>IF($C84="","",COUNTIF(Transactions!$C:$C,$A84))</f>
        <v/>
      </c>
      <c r="S84" s="7">
        <f>IF($C84="","",SUMIF(Transactions!$C:$C,$A84,Transactions!$R:$R))</f>
        <v/>
      </c>
      <c r="T84" s="7">
        <f>IF($C84="","",$S84-IF($N84="Purchased",$H84,0)-$Q84)</f>
        <v/>
      </c>
      <c r="U84" s="6">
        <f>IF(OR($C84="",$I84=0),"",CEILING((IF($N84="Purchased",$H84,0)+$Q84)/$I84,1))</f>
        <v/>
      </c>
      <c r="V84" s="3" t="n"/>
    </row>
    <row r="85">
      <c r="A85" t="inlineStr">
        <is>
          <t>W084</t>
        </is>
      </c>
      <c r="B85" s="3" t="n"/>
      <c r="C85" s="3" t="n"/>
      <c r="D85" s="3" t="n"/>
      <c r="E85" s="3" t="n"/>
      <c r="F85">
        <f>IF(E85="","",IMAGE(E85))</f>
        <v/>
      </c>
      <c r="G85" s="3" t="n"/>
      <c r="H85" s="4" t="n"/>
      <c r="I85" s="4" t="n"/>
      <c r="J85" s="3" t="n"/>
      <c r="K85" s="3" t="n"/>
      <c r="L85" s="3" t="n"/>
      <c r="M85" s="3" t="n"/>
      <c r="N85" s="3" t="n"/>
      <c r="O85" s="3" t="n"/>
      <c r="P85" s="5" t="n"/>
      <c r="Q85" s="4" t="n"/>
      <c r="R85" s="6">
        <f>IF($C85="","",COUNTIF(Transactions!$C:$C,$A85))</f>
        <v/>
      </c>
      <c r="S85" s="7">
        <f>IF($C85="","",SUMIF(Transactions!$C:$C,$A85,Transactions!$R:$R))</f>
        <v/>
      </c>
      <c r="T85" s="7">
        <f>IF($C85="","",$S85-IF($N85="Purchased",$H85,0)-$Q85)</f>
        <v/>
      </c>
      <c r="U85" s="6">
        <f>IF(OR($C85="",$I85=0),"",CEILING((IF($N85="Purchased",$H85,0)+$Q85)/$I85,1))</f>
        <v/>
      </c>
      <c r="V85" s="3" t="n"/>
    </row>
    <row r="86">
      <c r="A86" t="inlineStr">
        <is>
          <t>W085</t>
        </is>
      </c>
      <c r="B86" s="3" t="n"/>
      <c r="C86" s="3" t="n"/>
      <c r="D86" s="3" t="n"/>
      <c r="E86" s="3" t="n"/>
      <c r="F86">
        <f>IF(E86="","",IMAGE(E86))</f>
        <v/>
      </c>
      <c r="G86" s="3" t="n"/>
      <c r="H86" s="4" t="n"/>
      <c r="I86" s="4" t="n"/>
      <c r="J86" s="3" t="n"/>
      <c r="K86" s="3" t="n"/>
      <c r="L86" s="3" t="n"/>
      <c r="M86" s="3" t="n"/>
      <c r="N86" s="3" t="n"/>
      <c r="O86" s="3" t="n"/>
      <c r="P86" s="5" t="n"/>
      <c r="Q86" s="4" t="n"/>
      <c r="R86" s="6">
        <f>IF($C86="","",COUNTIF(Transactions!$C:$C,$A86))</f>
        <v/>
      </c>
      <c r="S86" s="7">
        <f>IF($C86="","",SUMIF(Transactions!$C:$C,$A86,Transactions!$R:$R))</f>
        <v/>
      </c>
      <c r="T86" s="7">
        <f>IF($C86="","",$S86-IF($N86="Purchased",$H86,0)-$Q86)</f>
        <v/>
      </c>
      <c r="U86" s="6">
        <f>IF(OR($C86="",$I86=0),"",CEILING((IF($N86="Purchased",$H86,0)+$Q86)/$I86,1))</f>
        <v/>
      </c>
      <c r="V86" s="3" t="n"/>
    </row>
    <row r="87">
      <c r="A87" t="inlineStr">
        <is>
          <t>W086</t>
        </is>
      </c>
      <c r="B87" s="3" t="n"/>
      <c r="C87" s="3" t="n"/>
      <c r="D87" s="3" t="n"/>
      <c r="E87" s="3" t="n"/>
      <c r="F87">
        <f>IF(E87="","",IMAGE(E87))</f>
        <v/>
      </c>
      <c r="G87" s="3" t="n"/>
      <c r="H87" s="4" t="n"/>
      <c r="I87" s="4" t="n"/>
      <c r="J87" s="3" t="n"/>
      <c r="K87" s="3" t="n"/>
      <c r="L87" s="3" t="n"/>
      <c r="M87" s="3" t="n"/>
      <c r="N87" s="3" t="n"/>
      <c r="O87" s="3" t="n"/>
      <c r="P87" s="5" t="n"/>
      <c r="Q87" s="4" t="n"/>
      <c r="R87" s="6">
        <f>IF($C87="","",COUNTIF(Transactions!$C:$C,$A87))</f>
        <v/>
      </c>
      <c r="S87" s="7">
        <f>IF($C87="","",SUMIF(Transactions!$C:$C,$A87,Transactions!$R:$R))</f>
        <v/>
      </c>
      <c r="T87" s="7">
        <f>IF($C87="","",$S87-IF($N87="Purchased",$H87,0)-$Q87)</f>
        <v/>
      </c>
      <c r="U87" s="6">
        <f>IF(OR($C87="",$I87=0),"",CEILING((IF($N87="Purchased",$H87,0)+$Q87)/$I87,1))</f>
        <v/>
      </c>
      <c r="V87" s="3" t="n"/>
    </row>
    <row r="88">
      <c r="A88" t="inlineStr">
        <is>
          <t>W087</t>
        </is>
      </c>
      <c r="B88" s="3" t="n"/>
      <c r="C88" s="3" t="n"/>
      <c r="D88" s="3" t="n"/>
      <c r="E88" s="3" t="n"/>
      <c r="F88">
        <f>IF(E88="","",IMAGE(E88))</f>
        <v/>
      </c>
      <c r="G88" s="3" t="n"/>
      <c r="H88" s="4" t="n"/>
      <c r="I88" s="4" t="n"/>
      <c r="J88" s="3" t="n"/>
      <c r="K88" s="3" t="n"/>
      <c r="L88" s="3" t="n"/>
      <c r="M88" s="3" t="n"/>
      <c r="N88" s="3" t="n"/>
      <c r="O88" s="3" t="n"/>
      <c r="P88" s="5" t="n"/>
      <c r="Q88" s="4" t="n"/>
      <c r="R88" s="6">
        <f>IF($C88="","",COUNTIF(Transactions!$C:$C,$A88))</f>
        <v/>
      </c>
      <c r="S88" s="7">
        <f>IF($C88="","",SUMIF(Transactions!$C:$C,$A88,Transactions!$R:$R))</f>
        <v/>
      </c>
      <c r="T88" s="7">
        <f>IF($C88="","",$S88-IF($N88="Purchased",$H88,0)-$Q88)</f>
        <v/>
      </c>
      <c r="U88" s="6">
        <f>IF(OR($C88="",$I88=0),"",CEILING((IF($N88="Purchased",$H88,0)+$Q88)/$I88,1))</f>
        <v/>
      </c>
      <c r="V88" s="3" t="n"/>
    </row>
    <row r="89">
      <c r="A89" t="inlineStr">
        <is>
          <t>W088</t>
        </is>
      </c>
      <c r="B89" s="3" t="n"/>
      <c r="C89" s="3" t="n"/>
      <c r="D89" s="3" t="n"/>
      <c r="E89" s="3" t="n"/>
      <c r="F89">
        <f>IF(E89="","",IMAGE(E89))</f>
        <v/>
      </c>
      <c r="G89" s="3" t="n"/>
      <c r="H89" s="4" t="n"/>
      <c r="I89" s="4" t="n"/>
      <c r="J89" s="3" t="n"/>
      <c r="K89" s="3" t="n"/>
      <c r="L89" s="3" t="n"/>
      <c r="M89" s="3" t="n"/>
      <c r="N89" s="3" t="n"/>
      <c r="O89" s="3" t="n"/>
      <c r="P89" s="5" t="n"/>
      <c r="Q89" s="4" t="n"/>
      <c r="R89" s="6">
        <f>IF($C89="","",COUNTIF(Transactions!$C:$C,$A89))</f>
        <v/>
      </c>
      <c r="S89" s="7">
        <f>IF($C89="","",SUMIF(Transactions!$C:$C,$A89,Transactions!$R:$R))</f>
        <v/>
      </c>
      <c r="T89" s="7">
        <f>IF($C89="","",$S89-IF($N89="Purchased",$H89,0)-$Q89)</f>
        <v/>
      </c>
      <c r="U89" s="6">
        <f>IF(OR($C89="",$I89=0),"",CEILING((IF($N89="Purchased",$H89,0)+$Q89)/$I89,1))</f>
        <v/>
      </c>
      <c r="V89" s="3" t="n"/>
    </row>
    <row r="90">
      <c r="A90" t="inlineStr">
        <is>
          <t>W089</t>
        </is>
      </c>
      <c r="B90" s="3" t="n"/>
      <c r="C90" s="3" t="n"/>
      <c r="D90" s="3" t="n"/>
      <c r="E90" s="3" t="n"/>
      <c r="F90">
        <f>IF(E90="","",IMAGE(E90))</f>
        <v/>
      </c>
      <c r="G90" s="3" t="n"/>
      <c r="H90" s="4" t="n"/>
      <c r="I90" s="4" t="n"/>
      <c r="J90" s="3" t="n"/>
      <c r="K90" s="3" t="n"/>
      <c r="L90" s="3" t="n"/>
      <c r="M90" s="3" t="n"/>
      <c r="N90" s="3" t="n"/>
      <c r="O90" s="3" t="n"/>
      <c r="P90" s="5" t="n"/>
      <c r="Q90" s="4" t="n"/>
      <c r="R90" s="6">
        <f>IF($C90="","",COUNTIF(Transactions!$C:$C,$A90))</f>
        <v/>
      </c>
      <c r="S90" s="7">
        <f>IF($C90="","",SUMIF(Transactions!$C:$C,$A90,Transactions!$R:$R))</f>
        <v/>
      </c>
      <c r="T90" s="7">
        <f>IF($C90="","",$S90-IF($N90="Purchased",$H90,0)-$Q90)</f>
        <v/>
      </c>
      <c r="U90" s="6">
        <f>IF(OR($C90="",$I90=0),"",CEILING((IF($N90="Purchased",$H90,0)+$Q90)/$I90,1))</f>
        <v/>
      </c>
      <c r="V90" s="3" t="n"/>
    </row>
    <row r="91">
      <c r="A91" t="inlineStr">
        <is>
          <t>W090</t>
        </is>
      </c>
      <c r="B91" s="3" t="n"/>
      <c r="C91" s="3" t="n"/>
      <c r="D91" s="3" t="n"/>
      <c r="E91" s="3" t="n"/>
      <c r="F91">
        <f>IF(E91="","",IMAGE(E91))</f>
        <v/>
      </c>
      <c r="G91" s="3" t="n"/>
      <c r="H91" s="4" t="n"/>
      <c r="I91" s="4" t="n"/>
      <c r="J91" s="3" t="n"/>
      <c r="K91" s="3" t="n"/>
      <c r="L91" s="3" t="n"/>
      <c r="M91" s="3" t="n"/>
      <c r="N91" s="3" t="n"/>
      <c r="O91" s="3" t="n"/>
      <c r="P91" s="5" t="n"/>
      <c r="Q91" s="4" t="n"/>
      <c r="R91" s="6">
        <f>IF($C91="","",COUNTIF(Transactions!$C:$C,$A91))</f>
        <v/>
      </c>
      <c r="S91" s="7">
        <f>IF($C91="","",SUMIF(Transactions!$C:$C,$A91,Transactions!$R:$R))</f>
        <v/>
      </c>
      <c r="T91" s="7">
        <f>IF($C91="","",$S91-IF($N91="Purchased",$H91,0)-$Q91)</f>
        <v/>
      </c>
      <c r="U91" s="6">
        <f>IF(OR($C91="",$I91=0),"",CEILING((IF($N91="Purchased",$H91,0)+$Q91)/$I91,1))</f>
        <v/>
      </c>
      <c r="V91" s="3" t="n"/>
    </row>
    <row r="92">
      <c r="A92" t="inlineStr">
        <is>
          <t>W091</t>
        </is>
      </c>
      <c r="B92" s="3" t="n"/>
      <c r="C92" s="3" t="n"/>
      <c r="D92" s="3" t="n"/>
      <c r="E92" s="3" t="n"/>
      <c r="F92">
        <f>IF(E92="","",IMAGE(E92))</f>
        <v/>
      </c>
      <c r="G92" s="3" t="n"/>
      <c r="H92" s="4" t="n"/>
      <c r="I92" s="4" t="n"/>
      <c r="J92" s="3" t="n"/>
      <c r="K92" s="3" t="n"/>
      <c r="L92" s="3" t="n"/>
      <c r="M92" s="3" t="n"/>
      <c r="N92" s="3" t="n"/>
      <c r="O92" s="3" t="n"/>
      <c r="P92" s="5" t="n"/>
      <c r="Q92" s="4" t="n"/>
      <c r="R92" s="6">
        <f>IF($C92="","",COUNTIF(Transactions!$C:$C,$A92))</f>
        <v/>
      </c>
      <c r="S92" s="7">
        <f>IF($C92="","",SUMIF(Transactions!$C:$C,$A92,Transactions!$R:$R))</f>
        <v/>
      </c>
      <c r="T92" s="7">
        <f>IF($C92="","",$S92-IF($N92="Purchased",$H92,0)-$Q92)</f>
        <v/>
      </c>
      <c r="U92" s="6">
        <f>IF(OR($C92="",$I92=0),"",CEILING((IF($N92="Purchased",$H92,0)+$Q92)/$I92,1))</f>
        <v/>
      </c>
      <c r="V92" s="3" t="n"/>
    </row>
    <row r="93">
      <c r="A93" t="inlineStr">
        <is>
          <t>W092</t>
        </is>
      </c>
      <c r="B93" s="3" t="n"/>
      <c r="C93" s="3" t="n"/>
      <c r="D93" s="3" t="n"/>
      <c r="E93" s="3" t="n"/>
      <c r="F93">
        <f>IF(E93="","",IMAGE(E93))</f>
        <v/>
      </c>
      <c r="G93" s="3" t="n"/>
      <c r="H93" s="4" t="n"/>
      <c r="I93" s="4" t="n"/>
      <c r="J93" s="3" t="n"/>
      <c r="K93" s="3" t="n"/>
      <c r="L93" s="3" t="n"/>
      <c r="M93" s="3" t="n"/>
      <c r="N93" s="3" t="n"/>
      <c r="O93" s="3" t="n"/>
      <c r="P93" s="5" t="n"/>
      <c r="Q93" s="4" t="n"/>
      <c r="R93" s="6">
        <f>IF($C93="","",COUNTIF(Transactions!$C:$C,$A93))</f>
        <v/>
      </c>
      <c r="S93" s="7">
        <f>IF($C93="","",SUMIF(Transactions!$C:$C,$A93,Transactions!$R:$R))</f>
        <v/>
      </c>
      <c r="T93" s="7">
        <f>IF($C93="","",$S93-IF($N93="Purchased",$H93,0)-$Q93)</f>
        <v/>
      </c>
      <c r="U93" s="6">
        <f>IF(OR($C93="",$I93=0),"",CEILING((IF($N93="Purchased",$H93,0)+$Q93)/$I93,1))</f>
        <v/>
      </c>
      <c r="V93" s="3" t="n"/>
    </row>
    <row r="94">
      <c r="A94" t="inlineStr">
        <is>
          <t>W093</t>
        </is>
      </c>
      <c r="B94" s="3" t="n"/>
      <c r="C94" s="3" t="n"/>
      <c r="D94" s="3" t="n"/>
      <c r="E94" s="3" t="n"/>
      <c r="F94">
        <f>IF(E94="","",IMAGE(E94))</f>
        <v/>
      </c>
      <c r="G94" s="3" t="n"/>
      <c r="H94" s="4" t="n"/>
      <c r="I94" s="4" t="n"/>
      <c r="J94" s="3" t="n"/>
      <c r="K94" s="3" t="n"/>
      <c r="L94" s="3" t="n"/>
      <c r="M94" s="3" t="n"/>
      <c r="N94" s="3" t="n"/>
      <c r="O94" s="3" t="n"/>
      <c r="P94" s="5" t="n"/>
      <c r="Q94" s="4" t="n"/>
      <c r="R94" s="6">
        <f>IF($C94="","",COUNTIF(Transactions!$C:$C,$A94))</f>
        <v/>
      </c>
      <c r="S94" s="7">
        <f>IF($C94="","",SUMIF(Transactions!$C:$C,$A94,Transactions!$R:$R))</f>
        <v/>
      </c>
      <c r="T94" s="7">
        <f>IF($C94="","",$S94-IF($N94="Purchased",$H94,0)-$Q94)</f>
        <v/>
      </c>
      <c r="U94" s="6">
        <f>IF(OR($C94="",$I94=0),"",CEILING((IF($N94="Purchased",$H94,0)+$Q94)/$I94,1))</f>
        <v/>
      </c>
      <c r="V94" s="3" t="n"/>
    </row>
    <row r="95">
      <c r="A95" t="inlineStr">
        <is>
          <t>W094</t>
        </is>
      </c>
      <c r="B95" s="3" t="n"/>
      <c r="C95" s="3" t="n"/>
      <c r="D95" s="3" t="n"/>
      <c r="E95" s="3" t="n"/>
      <c r="F95">
        <f>IF(E95="","",IMAGE(E95))</f>
        <v/>
      </c>
      <c r="G95" s="3" t="n"/>
      <c r="H95" s="4" t="n"/>
      <c r="I95" s="4" t="n"/>
      <c r="J95" s="3" t="n"/>
      <c r="K95" s="3" t="n"/>
      <c r="L95" s="3" t="n"/>
      <c r="M95" s="3" t="n"/>
      <c r="N95" s="3" t="n"/>
      <c r="O95" s="3" t="n"/>
      <c r="P95" s="5" t="n"/>
      <c r="Q95" s="4" t="n"/>
      <c r="R95" s="6">
        <f>IF($C95="","",COUNTIF(Transactions!$C:$C,$A95))</f>
        <v/>
      </c>
      <c r="S95" s="7">
        <f>IF($C95="","",SUMIF(Transactions!$C:$C,$A95,Transactions!$R:$R))</f>
        <v/>
      </c>
      <c r="T95" s="7">
        <f>IF($C95="","",$S95-IF($N95="Purchased",$H95,0)-$Q95)</f>
        <v/>
      </c>
      <c r="U95" s="6">
        <f>IF(OR($C95="",$I95=0),"",CEILING((IF($N95="Purchased",$H95,0)+$Q95)/$I95,1))</f>
        <v/>
      </c>
      <c r="V95" s="3" t="n"/>
    </row>
    <row r="96">
      <c r="A96" t="inlineStr">
        <is>
          <t>W095</t>
        </is>
      </c>
      <c r="B96" s="3" t="n"/>
      <c r="C96" s="3" t="n"/>
      <c r="D96" s="3" t="n"/>
      <c r="E96" s="3" t="n"/>
      <c r="F96">
        <f>IF(E96="","",IMAGE(E96))</f>
        <v/>
      </c>
      <c r="G96" s="3" t="n"/>
      <c r="H96" s="4" t="n"/>
      <c r="I96" s="4" t="n"/>
      <c r="J96" s="3" t="n"/>
      <c r="K96" s="3" t="n"/>
      <c r="L96" s="3" t="n"/>
      <c r="M96" s="3" t="n"/>
      <c r="N96" s="3" t="n"/>
      <c r="O96" s="3" t="n"/>
      <c r="P96" s="5" t="n"/>
      <c r="Q96" s="4" t="n"/>
      <c r="R96" s="6">
        <f>IF($C96="","",COUNTIF(Transactions!$C:$C,$A96))</f>
        <v/>
      </c>
      <c r="S96" s="7">
        <f>IF($C96="","",SUMIF(Transactions!$C:$C,$A96,Transactions!$R:$R))</f>
        <v/>
      </c>
      <c r="T96" s="7">
        <f>IF($C96="","",$S96-IF($N96="Purchased",$H96,0)-$Q96)</f>
        <v/>
      </c>
      <c r="U96" s="6">
        <f>IF(OR($C96="",$I96=0),"",CEILING((IF($N96="Purchased",$H96,0)+$Q96)/$I96,1))</f>
        <v/>
      </c>
      <c r="V96" s="3" t="n"/>
    </row>
    <row r="97">
      <c r="A97" t="inlineStr">
        <is>
          <t>W096</t>
        </is>
      </c>
      <c r="B97" s="3" t="n"/>
      <c r="C97" s="3" t="n"/>
      <c r="D97" s="3" t="n"/>
      <c r="E97" s="3" t="n"/>
      <c r="F97">
        <f>IF(E97="","",IMAGE(E97))</f>
        <v/>
      </c>
      <c r="G97" s="3" t="n"/>
      <c r="H97" s="4" t="n"/>
      <c r="I97" s="4" t="n"/>
      <c r="J97" s="3" t="n"/>
      <c r="K97" s="3" t="n"/>
      <c r="L97" s="3" t="n"/>
      <c r="M97" s="3" t="n"/>
      <c r="N97" s="3" t="n"/>
      <c r="O97" s="3" t="n"/>
      <c r="P97" s="5" t="n"/>
      <c r="Q97" s="4" t="n"/>
      <c r="R97" s="6">
        <f>IF($C97="","",COUNTIF(Transactions!$C:$C,$A97))</f>
        <v/>
      </c>
      <c r="S97" s="7">
        <f>IF($C97="","",SUMIF(Transactions!$C:$C,$A97,Transactions!$R:$R))</f>
        <v/>
      </c>
      <c r="T97" s="7">
        <f>IF($C97="","",$S97-IF($N97="Purchased",$H97,0)-$Q97)</f>
        <v/>
      </c>
      <c r="U97" s="6">
        <f>IF(OR($C97="",$I97=0),"",CEILING((IF($N97="Purchased",$H97,0)+$Q97)/$I97,1))</f>
        <v/>
      </c>
      <c r="V97" s="3" t="n"/>
    </row>
    <row r="98">
      <c r="A98" t="inlineStr">
        <is>
          <t>W097</t>
        </is>
      </c>
      <c r="B98" s="3" t="n"/>
      <c r="C98" s="3" t="n"/>
      <c r="D98" s="3" t="n"/>
      <c r="E98" s="3" t="n"/>
      <c r="F98">
        <f>IF(E98="","",IMAGE(E98))</f>
        <v/>
      </c>
      <c r="G98" s="3" t="n"/>
      <c r="H98" s="4" t="n"/>
      <c r="I98" s="4" t="n"/>
      <c r="J98" s="3" t="n"/>
      <c r="K98" s="3" t="n"/>
      <c r="L98" s="3" t="n"/>
      <c r="M98" s="3" t="n"/>
      <c r="N98" s="3" t="n"/>
      <c r="O98" s="3" t="n"/>
      <c r="P98" s="5" t="n"/>
      <c r="Q98" s="4" t="n"/>
      <c r="R98" s="6">
        <f>IF($C98="","",COUNTIF(Transactions!$C:$C,$A98))</f>
        <v/>
      </c>
      <c r="S98" s="7">
        <f>IF($C98="","",SUMIF(Transactions!$C:$C,$A98,Transactions!$R:$R))</f>
        <v/>
      </c>
      <c r="T98" s="7">
        <f>IF($C98="","",$S98-IF($N98="Purchased",$H98,0)-$Q98)</f>
        <v/>
      </c>
      <c r="U98" s="6">
        <f>IF(OR($C98="",$I98=0),"",CEILING((IF($N98="Purchased",$H98,0)+$Q98)/$I98,1))</f>
        <v/>
      </c>
      <c r="V98" s="3" t="n"/>
    </row>
    <row r="99">
      <c r="A99" t="inlineStr">
        <is>
          <t>W098</t>
        </is>
      </c>
      <c r="B99" s="3" t="n"/>
      <c r="C99" s="3" t="n"/>
      <c r="D99" s="3" t="n"/>
      <c r="E99" s="3" t="n"/>
      <c r="F99">
        <f>IF(E99="","",IMAGE(E99))</f>
        <v/>
      </c>
      <c r="G99" s="3" t="n"/>
      <c r="H99" s="4" t="n"/>
      <c r="I99" s="4" t="n"/>
      <c r="J99" s="3" t="n"/>
      <c r="K99" s="3" t="n"/>
      <c r="L99" s="3" t="n"/>
      <c r="M99" s="3" t="n"/>
      <c r="N99" s="3" t="n"/>
      <c r="O99" s="3" t="n"/>
      <c r="P99" s="5" t="n"/>
      <c r="Q99" s="4" t="n"/>
      <c r="R99" s="6">
        <f>IF($C99="","",COUNTIF(Transactions!$C:$C,$A99))</f>
        <v/>
      </c>
      <c r="S99" s="7">
        <f>IF($C99="","",SUMIF(Transactions!$C:$C,$A99,Transactions!$R:$R))</f>
        <v/>
      </c>
      <c r="T99" s="7">
        <f>IF($C99="","",$S99-IF($N99="Purchased",$H99,0)-$Q99)</f>
        <v/>
      </c>
      <c r="U99" s="6">
        <f>IF(OR($C99="",$I99=0),"",CEILING((IF($N99="Purchased",$H99,0)+$Q99)/$I99,1))</f>
        <v/>
      </c>
      <c r="V99" s="3" t="n"/>
    </row>
    <row r="100">
      <c r="A100" t="inlineStr">
        <is>
          <t>W099</t>
        </is>
      </c>
      <c r="B100" s="3" t="n"/>
      <c r="C100" s="3" t="n"/>
      <c r="D100" s="3" t="n"/>
      <c r="E100" s="3" t="n"/>
      <c r="F100">
        <f>IF(E100="","",IMAGE(E100))</f>
        <v/>
      </c>
      <c r="G100" s="3" t="n"/>
      <c r="H100" s="4" t="n"/>
      <c r="I100" s="4" t="n"/>
      <c r="J100" s="3" t="n"/>
      <c r="K100" s="3" t="n"/>
      <c r="L100" s="3" t="n"/>
      <c r="M100" s="3" t="n"/>
      <c r="N100" s="3" t="n"/>
      <c r="O100" s="3" t="n"/>
      <c r="P100" s="5" t="n"/>
      <c r="Q100" s="4" t="n"/>
      <c r="R100" s="6">
        <f>IF($C100="","",COUNTIF(Transactions!$C:$C,$A100))</f>
        <v/>
      </c>
      <c r="S100" s="7">
        <f>IF($C100="","",SUMIF(Transactions!$C:$C,$A100,Transactions!$R:$R))</f>
        <v/>
      </c>
      <c r="T100" s="7">
        <f>IF($C100="","",$S100-IF($N100="Purchased",$H100,0)-$Q100)</f>
        <v/>
      </c>
      <c r="U100" s="6">
        <f>IF(OR($C100="",$I100=0),"",CEILING((IF($N100="Purchased",$H100,0)+$Q100)/$I100,1))</f>
        <v/>
      </c>
      <c r="V100" s="3" t="n"/>
    </row>
    <row r="101">
      <c r="A101" t="inlineStr">
        <is>
          <t>W100</t>
        </is>
      </c>
      <c r="B101" s="3" t="n"/>
      <c r="C101" s="3" t="n"/>
      <c r="D101" s="3" t="n"/>
      <c r="E101" s="3" t="n"/>
      <c r="F101">
        <f>IF(E101="","",IMAGE(E101))</f>
        <v/>
      </c>
      <c r="G101" s="3" t="n"/>
      <c r="H101" s="4" t="n"/>
      <c r="I101" s="4" t="n"/>
      <c r="J101" s="3" t="n"/>
      <c r="K101" s="3" t="n"/>
      <c r="L101" s="3" t="n"/>
      <c r="M101" s="3" t="n"/>
      <c r="N101" s="3" t="n"/>
      <c r="O101" s="3" t="n"/>
      <c r="P101" s="5" t="n"/>
      <c r="Q101" s="4" t="n"/>
      <c r="R101" s="6">
        <f>IF($C101="","",COUNTIF(Transactions!$C:$C,$A101))</f>
        <v/>
      </c>
      <c r="S101" s="7">
        <f>IF($C101="","",SUMIF(Transactions!$C:$C,$A101,Transactions!$R:$R))</f>
        <v/>
      </c>
      <c r="T101" s="7">
        <f>IF($C101="","",$S101-IF($N101="Purchased",$H101,0)-$Q101)</f>
        <v/>
      </c>
      <c r="U101" s="6">
        <f>IF(OR($C101="",$I101=0),"",CEILING((IF($N101="Purchased",$H101,0)+$Q101)/$I101,1))</f>
        <v/>
      </c>
      <c r="V101" s="3" t="n"/>
    </row>
    <row r="102">
      <c r="A102" t="inlineStr">
        <is>
          <t>W101</t>
        </is>
      </c>
      <c r="B102" s="3" t="n"/>
      <c r="C102" s="3" t="n"/>
      <c r="D102" s="3" t="n"/>
      <c r="E102" s="3" t="n"/>
      <c r="F102">
        <f>IF(E102="","",IMAGE(E102))</f>
        <v/>
      </c>
      <c r="G102" s="3" t="n"/>
      <c r="H102" s="4" t="n"/>
      <c r="I102" s="4" t="n"/>
      <c r="J102" s="3" t="n"/>
      <c r="K102" s="3" t="n"/>
      <c r="L102" s="3" t="n"/>
      <c r="M102" s="3" t="n"/>
      <c r="N102" s="3" t="n"/>
      <c r="O102" s="3" t="n"/>
      <c r="P102" s="5" t="n"/>
      <c r="Q102" s="4" t="n"/>
      <c r="R102" s="6">
        <f>IF($C102="","",COUNTIF(Transactions!$C:$C,$A102))</f>
        <v/>
      </c>
      <c r="S102" s="7">
        <f>IF($C102="","",SUMIF(Transactions!$C:$C,$A102,Transactions!$R:$R))</f>
        <v/>
      </c>
      <c r="T102" s="7">
        <f>IF($C102="","",$S102-IF($N102="Purchased",$H102,0)-$Q102)</f>
        <v/>
      </c>
      <c r="U102" s="6">
        <f>IF(OR($C102="",$I102=0),"",CEILING((IF($N102="Purchased",$H102,0)+$Q102)/$I102,1))</f>
        <v/>
      </c>
      <c r="V102" s="3" t="n"/>
    </row>
    <row r="103">
      <c r="A103" t="inlineStr">
        <is>
          <t>W102</t>
        </is>
      </c>
      <c r="B103" s="3" t="n"/>
      <c r="C103" s="3" t="n"/>
      <c r="D103" s="3" t="n"/>
      <c r="E103" s="3" t="n"/>
      <c r="F103">
        <f>IF(E103="","",IMAGE(E103))</f>
        <v/>
      </c>
      <c r="G103" s="3" t="n"/>
      <c r="H103" s="4" t="n"/>
      <c r="I103" s="4" t="n"/>
      <c r="J103" s="3" t="n"/>
      <c r="K103" s="3" t="n"/>
      <c r="L103" s="3" t="n"/>
      <c r="M103" s="3" t="n"/>
      <c r="N103" s="3" t="n"/>
      <c r="O103" s="3" t="n"/>
      <c r="P103" s="5" t="n"/>
      <c r="Q103" s="4" t="n"/>
      <c r="R103" s="6">
        <f>IF($C103="","",COUNTIF(Transactions!$C:$C,$A103))</f>
        <v/>
      </c>
      <c r="S103" s="7">
        <f>IF($C103="","",SUMIF(Transactions!$C:$C,$A103,Transactions!$R:$R))</f>
        <v/>
      </c>
      <c r="T103" s="7">
        <f>IF($C103="","",$S103-IF($N103="Purchased",$H103,0)-$Q103)</f>
        <v/>
      </c>
      <c r="U103" s="6">
        <f>IF(OR($C103="",$I103=0),"",CEILING((IF($N103="Purchased",$H103,0)+$Q103)/$I103,1))</f>
        <v/>
      </c>
      <c r="V103" s="3" t="n"/>
    </row>
    <row r="104">
      <c r="A104" t="inlineStr">
        <is>
          <t>W103</t>
        </is>
      </c>
      <c r="B104" s="3" t="n"/>
      <c r="C104" s="3" t="n"/>
      <c r="D104" s="3" t="n"/>
      <c r="E104" s="3" t="n"/>
      <c r="F104">
        <f>IF(E104="","",IMAGE(E104))</f>
        <v/>
      </c>
      <c r="G104" s="3" t="n"/>
      <c r="H104" s="4" t="n"/>
      <c r="I104" s="4" t="n"/>
      <c r="J104" s="3" t="n"/>
      <c r="K104" s="3" t="n"/>
      <c r="L104" s="3" t="n"/>
      <c r="M104" s="3" t="n"/>
      <c r="N104" s="3" t="n"/>
      <c r="O104" s="3" t="n"/>
      <c r="P104" s="5" t="n"/>
      <c r="Q104" s="4" t="n"/>
      <c r="R104" s="6">
        <f>IF($C104="","",COUNTIF(Transactions!$C:$C,$A104))</f>
        <v/>
      </c>
      <c r="S104" s="7">
        <f>IF($C104="","",SUMIF(Transactions!$C:$C,$A104,Transactions!$R:$R))</f>
        <v/>
      </c>
      <c r="T104" s="7">
        <f>IF($C104="","",$S104-IF($N104="Purchased",$H104,0)-$Q104)</f>
        <v/>
      </c>
      <c r="U104" s="6">
        <f>IF(OR($C104="",$I104=0),"",CEILING((IF($N104="Purchased",$H104,0)+$Q104)/$I104,1))</f>
        <v/>
      </c>
      <c r="V104" s="3" t="n"/>
    </row>
    <row r="105">
      <c r="A105" t="inlineStr">
        <is>
          <t>W104</t>
        </is>
      </c>
      <c r="B105" s="3" t="n"/>
      <c r="C105" s="3" t="n"/>
      <c r="D105" s="3" t="n"/>
      <c r="E105" s="3" t="n"/>
      <c r="F105">
        <f>IF(E105="","",IMAGE(E105))</f>
        <v/>
      </c>
      <c r="G105" s="3" t="n"/>
      <c r="H105" s="4" t="n"/>
      <c r="I105" s="4" t="n"/>
      <c r="J105" s="3" t="n"/>
      <c r="K105" s="3" t="n"/>
      <c r="L105" s="3" t="n"/>
      <c r="M105" s="3" t="n"/>
      <c r="N105" s="3" t="n"/>
      <c r="O105" s="3" t="n"/>
      <c r="P105" s="5" t="n"/>
      <c r="Q105" s="4" t="n"/>
      <c r="R105" s="6">
        <f>IF($C105="","",COUNTIF(Transactions!$C:$C,$A105))</f>
        <v/>
      </c>
      <c r="S105" s="7">
        <f>IF($C105="","",SUMIF(Transactions!$C:$C,$A105,Transactions!$R:$R))</f>
        <v/>
      </c>
      <c r="T105" s="7">
        <f>IF($C105="","",$S105-IF($N105="Purchased",$H105,0)-$Q105)</f>
        <v/>
      </c>
      <c r="U105" s="6">
        <f>IF(OR($C105="",$I105=0),"",CEILING((IF($N105="Purchased",$H105,0)+$Q105)/$I105,1))</f>
        <v/>
      </c>
      <c r="V105" s="3" t="n"/>
    </row>
    <row r="106">
      <c r="A106" t="inlineStr">
        <is>
          <t>W105</t>
        </is>
      </c>
      <c r="B106" s="3" t="n"/>
      <c r="C106" s="3" t="n"/>
      <c r="D106" s="3" t="n"/>
      <c r="E106" s="3" t="n"/>
      <c r="F106">
        <f>IF(E106="","",IMAGE(E106))</f>
        <v/>
      </c>
      <c r="G106" s="3" t="n"/>
      <c r="H106" s="4" t="n"/>
      <c r="I106" s="4" t="n"/>
      <c r="J106" s="3" t="n"/>
      <c r="K106" s="3" t="n"/>
      <c r="L106" s="3" t="n"/>
      <c r="M106" s="3" t="n"/>
      <c r="N106" s="3" t="n"/>
      <c r="O106" s="3" t="n"/>
      <c r="P106" s="5" t="n"/>
      <c r="Q106" s="4" t="n"/>
      <c r="R106" s="6">
        <f>IF($C106="","",COUNTIF(Transactions!$C:$C,$A106))</f>
        <v/>
      </c>
      <c r="S106" s="7">
        <f>IF($C106="","",SUMIF(Transactions!$C:$C,$A106,Transactions!$R:$R))</f>
        <v/>
      </c>
      <c r="T106" s="7">
        <f>IF($C106="","",$S106-IF($N106="Purchased",$H106,0)-$Q106)</f>
        <v/>
      </c>
      <c r="U106" s="6">
        <f>IF(OR($C106="",$I106=0),"",CEILING((IF($N106="Purchased",$H106,0)+$Q106)/$I106,1))</f>
        <v/>
      </c>
      <c r="V106" s="3" t="n"/>
    </row>
    <row r="107">
      <c r="A107" t="inlineStr">
        <is>
          <t>W106</t>
        </is>
      </c>
      <c r="B107" s="3" t="n"/>
      <c r="C107" s="3" t="n"/>
      <c r="D107" s="3" t="n"/>
      <c r="E107" s="3" t="n"/>
      <c r="F107">
        <f>IF(E107="","",IMAGE(E107))</f>
        <v/>
      </c>
      <c r="G107" s="3" t="n"/>
      <c r="H107" s="4" t="n"/>
      <c r="I107" s="4" t="n"/>
      <c r="J107" s="3" t="n"/>
      <c r="K107" s="3" t="n"/>
      <c r="L107" s="3" t="n"/>
      <c r="M107" s="3" t="n"/>
      <c r="N107" s="3" t="n"/>
      <c r="O107" s="3" t="n"/>
      <c r="P107" s="5" t="n"/>
      <c r="Q107" s="4" t="n"/>
      <c r="R107" s="6">
        <f>IF($C107="","",COUNTIF(Transactions!$C:$C,$A107))</f>
        <v/>
      </c>
      <c r="S107" s="7">
        <f>IF($C107="","",SUMIF(Transactions!$C:$C,$A107,Transactions!$R:$R))</f>
        <v/>
      </c>
      <c r="T107" s="7">
        <f>IF($C107="","",$S107-IF($N107="Purchased",$H107,0)-$Q107)</f>
        <v/>
      </c>
      <c r="U107" s="6">
        <f>IF(OR($C107="",$I107=0),"",CEILING((IF($N107="Purchased",$H107,0)+$Q107)/$I107,1))</f>
        <v/>
      </c>
      <c r="V107" s="3" t="n"/>
    </row>
    <row r="108">
      <c r="A108" t="inlineStr">
        <is>
          <t>W107</t>
        </is>
      </c>
      <c r="B108" s="3" t="n"/>
      <c r="C108" s="3" t="n"/>
      <c r="D108" s="3" t="n"/>
      <c r="E108" s="3" t="n"/>
      <c r="F108">
        <f>IF(E108="","",IMAGE(E108))</f>
        <v/>
      </c>
      <c r="G108" s="3" t="n"/>
      <c r="H108" s="4" t="n"/>
      <c r="I108" s="4" t="n"/>
      <c r="J108" s="3" t="n"/>
      <c r="K108" s="3" t="n"/>
      <c r="L108" s="3" t="n"/>
      <c r="M108" s="3" t="n"/>
      <c r="N108" s="3" t="n"/>
      <c r="O108" s="3" t="n"/>
      <c r="P108" s="5" t="n"/>
      <c r="Q108" s="4" t="n"/>
      <c r="R108" s="6">
        <f>IF($C108="","",COUNTIF(Transactions!$C:$C,$A108))</f>
        <v/>
      </c>
      <c r="S108" s="7">
        <f>IF($C108="","",SUMIF(Transactions!$C:$C,$A108,Transactions!$R:$R))</f>
        <v/>
      </c>
      <c r="T108" s="7">
        <f>IF($C108="","",$S108-IF($N108="Purchased",$H108,0)-$Q108)</f>
        <v/>
      </c>
      <c r="U108" s="6">
        <f>IF(OR($C108="",$I108=0),"",CEILING((IF($N108="Purchased",$H108,0)+$Q108)/$I108,1))</f>
        <v/>
      </c>
      <c r="V108" s="3" t="n"/>
    </row>
    <row r="109">
      <c r="A109" t="inlineStr">
        <is>
          <t>W108</t>
        </is>
      </c>
      <c r="B109" s="3" t="n"/>
      <c r="C109" s="3" t="n"/>
      <c r="D109" s="3" t="n"/>
      <c r="E109" s="3" t="n"/>
      <c r="F109">
        <f>IF(E109="","",IMAGE(E109))</f>
        <v/>
      </c>
      <c r="G109" s="3" t="n"/>
      <c r="H109" s="4" t="n"/>
      <c r="I109" s="4" t="n"/>
      <c r="J109" s="3" t="n"/>
      <c r="K109" s="3" t="n"/>
      <c r="L109" s="3" t="n"/>
      <c r="M109" s="3" t="n"/>
      <c r="N109" s="3" t="n"/>
      <c r="O109" s="3" t="n"/>
      <c r="P109" s="5" t="n"/>
      <c r="Q109" s="4" t="n"/>
      <c r="R109" s="6">
        <f>IF($C109="","",COUNTIF(Transactions!$C:$C,$A109))</f>
        <v/>
      </c>
      <c r="S109" s="7">
        <f>IF($C109="","",SUMIF(Transactions!$C:$C,$A109,Transactions!$R:$R))</f>
        <v/>
      </c>
      <c r="T109" s="7">
        <f>IF($C109="","",$S109-IF($N109="Purchased",$H109,0)-$Q109)</f>
        <v/>
      </c>
      <c r="U109" s="6">
        <f>IF(OR($C109="",$I109=0),"",CEILING((IF($N109="Purchased",$H109,0)+$Q109)/$I109,1))</f>
        <v/>
      </c>
      <c r="V109" s="3" t="n"/>
    </row>
    <row r="110">
      <c r="A110" t="inlineStr">
        <is>
          <t>W109</t>
        </is>
      </c>
      <c r="B110" s="3" t="n"/>
      <c r="C110" s="3" t="n"/>
      <c r="D110" s="3" t="n"/>
      <c r="E110" s="3" t="n"/>
      <c r="F110">
        <f>IF(E110="","",IMAGE(E110))</f>
        <v/>
      </c>
      <c r="G110" s="3" t="n"/>
      <c r="H110" s="4" t="n"/>
      <c r="I110" s="4" t="n"/>
      <c r="J110" s="3" t="n"/>
      <c r="K110" s="3" t="n"/>
      <c r="L110" s="3" t="n"/>
      <c r="M110" s="3" t="n"/>
      <c r="N110" s="3" t="n"/>
      <c r="O110" s="3" t="n"/>
      <c r="P110" s="5" t="n"/>
      <c r="Q110" s="4" t="n"/>
      <c r="R110" s="6">
        <f>IF($C110="","",COUNTIF(Transactions!$C:$C,$A110))</f>
        <v/>
      </c>
      <c r="S110" s="7">
        <f>IF($C110="","",SUMIF(Transactions!$C:$C,$A110,Transactions!$R:$R))</f>
        <v/>
      </c>
      <c r="T110" s="7">
        <f>IF($C110="","",$S110-IF($N110="Purchased",$H110,0)-$Q110)</f>
        <v/>
      </c>
      <c r="U110" s="6">
        <f>IF(OR($C110="",$I110=0),"",CEILING((IF($N110="Purchased",$H110,0)+$Q110)/$I110,1))</f>
        <v/>
      </c>
      <c r="V110" s="3" t="n"/>
    </row>
    <row r="111">
      <c r="A111" t="inlineStr">
        <is>
          <t>W110</t>
        </is>
      </c>
      <c r="B111" s="3" t="n"/>
      <c r="C111" s="3" t="n"/>
      <c r="D111" s="3" t="n"/>
      <c r="E111" s="3" t="n"/>
      <c r="F111">
        <f>IF(E111="","",IMAGE(E111))</f>
        <v/>
      </c>
      <c r="G111" s="3" t="n"/>
      <c r="H111" s="4" t="n"/>
      <c r="I111" s="4" t="n"/>
      <c r="J111" s="3" t="n"/>
      <c r="K111" s="3" t="n"/>
      <c r="L111" s="3" t="n"/>
      <c r="M111" s="3" t="n"/>
      <c r="N111" s="3" t="n"/>
      <c r="O111" s="3" t="n"/>
      <c r="P111" s="5" t="n"/>
      <c r="Q111" s="4" t="n"/>
      <c r="R111" s="6">
        <f>IF($C111="","",COUNTIF(Transactions!$C:$C,$A111))</f>
        <v/>
      </c>
      <c r="S111" s="7">
        <f>IF($C111="","",SUMIF(Transactions!$C:$C,$A111,Transactions!$R:$R))</f>
        <v/>
      </c>
      <c r="T111" s="7">
        <f>IF($C111="","",$S111-IF($N111="Purchased",$H111,0)-$Q111)</f>
        <v/>
      </c>
      <c r="U111" s="6">
        <f>IF(OR($C111="",$I111=0),"",CEILING((IF($N111="Purchased",$H111,0)+$Q111)/$I111,1))</f>
        <v/>
      </c>
      <c r="V111" s="3" t="n"/>
    </row>
    <row r="112">
      <c r="A112" t="inlineStr">
        <is>
          <t>W111</t>
        </is>
      </c>
      <c r="B112" s="3" t="n"/>
      <c r="C112" s="3" t="n"/>
      <c r="D112" s="3" t="n"/>
      <c r="E112" s="3" t="n"/>
      <c r="F112">
        <f>IF(E112="","",IMAGE(E112))</f>
        <v/>
      </c>
      <c r="G112" s="3" t="n"/>
      <c r="H112" s="4" t="n"/>
      <c r="I112" s="4" t="n"/>
      <c r="J112" s="3" t="n"/>
      <c r="K112" s="3" t="n"/>
      <c r="L112" s="3" t="n"/>
      <c r="M112" s="3" t="n"/>
      <c r="N112" s="3" t="n"/>
      <c r="O112" s="3" t="n"/>
      <c r="P112" s="5" t="n"/>
      <c r="Q112" s="4" t="n"/>
      <c r="R112" s="6">
        <f>IF($C112="","",COUNTIF(Transactions!$C:$C,$A112))</f>
        <v/>
      </c>
      <c r="S112" s="7">
        <f>IF($C112="","",SUMIF(Transactions!$C:$C,$A112,Transactions!$R:$R))</f>
        <v/>
      </c>
      <c r="T112" s="7">
        <f>IF($C112="","",$S112-IF($N112="Purchased",$H112,0)-$Q112)</f>
        <v/>
      </c>
      <c r="U112" s="6">
        <f>IF(OR($C112="",$I112=0),"",CEILING((IF($N112="Purchased",$H112,0)+$Q112)/$I112,1))</f>
        <v/>
      </c>
      <c r="V112" s="3" t="n"/>
    </row>
    <row r="113">
      <c r="A113" t="inlineStr">
        <is>
          <t>W112</t>
        </is>
      </c>
      <c r="B113" s="3" t="n"/>
      <c r="C113" s="3" t="n"/>
      <c r="D113" s="3" t="n"/>
      <c r="E113" s="3" t="n"/>
      <c r="F113">
        <f>IF(E113="","",IMAGE(E113))</f>
        <v/>
      </c>
      <c r="G113" s="3" t="n"/>
      <c r="H113" s="4" t="n"/>
      <c r="I113" s="4" t="n"/>
      <c r="J113" s="3" t="n"/>
      <c r="K113" s="3" t="n"/>
      <c r="L113" s="3" t="n"/>
      <c r="M113" s="3" t="n"/>
      <c r="N113" s="3" t="n"/>
      <c r="O113" s="3" t="n"/>
      <c r="P113" s="5" t="n"/>
      <c r="Q113" s="4" t="n"/>
      <c r="R113" s="6">
        <f>IF($C113="","",COUNTIF(Transactions!$C:$C,$A113))</f>
        <v/>
      </c>
      <c r="S113" s="7">
        <f>IF($C113="","",SUMIF(Transactions!$C:$C,$A113,Transactions!$R:$R))</f>
        <v/>
      </c>
      <c r="T113" s="7">
        <f>IF($C113="","",$S113-IF($N113="Purchased",$H113,0)-$Q113)</f>
        <v/>
      </c>
      <c r="U113" s="6">
        <f>IF(OR($C113="",$I113=0),"",CEILING((IF($N113="Purchased",$H113,0)+$Q113)/$I113,1))</f>
        <v/>
      </c>
      <c r="V113" s="3" t="n"/>
    </row>
    <row r="114">
      <c r="A114" t="inlineStr">
        <is>
          <t>W113</t>
        </is>
      </c>
      <c r="B114" s="3" t="n"/>
      <c r="C114" s="3" t="n"/>
      <c r="D114" s="3" t="n"/>
      <c r="E114" s="3" t="n"/>
      <c r="F114">
        <f>IF(E114="","",IMAGE(E114))</f>
        <v/>
      </c>
      <c r="G114" s="3" t="n"/>
      <c r="H114" s="4" t="n"/>
      <c r="I114" s="4" t="n"/>
      <c r="J114" s="3" t="n"/>
      <c r="K114" s="3" t="n"/>
      <c r="L114" s="3" t="n"/>
      <c r="M114" s="3" t="n"/>
      <c r="N114" s="3" t="n"/>
      <c r="O114" s="3" t="n"/>
      <c r="P114" s="5" t="n"/>
      <c r="Q114" s="4" t="n"/>
      <c r="R114" s="6">
        <f>IF($C114="","",COUNTIF(Transactions!$C:$C,$A114))</f>
        <v/>
      </c>
      <c r="S114" s="7">
        <f>IF($C114="","",SUMIF(Transactions!$C:$C,$A114,Transactions!$R:$R))</f>
        <v/>
      </c>
      <c r="T114" s="7">
        <f>IF($C114="","",$S114-IF($N114="Purchased",$H114,0)-$Q114)</f>
        <v/>
      </c>
      <c r="U114" s="6">
        <f>IF(OR($C114="",$I114=0),"",CEILING((IF($N114="Purchased",$H114,0)+$Q114)/$I114,1))</f>
        <v/>
      </c>
      <c r="V114" s="3" t="n"/>
    </row>
    <row r="115">
      <c r="A115" t="inlineStr">
        <is>
          <t>W114</t>
        </is>
      </c>
      <c r="B115" s="3" t="n"/>
      <c r="C115" s="3" t="n"/>
      <c r="D115" s="3" t="n"/>
      <c r="E115" s="3" t="n"/>
      <c r="F115">
        <f>IF(E115="","",IMAGE(E115))</f>
        <v/>
      </c>
      <c r="G115" s="3" t="n"/>
      <c r="H115" s="4" t="n"/>
      <c r="I115" s="4" t="n"/>
      <c r="J115" s="3" t="n"/>
      <c r="K115" s="3" t="n"/>
      <c r="L115" s="3" t="n"/>
      <c r="M115" s="3" t="n"/>
      <c r="N115" s="3" t="n"/>
      <c r="O115" s="3" t="n"/>
      <c r="P115" s="5" t="n"/>
      <c r="Q115" s="4" t="n"/>
      <c r="R115" s="6">
        <f>IF($C115="","",COUNTIF(Transactions!$C:$C,$A115))</f>
        <v/>
      </c>
      <c r="S115" s="7">
        <f>IF($C115="","",SUMIF(Transactions!$C:$C,$A115,Transactions!$R:$R))</f>
        <v/>
      </c>
      <c r="T115" s="7">
        <f>IF($C115="","",$S115-IF($N115="Purchased",$H115,0)-$Q115)</f>
        <v/>
      </c>
      <c r="U115" s="6">
        <f>IF(OR($C115="",$I115=0),"",CEILING((IF($N115="Purchased",$H115,0)+$Q115)/$I115,1))</f>
        <v/>
      </c>
      <c r="V115" s="3" t="n"/>
    </row>
    <row r="116">
      <c r="A116" t="inlineStr">
        <is>
          <t>W115</t>
        </is>
      </c>
      <c r="B116" s="3" t="n"/>
      <c r="C116" s="3" t="n"/>
      <c r="D116" s="3" t="n"/>
      <c r="E116" s="3" t="n"/>
      <c r="F116">
        <f>IF(E116="","",IMAGE(E116))</f>
        <v/>
      </c>
      <c r="G116" s="3" t="n"/>
      <c r="H116" s="4" t="n"/>
      <c r="I116" s="4" t="n"/>
      <c r="J116" s="3" t="n"/>
      <c r="K116" s="3" t="n"/>
      <c r="L116" s="3" t="n"/>
      <c r="M116" s="3" t="n"/>
      <c r="N116" s="3" t="n"/>
      <c r="O116" s="3" t="n"/>
      <c r="P116" s="5" t="n"/>
      <c r="Q116" s="4" t="n"/>
      <c r="R116" s="6">
        <f>IF($C116="","",COUNTIF(Transactions!$C:$C,$A116))</f>
        <v/>
      </c>
      <c r="S116" s="7">
        <f>IF($C116="","",SUMIF(Transactions!$C:$C,$A116,Transactions!$R:$R))</f>
        <v/>
      </c>
      <c r="T116" s="7">
        <f>IF($C116="","",$S116-IF($N116="Purchased",$H116,0)-$Q116)</f>
        <v/>
      </c>
      <c r="U116" s="6">
        <f>IF(OR($C116="",$I116=0),"",CEILING((IF($N116="Purchased",$H116,0)+$Q116)/$I116,1))</f>
        <v/>
      </c>
      <c r="V116" s="3" t="n"/>
    </row>
    <row r="117">
      <c r="A117" t="inlineStr">
        <is>
          <t>W116</t>
        </is>
      </c>
      <c r="B117" s="3" t="n"/>
      <c r="C117" s="3" t="n"/>
      <c r="D117" s="3" t="n"/>
      <c r="E117" s="3" t="n"/>
      <c r="F117">
        <f>IF(E117="","",IMAGE(E117))</f>
        <v/>
      </c>
      <c r="G117" s="3" t="n"/>
      <c r="H117" s="4" t="n"/>
      <c r="I117" s="4" t="n"/>
      <c r="J117" s="3" t="n"/>
      <c r="K117" s="3" t="n"/>
      <c r="L117" s="3" t="n"/>
      <c r="M117" s="3" t="n"/>
      <c r="N117" s="3" t="n"/>
      <c r="O117" s="3" t="n"/>
      <c r="P117" s="5" t="n"/>
      <c r="Q117" s="4" t="n"/>
      <c r="R117" s="6">
        <f>IF($C117="","",COUNTIF(Transactions!$C:$C,$A117))</f>
        <v/>
      </c>
      <c r="S117" s="7">
        <f>IF($C117="","",SUMIF(Transactions!$C:$C,$A117,Transactions!$R:$R))</f>
        <v/>
      </c>
      <c r="T117" s="7">
        <f>IF($C117="","",$S117-IF($N117="Purchased",$H117,0)-$Q117)</f>
        <v/>
      </c>
      <c r="U117" s="6">
        <f>IF(OR($C117="",$I117=0),"",CEILING((IF($N117="Purchased",$H117,0)+$Q117)/$I117,1))</f>
        <v/>
      </c>
      <c r="V117" s="3" t="n"/>
    </row>
    <row r="118">
      <c r="A118" t="inlineStr">
        <is>
          <t>W117</t>
        </is>
      </c>
      <c r="B118" s="3" t="n"/>
      <c r="C118" s="3" t="n"/>
      <c r="D118" s="3" t="n"/>
      <c r="E118" s="3" t="n"/>
      <c r="F118">
        <f>IF(E118="","",IMAGE(E118))</f>
        <v/>
      </c>
      <c r="G118" s="3" t="n"/>
      <c r="H118" s="4" t="n"/>
      <c r="I118" s="4" t="n"/>
      <c r="J118" s="3" t="n"/>
      <c r="K118" s="3" t="n"/>
      <c r="L118" s="3" t="n"/>
      <c r="M118" s="3" t="n"/>
      <c r="N118" s="3" t="n"/>
      <c r="O118" s="3" t="n"/>
      <c r="P118" s="5" t="n"/>
      <c r="Q118" s="4" t="n"/>
      <c r="R118" s="6">
        <f>IF($C118="","",COUNTIF(Transactions!$C:$C,$A118))</f>
        <v/>
      </c>
      <c r="S118" s="7">
        <f>IF($C118="","",SUMIF(Transactions!$C:$C,$A118,Transactions!$R:$R))</f>
        <v/>
      </c>
      <c r="T118" s="7">
        <f>IF($C118="","",$S118-IF($N118="Purchased",$H118,0)-$Q118)</f>
        <v/>
      </c>
      <c r="U118" s="6">
        <f>IF(OR($C118="",$I118=0),"",CEILING((IF($N118="Purchased",$H118,0)+$Q118)/$I118,1))</f>
        <v/>
      </c>
      <c r="V118" s="3" t="n"/>
    </row>
    <row r="119">
      <c r="A119" t="inlineStr">
        <is>
          <t>W118</t>
        </is>
      </c>
      <c r="B119" s="3" t="n"/>
      <c r="C119" s="3" t="n"/>
      <c r="D119" s="3" t="n"/>
      <c r="E119" s="3" t="n"/>
      <c r="F119">
        <f>IF(E119="","",IMAGE(E119))</f>
        <v/>
      </c>
      <c r="G119" s="3" t="n"/>
      <c r="H119" s="4" t="n"/>
      <c r="I119" s="4" t="n"/>
      <c r="J119" s="3" t="n"/>
      <c r="K119" s="3" t="n"/>
      <c r="L119" s="3" t="n"/>
      <c r="M119" s="3" t="n"/>
      <c r="N119" s="3" t="n"/>
      <c r="O119" s="3" t="n"/>
      <c r="P119" s="5" t="n"/>
      <c r="Q119" s="4" t="n"/>
      <c r="R119" s="6">
        <f>IF($C119="","",COUNTIF(Transactions!$C:$C,$A119))</f>
        <v/>
      </c>
      <c r="S119" s="7">
        <f>IF($C119="","",SUMIF(Transactions!$C:$C,$A119,Transactions!$R:$R))</f>
        <v/>
      </c>
      <c r="T119" s="7">
        <f>IF($C119="","",$S119-IF($N119="Purchased",$H119,0)-$Q119)</f>
        <v/>
      </c>
      <c r="U119" s="6">
        <f>IF(OR($C119="",$I119=0),"",CEILING((IF($N119="Purchased",$H119,0)+$Q119)/$I119,1))</f>
        <v/>
      </c>
      <c r="V119" s="3" t="n"/>
    </row>
    <row r="120">
      <c r="A120" t="inlineStr">
        <is>
          <t>W119</t>
        </is>
      </c>
      <c r="B120" s="3" t="n"/>
      <c r="C120" s="3" t="n"/>
      <c r="D120" s="3" t="n"/>
      <c r="E120" s="3" t="n"/>
      <c r="F120">
        <f>IF(E120="","",IMAGE(E120))</f>
        <v/>
      </c>
      <c r="G120" s="3" t="n"/>
      <c r="H120" s="4" t="n"/>
      <c r="I120" s="4" t="n"/>
      <c r="J120" s="3" t="n"/>
      <c r="K120" s="3" t="n"/>
      <c r="L120" s="3" t="n"/>
      <c r="M120" s="3" t="n"/>
      <c r="N120" s="3" t="n"/>
      <c r="O120" s="3" t="n"/>
      <c r="P120" s="5" t="n"/>
      <c r="Q120" s="4" t="n"/>
      <c r="R120" s="6">
        <f>IF($C120="","",COUNTIF(Transactions!$C:$C,$A120))</f>
        <v/>
      </c>
      <c r="S120" s="7">
        <f>IF($C120="","",SUMIF(Transactions!$C:$C,$A120,Transactions!$R:$R))</f>
        <v/>
      </c>
      <c r="T120" s="7">
        <f>IF($C120="","",$S120-IF($N120="Purchased",$H120,0)-$Q120)</f>
        <v/>
      </c>
      <c r="U120" s="6">
        <f>IF(OR($C120="",$I120=0),"",CEILING((IF($N120="Purchased",$H120,0)+$Q120)/$I120,1))</f>
        <v/>
      </c>
      <c r="V120" s="3" t="n"/>
    </row>
    <row r="121">
      <c r="A121" t="inlineStr">
        <is>
          <t>W120</t>
        </is>
      </c>
      <c r="B121" s="3" t="n"/>
      <c r="C121" s="3" t="n"/>
      <c r="D121" s="3" t="n"/>
      <c r="E121" s="3" t="n"/>
      <c r="F121">
        <f>IF(E121="","",IMAGE(E121))</f>
        <v/>
      </c>
      <c r="G121" s="3" t="n"/>
      <c r="H121" s="4" t="n"/>
      <c r="I121" s="4" t="n"/>
      <c r="J121" s="3" t="n"/>
      <c r="K121" s="3" t="n"/>
      <c r="L121" s="3" t="n"/>
      <c r="M121" s="3" t="n"/>
      <c r="N121" s="3" t="n"/>
      <c r="O121" s="3" t="n"/>
      <c r="P121" s="5" t="n"/>
      <c r="Q121" s="4" t="n"/>
      <c r="R121" s="6">
        <f>IF($C121="","",COUNTIF(Transactions!$C:$C,$A121))</f>
        <v/>
      </c>
      <c r="S121" s="7">
        <f>IF($C121="","",SUMIF(Transactions!$C:$C,$A121,Transactions!$R:$R))</f>
        <v/>
      </c>
      <c r="T121" s="7">
        <f>IF($C121="","",$S121-IF($N121="Purchased",$H121,0)-$Q121)</f>
        <v/>
      </c>
      <c r="U121" s="6">
        <f>IF(OR($C121="",$I121=0),"",CEILING((IF($N121="Purchased",$H121,0)+$Q121)/$I121,1))</f>
        <v/>
      </c>
      <c r="V121" s="3" t="n"/>
    </row>
    <row r="122">
      <c r="A122" t="inlineStr">
        <is>
          <t>W121</t>
        </is>
      </c>
      <c r="B122" s="3" t="n"/>
      <c r="C122" s="3" t="n"/>
      <c r="D122" s="3" t="n"/>
      <c r="E122" s="3" t="n"/>
      <c r="F122">
        <f>IF(E122="","",IMAGE(E122))</f>
        <v/>
      </c>
      <c r="G122" s="3" t="n"/>
      <c r="H122" s="4" t="n"/>
      <c r="I122" s="4" t="n"/>
      <c r="J122" s="3" t="n"/>
      <c r="K122" s="3" t="n"/>
      <c r="L122" s="3" t="n"/>
      <c r="M122" s="3" t="n"/>
      <c r="N122" s="3" t="n"/>
      <c r="O122" s="3" t="n"/>
      <c r="P122" s="5" t="n"/>
      <c r="Q122" s="4" t="n"/>
      <c r="R122" s="6">
        <f>IF($C122="","",COUNTIF(Transactions!$C:$C,$A122))</f>
        <v/>
      </c>
      <c r="S122" s="7">
        <f>IF($C122="","",SUMIF(Transactions!$C:$C,$A122,Transactions!$R:$R))</f>
        <v/>
      </c>
      <c r="T122" s="7">
        <f>IF($C122="","",$S122-IF($N122="Purchased",$H122,0)-$Q122)</f>
        <v/>
      </c>
      <c r="U122" s="6">
        <f>IF(OR($C122="",$I122=0),"",CEILING((IF($N122="Purchased",$H122,0)+$Q122)/$I122,1))</f>
        <v/>
      </c>
      <c r="V122" s="3" t="n"/>
    </row>
    <row r="123">
      <c r="A123" t="inlineStr">
        <is>
          <t>W122</t>
        </is>
      </c>
      <c r="B123" s="3" t="n"/>
      <c r="C123" s="3" t="n"/>
      <c r="D123" s="3" t="n"/>
      <c r="E123" s="3" t="n"/>
      <c r="F123">
        <f>IF(E123="","",IMAGE(E123))</f>
        <v/>
      </c>
      <c r="G123" s="3" t="n"/>
      <c r="H123" s="4" t="n"/>
      <c r="I123" s="4" t="n"/>
      <c r="J123" s="3" t="n"/>
      <c r="K123" s="3" t="n"/>
      <c r="L123" s="3" t="n"/>
      <c r="M123" s="3" t="n"/>
      <c r="N123" s="3" t="n"/>
      <c r="O123" s="3" t="n"/>
      <c r="P123" s="5" t="n"/>
      <c r="Q123" s="4" t="n"/>
      <c r="R123" s="6">
        <f>IF($C123="","",COUNTIF(Transactions!$C:$C,$A123))</f>
        <v/>
      </c>
      <c r="S123" s="7">
        <f>IF($C123="","",SUMIF(Transactions!$C:$C,$A123,Transactions!$R:$R))</f>
        <v/>
      </c>
      <c r="T123" s="7">
        <f>IF($C123="","",$S123-IF($N123="Purchased",$H123,0)-$Q123)</f>
        <v/>
      </c>
      <c r="U123" s="6">
        <f>IF(OR($C123="",$I123=0),"",CEILING((IF($N123="Purchased",$H123,0)+$Q123)/$I123,1))</f>
        <v/>
      </c>
      <c r="V123" s="3" t="n"/>
    </row>
    <row r="124">
      <c r="A124" t="inlineStr">
        <is>
          <t>W123</t>
        </is>
      </c>
      <c r="B124" s="3" t="n"/>
      <c r="C124" s="3" t="n"/>
      <c r="D124" s="3" t="n"/>
      <c r="E124" s="3" t="n"/>
      <c r="F124">
        <f>IF(E124="","",IMAGE(E124))</f>
        <v/>
      </c>
      <c r="G124" s="3" t="n"/>
      <c r="H124" s="4" t="n"/>
      <c r="I124" s="4" t="n"/>
      <c r="J124" s="3" t="n"/>
      <c r="K124" s="3" t="n"/>
      <c r="L124" s="3" t="n"/>
      <c r="M124" s="3" t="n"/>
      <c r="N124" s="3" t="n"/>
      <c r="O124" s="3" t="n"/>
      <c r="P124" s="5" t="n"/>
      <c r="Q124" s="4" t="n"/>
      <c r="R124" s="6">
        <f>IF($C124="","",COUNTIF(Transactions!$C:$C,$A124))</f>
        <v/>
      </c>
      <c r="S124" s="7">
        <f>IF($C124="","",SUMIF(Transactions!$C:$C,$A124,Transactions!$R:$R))</f>
        <v/>
      </c>
      <c r="T124" s="7">
        <f>IF($C124="","",$S124-IF($N124="Purchased",$H124,0)-$Q124)</f>
        <v/>
      </c>
      <c r="U124" s="6">
        <f>IF(OR($C124="",$I124=0),"",CEILING((IF($N124="Purchased",$H124,0)+$Q124)/$I124,1))</f>
        <v/>
      </c>
      <c r="V124" s="3" t="n"/>
    </row>
    <row r="125">
      <c r="A125" t="inlineStr">
        <is>
          <t>W124</t>
        </is>
      </c>
      <c r="B125" s="3" t="n"/>
      <c r="C125" s="3" t="n"/>
      <c r="D125" s="3" t="n"/>
      <c r="E125" s="3" t="n"/>
      <c r="F125">
        <f>IF(E125="","",IMAGE(E125))</f>
        <v/>
      </c>
      <c r="G125" s="3" t="n"/>
      <c r="H125" s="4" t="n"/>
      <c r="I125" s="4" t="n"/>
      <c r="J125" s="3" t="n"/>
      <c r="K125" s="3" t="n"/>
      <c r="L125" s="3" t="n"/>
      <c r="M125" s="3" t="n"/>
      <c r="N125" s="3" t="n"/>
      <c r="O125" s="3" t="n"/>
      <c r="P125" s="5" t="n"/>
      <c r="Q125" s="4" t="n"/>
      <c r="R125" s="6">
        <f>IF($C125="","",COUNTIF(Transactions!$C:$C,$A125))</f>
        <v/>
      </c>
      <c r="S125" s="7">
        <f>IF($C125="","",SUMIF(Transactions!$C:$C,$A125,Transactions!$R:$R))</f>
        <v/>
      </c>
      <c r="T125" s="7">
        <f>IF($C125="","",$S125-IF($N125="Purchased",$H125,0)-$Q125)</f>
        <v/>
      </c>
      <c r="U125" s="6">
        <f>IF(OR($C125="",$I125=0),"",CEILING((IF($N125="Purchased",$H125,0)+$Q125)/$I125,1))</f>
        <v/>
      </c>
      <c r="V125" s="3" t="n"/>
    </row>
    <row r="126">
      <c r="A126" t="inlineStr">
        <is>
          <t>W125</t>
        </is>
      </c>
      <c r="B126" s="3" t="n"/>
      <c r="C126" s="3" t="n"/>
      <c r="D126" s="3" t="n"/>
      <c r="E126" s="3" t="n"/>
      <c r="F126">
        <f>IF(E126="","",IMAGE(E126))</f>
        <v/>
      </c>
      <c r="G126" s="3" t="n"/>
      <c r="H126" s="4" t="n"/>
      <c r="I126" s="4" t="n"/>
      <c r="J126" s="3" t="n"/>
      <c r="K126" s="3" t="n"/>
      <c r="L126" s="3" t="n"/>
      <c r="M126" s="3" t="n"/>
      <c r="N126" s="3" t="n"/>
      <c r="O126" s="3" t="n"/>
      <c r="P126" s="5" t="n"/>
      <c r="Q126" s="4" t="n"/>
      <c r="R126" s="6">
        <f>IF($C126="","",COUNTIF(Transactions!$C:$C,$A126))</f>
        <v/>
      </c>
      <c r="S126" s="7">
        <f>IF($C126="","",SUMIF(Transactions!$C:$C,$A126,Transactions!$R:$R))</f>
        <v/>
      </c>
      <c r="T126" s="7">
        <f>IF($C126="","",$S126-IF($N126="Purchased",$H126,0)-$Q126)</f>
        <v/>
      </c>
      <c r="U126" s="6">
        <f>IF(OR($C126="",$I126=0),"",CEILING((IF($N126="Purchased",$H126,0)+$Q126)/$I126,1))</f>
        <v/>
      </c>
      <c r="V126" s="3" t="n"/>
    </row>
    <row r="127">
      <c r="A127" t="inlineStr">
        <is>
          <t>W126</t>
        </is>
      </c>
      <c r="B127" s="3" t="n"/>
      <c r="C127" s="3" t="n"/>
      <c r="D127" s="3" t="n"/>
      <c r="E127" s="3" t="n"/>
      <c r="F127">
        <f>IF(E127="","",IMAGE(E127))</f>
        <v/>
      </c>
      <c r="G127" s="3" t="n"/>
      <c r="H127" s="4" t="n"/>
      <c r="I127" s="4" t="n"/>
      <c r="J127" s="3" t="n"/>
      <c r="K127" s="3" t="n"/>
      <c r="L127" s="3" t="n"/>
      <c r="M127" s="3" t="n"/>
      <c r="N127" s="3" t="n"/>
      <c r="O127" s="3" t="n"/>
      <c r="P127" s="5" t="n"/>
      <c r="Q127" s="4" t="n"/>
      <c r="R127" s="6">
        <f>IF($C127="","",COUNTIF(Transactions!$C:$C,$A127))</f>
        <v/>
      </c>
      <c r="S127" s="7">
        <f>IF($C127="","",SUMIF(Transactions!$C:$C,$A127,Transactions!$R:$R))</f>
        <v/>
      </c>
      <c r="T127" s="7">
        <f>IF($C127="","",$S127-IF($N127="Purchased",$H127,0)-$Q127)</f>
        <v/>
      </c>
      <c r="U127" s="6">
        <f>IF(OR($C127="",$I127=0),"",CEILING((IF($N127="Purchased",$H127,0)+$Q127)/$I127,1))</f>
        <v/>
      </c>
      <c r="V127" s="3" t="n"/>
    </row>
    <row r="128">
      <c r="A128" t="inlineStr">
        <is>
          <t>W127</t>
        </is>
      </c>
      <c r="B128" s="3" t="n"/>
      <c r="C128" s="3" t="n"/>
      <c r="D128" s="3" t="n"/>
      <c r="E128" s="3" t="n"/>
      <c r="F128">
        <f>IF(E128="","",IMAGE(E128))</f>
        <v/>
      </c>
      <c r="G128" s="3" t="n"/>
      <c r="H128" s="4" t="n"/>
      <c r="I128" s="4" t="n"/>
      <c r="J128" s="3" t="n"/>
      <c r="K128" s="3" t="n"/>
      <c r="L128" s="3" t="n"/>
      <c r="M128" s="3" t="n"/>
      <c r="N128" s="3" t="n"/>
      <c r="O128" s="3" t="n"/>
      <c r="P128" s="5" t="n"/>
      <c r="Q128" s="4" t="n"/>
      <c r="R128" s="6">
        <f>IF($C128="","",COUNTIF(Transactions!$C:$C,$A128))</f>
        <v/>
      </c>
      <c r="S128" s="7">
        <f>IF($C128="","",SUMIF(Transactions!$C:$C,$A128,Transactions!$R:$R))</f>
        <v/>
      </c>
      <c r="T128" s="7">
        <f>IF($C128="","",$S128-IF($N128="Purchased",$H128,0)-$Q128)</f>
        <v/>
      </c>
      <c r="U128" s="6">
        <f>IF(OR($C128="",$I128=0),"",CEILING((IF($N128="Purchased",$H128,0)+$Q128)/$I128,1))</f>
        <v/>
      </c>
      <c r="V128" s="3" t="n"/>
    </row>
    <row r="129">
      <c r="A129" t="inlineStr">
        <is>
          <t>W128</t>
        </is>
      </c>
      <c r="B129" s="3" t="n"/>
      <c r="C129" s="3" t="n"/>
      <c r="D129" s="3" t="n"/>
      <c r="E129" s="3" t="n"/>
      <c r="F129">
        <f>IF(E129="","",IMAGE(E129))</f>
        <v/>
      </c>
      <c r="G129" s="3" t="n"/>
      <c r="H129" s="4" t="n"/>
      <c r="I129" s="4" t="n"/>
      <c r="J129" s="3" t="n"/>
      <c r="K129" s="3" t="n"/>
      <c r="L129" s="3" t="n"/>
      <c r="M129" s="3" t="n"/>
      <c r="N129" s="3" t="n"/>
      <c r="O129" s="3" t="n"/>
      <c r="P129" s="5" t="n"/>
      <c r="Q129" s="4" t="n"/>
      <c r="R129" s="6">
        <f>IF($C129="","",COUNTIF(Transactions!$C:$C,$A129))</f>
        <v/>
      </c>
      <c r="S129" s="7">
        <f>IF($C129="","",SUMIF(Transactions!$C:$C,$A129,Transactions!$R:$R))</f>
        <v/>
      </c>
      <c r="T129" s="7">
        <f>IF($C129="","",$S129-IF($N129="Purchased",$H129,0)-$Q129)</f>
        <v/>
      </c>
      <c r="U129" s="6">
        <f>IF(OR($C129="",$I129=0),"",CEILING((IF($N129="Purchased",$H129,0)+$Q129)/$I129,1))</f>
        <v/>
      </c>
      <c r="V129" s="3" t="n"/>
    </row>
    <row r="130">
      <c r="A130" t="inlineStr">
        <is>
          <t>W129</t>
        </is>
      </c>
      <c r="B130" s="3" t="n"/>
      <c r="C130" s="3" t="n"/>
      <c r="D130" s="3" t="n"/>
      <c r="E130" s="3" t="n"/>
      <c r="F130">
        <f>IF(E130="","",IMAGE(E130))</f>
        <v/>
      </c>
      <c r="G130" s="3" t="n"/>
      <c r="H130" s="4" t="n"/>
      <c r="I130" s="4" t="n"/>
      <c r="J130" s="3" t="n"/>
      <c r="K130" s="3" t="n"/>
      <c r="L130" s="3" t="n"/>
      <c r="M130" s="3" t="n"/>
      <c r="N130" s="3" t="n"/>
      <c r="O130" s="3" t="n"/>
      <c r="P130" s="5" t="n"/>
      <c r="Q130" s="4" t="n"/>
      <c r="R130" s="6">
        <f>IF($C130="","",COUNTIF(Transactions!$C:$C,$A130))</f>
        <v/>
      </c>
      <c r="S130" s="7">
        <f>IF($C130="","",SUMIF(Transactions!$C:$C,$A130,Transactions!$R:$R))</f>
        <v/>
      </c>
      <c r="T130" s="7">
        <f>IF($C130="","",$S130-IF($N130="Purchased",$H130,0)-$Q130)</f>
        <v/>
      </c>
      <c r="U130" s="6">
        <f>IF(OR($C130="",$I130=0),"",CEILING((IF($N130="Purchased",$H130,0)+$Q130)/$I130,1))</f>
        <v/>
      </c>
      <c r="V130" s="3" t="n"/>
    </row>
    <row r="131">
      <c r="A131" t="inlineStr">
        <is>
          <t>W130</t>
        </is>
      </c>
      <c r="B131" s="3" t="n"/>
      <c r="C131" s="3" t="n"/>
      <c r="D131" s="3" t="n"/>
      <c r="E131" s="3" t="n"/>
      <c r="F131">
        <f>IF(E131="","",IMAGE(E131))</f>
        <v/>
      </c>
      <c r="G131" s="3" t="n"/>
      <c r="H131" s="4" t="n"/>
      <c r="I131" s="4" t="n"/>
      <c r="J131" s="3" t="n"/>
      <c r="K131" s="3" t="n"/>
      <c r="L131" s="3" t="n"/>
      <c r="M131" s="3" t="n"/>
      <c r="N131" s="3" t="n"/>
      <c r="O131" s="3" t="n"/>
      <c r="P131" s="5" t="n"/>
      <c r="Q131" s="4" t="n"/>
      <c r="R131" s="6">
        <f>IF($C131="","",COUNTIF(Transactions!$C:$C,$A131))</f>
        <v/>
      </c>
      <c r="S131" s="7">
        <f>IF($C131="","",SUMIF(Transactions!$C:$C,$A131,Transactions!$R:$R))</f>
        <v/>
      </c>
      <c r="T131" s="7">
        <f>IF($C131="","",$S131-IF($N131="Purchased",$H131,0)-$Q131)</f>
        <v/>
      </c>
      <c r="U131" s="6">
        <f>IF(OR($C131="",$I131=0),"",CEILING((IF($N131="Purchased",$H131,0)+$Q131)/$I131,1))</f>
        <v/>
      </c>
      <c r="V131" s="3" t="n"/>
    </row>
    <row r="132">
      <c r="A132" t="inlineStr">
        <is>
          <t>W131</t>
        </is>
      </c>
      <c r="B132" s="3" t="n"/>
      <c r="C132" s="3" t="n"/>
      <c r="D132" s="3" t="n"/>
      <c r="E132" s="3" t="n"/>
      <c r="F132">
        <f>IF(E132="","",IMAGE(E132))</f>
        <v/>
      </c>
      <c r="G132" s="3" t="n"/>
      <c r="H132" s="4" t="n"/>
      <c r="I132" s="4" t="n"/>
      <c r="J132" s="3" t="n"/>
      <c r="K132" s="3" t="n"/>
      <c r="L132" s="3" t="n"/>
      <c r="M132" s="3" t="n"/>
      <c r="N132" s="3" t="n"/>
      <c r="O132" s="3" t="n"/>
      <c r="P132" s="5" t="n"/>
      <c r="Q132" s="4" t="n"/>
      <c r="R132" s="6">
        <f>IF($C132="","",COUNTIF(Transactions!$C:$C,$A132))</f>
        <v/>
      </c>
      <c r="S132" s="7">
        <f>IF($C132="","",SUMIF(Transactions!$C:$C,$A132,Transactions!$R:$R))</f>
        <v/>
      </c>
      <c r="T132" s="7">
        <f>IF($C132="","",$S132-IF($N132="Purchased",$H132,0)-$Q132)</f>
        <v/>
      </c>
      <c r="U132" s="6">
        <f>IF(OR($C132="",$I132=0),"",CEILING((IF($N132="Purchased",$H132,0)+$Q132)/$I132,1))</f>
        <v/>
      </c>
      <c r="V132" s="3" t="n"/>
    </row>
    <row r="133">
      <c r="A133" t="inlineStr">
        <is>
          <t>W132</t>
        </is>
      </c>
      <c r="B133" s="3" t="n"/>
      <c r="C133" s="3" t="n"/>
      <c r="D133" s="3" t="n"/>
      <c r="E133" s="3" t="n"/>
      <c r="F133">
        <f>IF(E133="","",IMAGE(E133))</f>
        <v/>
      </c>
      <c r="G133" s="3" t="n"/>
      <c r="H133" s="4" t="n"/>
      <c r="I133" s="4" t="n"/>
      <c r="J133" s="3" t="n"/>
      <c r="K133" s="3" t="n"/>
      <c r="L133" s="3" t="n"/>
      <c r="M133" s="3" t="n"/>
      <c r="N133" s="3" t="n"/>
      <c r="O133" s="3" t="n"/>
      <c r="P133" s="5" t="n"/>
      <c r="Q133" s="4" t="n"/>
      <c r="R133" s="6">
        <f>IF($C133="","",COUNTIF(Transactions!$C:$C,$A133))</f>
        <v/>
      </c>
      <c r="S133" s="7">
        <f>IF($C133="","",SUMIF(Transactions!$C:$C,$A133,Transactions!$R:$R))</f>
        <v/>
      </c>
      <c r="T133" s="7">
        <f>IF($C133="","",$S133-IF($N133="Purchased",$H133,0)-$Q133)</f>
        <v/>
      </c>
      <c r="U133" s="6">
        <f>IF(OR($C133="",$I133=0),"",CEILING((IF($N133="Purchased",$H133,0)+$Q133)/$I133,1))</f>
        <v/>
      </c>
      <c r="V133" s="3" t="n"/>
    </row>
    <row r="134">
      <c r="A134" t="inlineStr">
        <is>
          <t>W133</t>
        </is>
      </c>
      <c r="B134" s="3" t="n"/>
      <c r="C134" s="3" t="n"/>
      <c r="D134" s="3" t="n"/>
      <c r="E134" s="3" t="n"/>
      <c r="F134">
        <f>IF(E134="","",IMAGE(E134))</f>
        <v/>
      </c>
      <c r="G134" s="3" t="n"/>
      <c r="H134" s="4" t="n"/>
      <c r="I134" s="4" t="n"/>
      <c r="J134" s="3" t="n"/>
      <c r="K134" s="3" t="n"/>
      <c r="L134" s="3" t="n"/>
      <c r="M134" s="3" t="n"/>
      <c r="N134" s="3" t="n"/>
      <c r="O134" s="3" t="n"/>
      <c r="P134" s="5" t="n"/>
      <c r="Q134" s="4" t="n"/>
      <c r="R134" s="6">
        <f>IF($C134="","",COUNTIF(Transactions!$C:$C,$A134))</f>
        <v/>
      </c>
      <c r="S134" s="7">
        <f>IF($C134="","",SUMIF(Transactions!$C:$C,$A134,Transactions!$R:$R))</f>
        <v/>
      </c>
      <c r="T134" s="7">
        <f>IF($C134="","",$S134-IF($N134="Purchased",$H134,0)-$Q134)</f>
        <v/>
      </c>
      <c r="U134" s="6">
        <f>IF(OR($C134="",$I134=0),"",CEILING((IF($N134="Purchased",$H134,0)+$Q134)/$I134,1))</f>
        <v/>
      </c>
      <c r="V134" s="3" t="n"/>
    </row>
    <row r="135">
      <c r="A135" t="inlineStr">
        <is>
          <t>W134</t>
        </is>
      </c>
      <c r="B135" s="3" t="n"/>
      <c r="C135" s="3" t="n"/>
      <c r="D135" s="3" t="n"/>
      <c r="E135" s="3" t="n"/>
      <c r="F135">
        <f>IF(E135="","",IMAGE(E135))</f>
        <v/>
      </c>
      <c r="G135" s="3" t="n"/>
      <c r="H135" s="4" t="n"/>
      <c r="I135" s="4" t="n"/>
      <c r="J135" s="3" t="n"/>
      <c r="K135" s="3" t="n"/>
      <c r="L135" s="3" t="n"/>
      <c r="M135" s="3" t="n"/>
      <c r="N135" s="3" t="n"/>
      <c r="O135" s="3" t="n"/>
      <c r="P135" s="5" t="n"/>
      <c r="Q135" s="4" t="n"/>
      <c r="R135" s="6">
        <f>IF($C135="","",COUNTIF(Transactions!$C:$C,$A135))</f>
        <v/>
      </c>
      <c r="S135" s="7">
        <f>IF($C135="","",SUMIF(Transactions!$C:$C,$A135,Transactions!$R:$R))</f>
        <v/>
      </c>
      <c r="T135" s="7">
        <f>IF($C135="","",$S135-IF($N135="Purchased",$H135,0)-$Q135)</f>
        <v/>
      </c>
      <c r="U135" s="6">
        <f>IF(OR($C135="",$I135=0),"",CEILING((IF($N135="Purchased",$H135,0)+$Q135)/$I135,1))</f>
        <v/>
      </c>
      <c r="V135" s="3" t="n"/>
    </row>
    <row r="136">
      <c r="A136" t="inlineStr">
        <is>
          <t>W135</t>
        </is>
      </c>
      <c r="B136" s="3" t="n"/>
      <c r="C136" s="3" t="n"/>
      <c r="D136" s="3" t="n"/>
      <c r="E136" s="3" t="n"/>
      <c r="F136">
        <f>IF(E136="","",IMAGE(E136))</f>
        <v/>
      </c>
      <c r="G136" s="3" t="n"/>
      <c r="H136" s="4" t="n"/>
      <c r="I136" s="4" t="n"/>
      <c r="J136" s="3" t="n"/>
      <c r="K136" s="3" t="n"/>
      <c r="L136" s="3" t="n"/>
      <c r="M136" s="3" t="n"/>
      <c r="N136" s="3" t="n"/>
      <c r="O136" s="3" t="n"/>
      <c r="P136" s="5" t="n"/>
      <c r="Q136" s="4" t="n"/>
      <c r="R136" s="6">
        <f>IF($C136="","",COUNTIF(Transactions!$C:$C,$A136))</f>
        <v/>
      </c>
      <c r="S136" s="7">
        <f>IF($C136="","",SUMIF(Transactions!$C:$C,$A136,Transactions!$R:$R))</f>
        <v/>
      </c>
      <c r="T136" s="7">
        <f>IF($C136="","",$S136-IF($N136="Purchased",$H136,0)-$Q136)</f>
        <v/>
      </c>
      <c r="U136" s="6">
        <f>IF(OR($C136="",$I136=0),"",CEILING((IF($N136="Purchased",$H136,0)+$Q136)/$I136,1))</f>
        <v/>
      </c>
      <c r="V136" s="3" t="n"/>
    </row>
    <row r="137">
      <c r="A137" t="inlineStr">
        <is>
          <t>W136</t>
        </is>
      </c>
      <c r="B137" s="3" t="n"/>
      <c r="C137" s="3" t="n"/>
      <c r="D137" s="3" t="n"/>
      <c r="E137" s="3" t="n"/>
      <c r="F137">
        <f>IF(E137="","",IMAGE(E137))</f>
        <v/>
      </c>
      <c r="G137" s="3" t="n"/>
      <c r="H137" s="4" t="n"/>
      <c r="I137" s="4" t="n"/>
      <c r="J137" s="3" t="n"/>
      <c r="K137" s="3" t="n"/>
      <c r="L137" s="3" t="n"/>
      <c r="M137" s="3" t="n"/>
      <c r="N137" s="3" t="n"/>
      <c r="O137" s="3" t="n"/>
      <c r="P137" s="5" t="n"/>
      <c r="Q137" s="4" t="n"/>
      <c r="R137" s="6">
        <f>IF($C137="","",COUNTIF(Transactions!$C:$C,$A137))</f>
        <v/>
      </c>
      <c r="S137" s="7">
        <f>IF($C137="","",SUMIF(Transactions!$C:$C,$A137,Transactions!$R:$R))</f>
        <v/>
      </c>
      <c r="T137" s="7">
        <f>IF($C137="","",$S137-IF($N137="Purchased",$H137,0)-$Q137)</f>
        <v/>
      </c>
      <c r="U137" s="6">
        <f>IF(OR($C137="",$I137=0),"",CEILING((IF($N137="Purchased",$H137,0)+$Q137)/$I137,1))</f>
        <v/>
      </c>
      <c r="V137" s="3" t="n"/>
    </row>
    <row r="138">
      <c r="A138" t="inlineStr">
        <is>
          <t>W137</t>
        </is>
      </c>
      <c r="B138" s="3" t="n"/>
      <c r="C138" s="3" t="n"/>
      <c r="D138" s="3" t="n"/>
      <c r="E138" s="3" t="n"/>
      <c r="F138">
        <f>IF(E138="","",IMAGE(E138))</f>
        <v/>
      </c>
      <c r="G138" s="3" t="n"/>
      <c r="H138" s="4" t="n"/>
      <c r="I138" s="4" t="n"/>
      <c r="J138" s="3" t="n"/>
      <c r="K138" s="3" t="n"/>
      <c r="L138" s="3" t="n"/>
      <c r="M138" s="3" t="n"/>
      <c r="N138" s="3" t="n"/>
      <c r="O138" s="3" t="n"/>
      <c r="P138" s="5" t="n"/>
      <c r="Q138" s="4" t="n"/>
      <c r="R138" s="6">
        <f>IF($C138="","",COUNTIF(Transactions!$C:$C,$A138))</f>
        <v/>
      </c>
      <c r="S138" s="7">
        <f>IF($C138="","",SUMIF(Transactions!$C:$C,$A138,Transactions!$R:$R))</f>
        <v/>
      </c>
      <c r="T138" s="7">
        <f>IF($C138="","",$S138-IF($N138="Purchased",$H138,0)-$Q138)</f>
        <v/>
      </c>
      <c r="U138" s="6">
        <f>IF(OR($C138="",$I138=0),"",CEILING((IF($N138="Purchased",$H138,0)+$Q138)/$I138,1))</f>
        <v/>
      </c>
      <c r="V138" s="3" t="n"/>
    </row>
    <row r="139">
      <c r="A139" t="inlineStr">
        <is>
          <t>W138</t>
        </is>
      </c>
      <c r="B139" s="3" t="n"/>
      <c r="C139" s="3" t="n"/>
      <c r="D139" s="3" t="n"/>
      <c r="E139" s="3" t="n"/>
      <c r="F139">
        <f>IF(E139="","",IMAGE(E139))</f>
        <v/>
      </c>
      <c r="G139" s="3" t="n"/>
      <c r="H139" s="4" t="n"/>
      <c r="I139" s="4" t="n"/>
      <c r="J139" s="3" t="n"/>
      <c r="K139" s="3" t="n"/>
      <c r="L139" s="3" t="n"/>
      <c r="M139" s="3" t="n"/>
      <c r="N139" s="3" t="n"/>
      <c r="O139" s="3" t="n"/>
      <c r="P139" s="5" t="n"/>
      <c r="Q139" s="4" t="n"/>
      <c r="R139" s="6">
        <f>IF($C139="","",COUNTIF(Transactions!$C:$C,$A139))</f>
        <v/>
      </c>
      <c r="S139" s="7">
        <f>IF($C139="","",SUMIF(Transactions!$C:$C,$A139,Transactions!$R:$R))</f>
        <v/>
      </c>
      <c r="T139" s="7">
        <f>IF($C139="","",$S139-IF($N139="Purchased",$H139,0)-$Q139)</f>
        <v/>
      </c>
      <c r="U139" s="6">
        <f>IF(OR($C139="",$I139=0),"",CEILING((IF($N139="Purchased",$H139,0)+$Q139)/$I139,1))</f>
        <v/>
      </c>
      <c r="V139" s="3" t="n"/>
    </row>
    <row r="140">
      <c r="A140" t="inlineStr">
        <is>
          <t>W139</t>
        </is>
      </c>
      <c r="B140" s="3" t="n"/>
      <c r="C140" s="3" t="n"/>
      <c r="D140" s="3" t="n"/>
      <c r="E140" s="3" t="n"/>
      <c r="F140">
        <f>IF(E140="","",IMAGE(E140))</f>
        <v/>
      </c>
      <c r="G140" s="3" t="n"/>
      <c r="H140" s="4" t="n"/>
      <c r="I140" s="4" t="n"/>
      <c r="J140" s="3" t="n"/>
      <c r="K140" s="3" t="n"/>
      <c r="L140" s="3" t="n"/>
      <c r="M140" s="3" t="n"/>
      <c r="N140" s="3" t="n"/>
      <c r="O140" s="3" t="n"/>
      <c r="P140" s="5" t="n"/>
      <c r="Q140" s="4" t="n"/>
      <c r="R140" s="6">
        <f>IF($C140="","",COUNTIF(Transactions!$C:$C,$A140))</f>
        <v/>
      </c>
      <c r="S140" s="7">
        <f>IF($C140="","",SUMIF(Transactions!$C:$C,$A140,Transactions!$R:$R))</f>
        <v/>
      </c>
      <c r="T140" s="7">
        <f>IF($C140="","",$S140-IF($N140="Purchased",$H140,0)-$Q140)</f>
        <v/>
      </c>
      <c r="U140" s="6">
        <f>IF(OR($C140="",$I140=0),"",CEILING((IF($N140="Purchased",$H140,0)+$Q140)/$I140,1))</f>
        <v/>
      </c>
      <c r="V140" s="3" t="n"/>
    </row>
    <row r="141">
      <c r="A141" t="inlineStr">
        <is>
          <t>W140</t>
        </is>
      </c>
      <c r="B141" s="3" t="n"/>
      <c r="C141" s="3" t="n"/>
      <c r="D141" s="3" t="n"/>
      <c r="E141" s="3" t="n"/>
      <c r="F141">
        <f>IF(E141="","",IMAGE(E141))</f>
        <v/>
      </c>
      <c r="G141" s="3" t="n"/>
      <c r="H141" s="4" t="n"/>
      <c r="I141" s="4" t="n"/>
      <c r="J141" s="3" t="n"/>
      <c r="K141" s="3" t="n"/>
      <c r="L141" s="3" t="n"/>
      <c r="M141" s="3" t="n"/>
      <c r="N141" s="3" t="n"/>
      <c r="O141" s="3" t="n"/>
      <c r="P141" s="5" t="n"/>
      <c r="Q141" s="4" t="n"/>
      <c r="R141" s="6">
        <f>IF($C141="","",COUNTIF(Transactions!$C:$C,$A141))</f>
        <v/>
      </c>
      <c r="S141" s="7">
        <f>IF($C141="","",SUMIF(Transactions!$C:$C,$A141,Transactions!$R:$R))</f>
        <v/>
      </c>
      <c r="T141" s="7">
        <f>IF($C141="","",$S141-IF($N141="Purchased",$H141,0)-$Q141)</f>
        <v/>
      </c>
      <c r="U141" s="6">
        <f>IF(OR($C141="",$I141=0),"",CEILING((IF($N141="Purchased",$H141,0)+$Q141)/$I141,1))</f>
        <v/>
      </c>
      <c r="V141" s="3" t="n"/>
    </row>
    <row r="142">
      <c r="A142" t="inlineStr">
        <is>
          <t>W141</t>
        </is>
      </c>
      <c r="B142" s="3" t="n"/>
      <c r="C142" s="3" t="n"/>
      <c r="D142" s="3" t="n"/>
      <c r="E142" s="3" t="n"/>
      <c r="F142">
        <f>IF(E142="","",IMAGE(E142))</f>
        <v/>
      </c>
      <c r="G142" s="3" t="n"/>
      <c r="H142" s="4" t="n"/>
      <c r="I142" s="4" t="n"/>
      <c r="J142" s="3" t="n"/>
      <c r="K142" s="3" t="n"/>
      <c r="L142" s="3" t="n"/>
      <c r="M142" s="3" t="n"/>
      <c r="N142" s="3" t="n"/>
      <c r="O142" s="3" t="n"/>
      <c r="P142" s="5" t="n"/>
      <c r="Q142" s="4" t="n"/>
      <c r="R142" s="6">
        <f>IF($C142="","",COUNTIF(Transactions!$C:$C,$A142))</f>
        <v/>
      </c>
      <c r="S142" s="7">
        <f>IF($C142="","",SUMIF(Transactions!$C:$C,$A142,Transactions!$R:$R))</f>
        <v/>
      </c>
      <c r="T142" s="7">
        <f>IF($C142="","",$S142-IF($N142="Purchased",$H142,0)-$Q142)</f>
        <v/>
      </c>
      <c r="U142" s="6">
        <f>IF(OR($C142="",$I142=0),"",CEILING((IF($N142="Purchased",$H142,0)+$Q142)/$I142,1))</f>
        <v/>
      </c>
      <c r="V142" s="3" t="n"/>
    </row>
    <row r="143">
      <c r="A143" t="inlineStr">
        <is>
          <t>W142</t>
        </is>
      </c>
      <c r="B143" s="3" t="n"/>
      <c r="C143" s="3" t="n"/>
      <c r="D143" s="3" t="n"/>
      <c r="E143" s="3" t="n"/>
      <c r="F143">
        <f>IF(E143="","",IMAGE(E143))</f>
        <v/>
      </c>
      <c r="G143" s="3" t="n"/>
      <c r="H143" s="4" t="n"/>
      <c r="I143" s="4" t="n"/>
      <c r="J143" s="3" t="n"/>
      <c r="K143" s="3" t="n"/>
      <c r="L143" s="3" t="n"/>
      <c r="M143" s="3" t="n"/>
      <c r="N143" s="3" t="n"/>
      <c r="O143" s="3" t="n"/>
      <c r="P143" s="5" t="n"/>
      <c r="Q143" s="4" t="n"/>
      <c r="R143" s="6">
        <f>IF($C143="","",COUNTIF(Transactions!$C:$C,$A143))</f>
        <v/>
      </c>
      <c r="S143" s="7">
        <f>IF($C143="","",SUMIF(Transactions!$C:$C,$A143,Transactions!$R:$R))</f>
        <v/>
      </c>
      <c r="T143" s="7">
        <f>IF($C143="","",$S143-IF($N143="Purchased",$H143,0)-$Q143)</f>
        <v/>
      </c>
      <c r="U143" s="6">
        <f>IF(OR($C143="",$I143=0),"",CEILING((IF($N143="Purchased",$H143,0)+$Q143)/$I143,1))</f>
        <v/>
      </c>
      <c r="V143" s="3" t="n"/>
    </row>
    <row r="144">
      <c r="A144" t="inlineStr">
        <is>
          <t>W143</t>
        </is>
      </c>
      <c r="B144" s="3" t="n"/>
      <c r="C144" s="3" t="n"/>
      <c r="D144" s="3" t="n"/>
      <c r="E144" s="3" t="n"/>
      <c r="F144">
        <f>IF(E144="","",IMAGE(E144))</f>
        <v/>
      </c>
      <c r="G144" s="3" t="n"/>
      <c r="H144" s="4" t="n"/>
      <c r="I144" s="4" t="n"/>
      <c r="J144" s="3" t="n"/>
      <c r="K144" s="3" t="n"/>
      <c r="L144" s="3" t="n"/>
      <c r="M144" s="3" t="n"/>
      <c r="N144" s="3" t="n"/>
      <c r="O144" s="3" t="n"/>
      <c r="P144" s="5" t="n"/>
      <c r="Q144" s="4" t="n"/>
      <c r="R144" s="6">
        <f>IF($C144="","",COUNTIF(Transactions!$C:$C,$A144))</f>
        <v/>
      </c>
      <c r="S144" s="7">
        <f>IF($C144="","",SUMIF(Transactions!$C:$C,$A144,Transactions!$R:$R))</f>
        <v/>
      </c>
      <c r="T144" s="7">
        <f>IF($C144="","",$S144-IF($N144="Purchased",$H144,0)-$Q144)</f>
        <v/>
      </c>
      <c r="U144" s="6">
        <f>IF(OR($C144="",$I144=0),"",CEILING((IF($N144="Purchased",$H144,0)+$Q144)/$I144,1))</f>
        <v/>
      </c>
      <c r="V144" s="3" t="n"/>
    </row>
    <row r="145">
      <c r="A145" t="inlineStr">
        <is>
          <t>W144</t>
        </is>
      </c>
      <c r="B145" s="3" t="n"/>
      <c r="C145" s="3" t="n"/>
      <c r="D145" s="3" t="n"/>
      <c r="E145" s="3" t="n"/>
      <c r="F145">
        <f>IF(E145="","",IMAGE(E145))</f>
        <v/>
      </c>
      <c r="G145" s="3" t="n"/>
      <c r="H145" s="4" t="n"/>
      <c r="I145" s="4" t="n"/>
      <c r="J145" s="3" t="n"/>
      <c r="K145" s="3" t="n"/>
      <c r="L145" s="3" t="n"/>
      <c r="M145" s="3" t="n"/>
      <c r="N145" s="3" t="n"/>
      <c r="O145" s="3" t="n"/>
      <c r="P145" s="5" t="n"/>
      <c r="Q145" s="4" t="n"/>
      <c r="R145" s="6">
        <f>IF($C145="","",COUNTIF(Transactions!$C:$C,$A145))</f>
        <v/>
      </c>
      <c r="S145" s="7">
        <f>IF($C145="","",SUMIF(Transactions!$C:$C,$A145,Transactions!$R:$R))</f>
        <v/>
      </c>
      <c r="T145" s="7">
        <f>IF($C145="","",$S145-IF($N145="Purchased",$H145,0)-$Q145)</f>
        <v/>
      </c>
      <c r="U145" s="6">
        <f>IF(OR($C145="",$I145=0),"",CEILING((IF($N145="Purchased",$H145,0)+$Q145)/$I145,1))</f>
        <v/>
      </c>
      <c r="V145" s="3" t="n"/>
    </row>
    <row r="146">
      <c r="A146" t="inlineStr">
        <is>
          <t>W145</t>
        </is>
      </c>
      <c r="B146" s="3" t="n"/>
      <c r="C146" s="3" t="n"/>
      <c r="D146" s="3" t="n"/>
      <c r="E146" s="3" t="n"/>
      <c r="F146">
        <f>IF(E146="","",IMAGE(E146))</f>
        <v/>
      </c>
      <c r="G146" s="3" t="n"/>
      <c r="H146" s="4" t="n"/>
      <c r="I146" s="4" t="n"/>
      <c r="J146" s="3" t="n"/>
      <c r="K146" s="3" t="n"/>
      <c r="L146" s="3" t="n"/>
      <c r="M146" s="3" t="n"/>
      <c r="N146" s="3" t="n"/>
      <c r="O146" s="3" t="n"/>
      <c r="P146" s="5" t="n"/>
      <c r="Q146" s="4" t="n"/>
      <c r="R146" s="6">
        <f>IF($C146="","",COUNTIF(Transactions!$C:$C,$A146))</f>
        <v/>
      </c>
      <c r="S146" s="7">
        <f>IF($C146="","",SUMIF(Transactions!$C:$C,$A146,Transactions!$R:$R))</f>
        <v/>
      </c>
      <c r="T146" s="7">
        <f>IF($C146="","",$S146-IF($N146="Purchased",$H146,0)-$Q146)</f>
        <v/>
      </c>
      <c r="U146" s="6">
        <f>IF(OR($C146="",$I146=0),"",CEILING((IF($N146="Purchased",$H146,0)+$Q146)/$I146,1))</f>
        <v/>
      </c>
      <c r="V146" s="3" t="n"/>
    </row>
    <row r="147">
      <c r="A147" t="inlineStr">
        <is>
          <t>W146</t>
        </is>
      </c>
      <c r="B147" s="3" t="n"/>
      <c r="C147" s="3" t="n"/>
      <c r="D147" s="3" t="n"/>
      <c r="E147" s="3" t="n"/>
      <c r="F147">
        <f>IF(E147="","",IMAGE(E147))</f>
        <v/>
      </c>
      <c r="G147" s="3" t="n"/>
      <c r="H147" s="4" t="n"/>
      <c r="I147" s="4" t="n"/>
      <c r="J147" s="3" t="n"/>
      <c r="K147" s="3" t="n"/>
      <c r="L147" s="3" t="n"/>
      <c r="M147" s="3" t="n"/>
      <c r="N147" s="3" t="n"/>
      <c r="O147" s="3" t="n"/>
      <c r="P147" s="5" t="n"/>
      <c r="Q147" s="4" t="n"/>
      <c r="R147" s="6">
        <f>IF($C147="","",COUNTIF(Transactions!$C:$C,$A147))</f>
        <v/>
      </c>
      <c r="S147" s="7">
        <f>IF($C147="","",SUMIF(Transactions!$C:$C,$A147,Transactions!$R:$R))</f>
        <v/>
      </c>
      <c r="T147" s="7">
        <f>IF($C147="","",$S147-IF($N147="Purchased",$H147,0)-$Q147)</f>
        <v/>
      </c>
      <c r="U147" s="6">
        <f>IF(OR($C147="",$I147=0),"",CEILING((IF($N147="Purchased",$H147,0)+$Q147)/$I147,1))</f>
        <v/>
      </c>
      <c r="V147" s="3" t="n"/>
    </row>
    <row r="148">
      <c r="A148" t="inlineStr">
        <is>
          <t>W147</t>
        </is>
      </c>
      <c r="B148" s="3" t="n"/>
      <c r="C148" s="3" t="n"/>
      <c r="D148" s="3" t="n"/>
      <c r="E148" s="3" t="n"/>
      <c r="F148">
        <f>IF(E148="","",IMAGE(E148))</f>
        <v/>
      </c>
      <c r="G148" s="3" t="n"/>
      <c r="H148" s="4" t="n"/>
      <c r="I148" s="4" t="n"/>
      <c r="J148" s="3" t="n"/>
      <c r="K148" s="3" t="n"/>
      <c r="L148" s="3" t="n"/>
      <c r="M148" s="3" t="n"/>
      <c r="N148" s="3" t="n"/>
      <c r="O148" s="3" t="n"/>
      <c r="P148" s="5" t="n"/>
      <c r="Q148" s="4" t="n"/>
      <c r="R148" s="6">
        <f>IF($C148="","",COUNTIF(Transactions!$C:$C,$A148))</f>
        <v/>
      </c>
      <c r="S148" s="7">
        <f>IF($C148="","",SUMIF(Transactions!$C:$C,$A148,Transactions!$R:$R))</f>
        <v/>
      </c>
      <c r="T148" s="7">
        <f>IF($C148="","",$S148-IF($N148="Purchased",$H148,0)-$Q148)</f>
        <v/>
      </c>
      <c r="U148" s="6">
        <f>IF(OR($C148="",$I148=0),"",CEILING((IF($N148="Purchased",$H148,0)+$Q148)/$I148,1))</f>
        <v/>
      </c>
      <c r="V148" s="3" t="n"/>
    </row>
    <row r="149">
      <c r="A149" t="inlineStr">
        <is>
          <t>W148</t>
        </is>
      </c>
      <c r="B149" s="3" t="n"/>
      <c r="C149" s="3" t="n"/>
      <c r="D149" s="3" t="n"/>
      <c r="E149" s="3" t="n"/>
      <c r="F149">
        <f>IF(E149="","",IMAGE(E149))</f>
        <v/>
      </c>
      <c r="G149" s="3" t="n"/>
      <c r="H149" s="4" t="n"/>
      <c r="I149" s="4" t="n"/>
      <c r="J149" s="3" t="n"/>
      <c r="K149" s="3" t="n"/>
      <c r="L149" s="3" t="n"/>
      <c r="M149" s="3" t="n"/>
      <c r="N149" s="3" t="n"/>
      <c r="O149" s="3" t="n"/>
      <c r="P149" s="5" t="n"/>
      <c r="Q149" s="4" t="n"/>
      <c r="R149" s="6">
        <f>IF($C149="","",COUNTIF(Transactions!$C:$C,$A149))</f>
        <v/>
      </c>
      <c r="S149" s="7">
        <f>IF($C149="","",SUMIF(Transactions!$C:$C,$A149,Transactions!$R:$R))</f>
        <v/>
      </c>
      <c r="T149" s="7">
        <f>IF($C149="","",$S149-IF($N149="Purchased",$H149,0)-$Q149)</f>
        <v/>
      </c>
      <c r="U149" s="6">
        <f>IF(OR($C149="",$I149=0),"",CEILING((IF($N149="Purchased",$H149,0)+$Q149)/$I149,1))</f>
        <v/>
      </c>
      <c r="V149" s="3" t="n"/>
    </row>
    <row r="150">
      <c r="A150" t="inlineStr">
        <is>
          <t>W149</t>
        </is>
      </c>
      <c r="B150" s="3" t="n"/>
      <c r="C150" s="3" t="n"/>
      <c r="D150" s="3" t="n"/>
      <c r="E150" s="3" t="n"/>
      <c r="F150">
        <f>IF(E150="","",IMAGE(E150))</f>
        <v/>
      </c>
      <c r="G150" s="3" t="n"/>
      <c r="H150" s="4" t="n"/>
      <c r="I150" s="4" t="n"/>
      <c r="J150" s="3" t="n"/>
      <c r="K150" s="3" t="n"/>
      <c r="L150" s="3" t="n"/>
      <c r="M150" s="3" t="n"/>
      <c r="N150" s="3" t="n"/>
      <c r="O150" s="3" t="n"/>
      <c r="P150" s="5" t="n"/>
      <c r="Q150" s="4" t="n"/>
      <c r="R150" s="6">
        <f>IF($C150="","",COUNTIF(Transactions!$C:$C,$A150))</f>
        <v/>
      </c>
      <c r="S150" s="7">
        <f>IF($C150="","",SUMIF(Transactions!$C:$C,$A150,Transactions!$R:$R))</f>
        <v/>
      </c>
      <c r="T150" s="7">
        <f>IF($C150="","",$S150-IF($N150="Purchased",$H150,0)-$Q150)</f>
        <v/>
      </c>
      <c r="U150" s="6">
        <f>IF(OR($C150="",$I150=0),"",CEILING((IF($N150="Purchased",$H150,0)+$Q150)/$I150,1))</f>
        <v/>
      </c>
      <c r="V150" s="3" t="n"/>
    </row>
  </sheetData>
  <autoFilter ref="A1:V1"/>
  <dataValidations count="7">
    <dataValidation sqref="B2:B150" showDropDown="0" showInputMessage="0" showErrorMessage="0" allowBlank="1" type="list">
      <formula1>=Wardrobes</formula1>
    </dataValidation>
    <dataValidation sqref="D2:D150" showDropDown="0" showInputMessage="0" showErrorMessage="0" allowBlank="1" type="list">
      <formula1>=Categories</formula1>
    </dataValidation>
    <dataValidation sqref="J2:J150" showDropDown="0" showInputMessage="0" showErrorMessage="0" allowBlank="1" type="list">
      <formula1>=Conditions</formula1>
    </dataValidation>
    <dataValidation sqref="K2:K150" showDropDown="0" showInputMessage="0" showErrorMessage="0" allowBlank="1" type="list">
      <formula1>=Sizes</formula1>
    </dataValidation>
    <dataValidation sqref="L2:L150" showDropDown="0" showInputMessage="0" showErrorMessage="0" allowBlank="1" type="list">
      <formula1>=Colors</formula1>
    </dataValidation>
    <dataValidation sqref="N2:N150" showDropDown="0" showInputMessage="0" showErrorMessage="0" allowBlank="1" type="list">
      <formula1>=PurchaseStatus</formula1>
    </dataValidation>
    <dataValidation sqref="O2:O150" showDropDown="0" showInputMessage="0" showErrorMessage="0" allowBlank="1" type="list">
      <formula1>=ItemStatus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22" customWidth="1" min="5" max="5"/>
    <col width="18" customWidth="1" min="6" max="6"/>
    <col width="12" customWidth="1" min="7" max="7"/>
    <col width="12" customWidth="1" min="8" max="8"/>
    <col width="12" customWidth="1" min="9" max="9"/>
    <col width="6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20" customWidth="1" min="19" max="19"/>
  </cols>
  <sheetData>
    <row r="1">
      <c r="A1" s="1" t="inlineStr">
        <is>
          <t>Rental ID</t>
        </is>
      </c>
      <c r="B1" s="1" t="inlineStr">
        <is>
          <t>Booked Date</t>
        </is>
      </c>
      <c r="C1" s="1" t="inlineStr">
        <is>
          <t>Item ID</t>
        </is>
      </c>
      <c r="D1" s="1" t="inlineStr">
        <is>
          <t>Wardrobe</t>
        </is>
      </c>
      <c r="E1" s="1" t="inlineStr">
        <is>
          <t>Item Name</t>
        </is>
      </c>
      <c r="F1" s="1" t="inlineStr">
        <is>
          <t>Renter Name</t>
        </is>
      </c>
      <c r="G1" s="1" t="inlineStr">
        <is>
          <t>Platform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Days</t>
        </is>
      </c>
      <c r="K1" s="1" t="inlineStr">
        <is>
          <t>Base Rental Fee ($)</t>
        </is>
      </c>
      <c r="L1" s="1" t="inlineStr">
        <is>
          <t>Discount ($)</t>
        </is>
      </c>
      <c r="M1" s="1" t="inlineStr">
        <is>
          <t>Cleaning Fee ($)</t>
        </is>
      </c>
      <c r="N1" s="1" t="inlineStr">
        <is>
          <t>Damage Fee ($)</t>
        </is>
      </c>
      <c r="O1" s="1" t="inlineStr">
        <is>
          <t>Other Fees ($)</t>
        </is>
      </c>
      <c r="P1" s="1" t="inlineStr">
        <is>
          <t>Platform Fee ($)</t>
        </is>
      </c>
      <c r="Q1" s="1" t="inlineStr">
        <is>
          <t>Gross Revenue ($)</t>
        </is>
      </c>
      <c r="R1" s="1" t="inlineStr">
        <is>
          <t>Net Revenue ($)</t>
        </is>
      </c>
      <c r="S1" s="1" t="inlineStr">
        <is>
          <t>Notes</t>
        </is>
      </c>
    </row>
    <row r="2">
      <c r="A2" t="inlineStr">
        <is>
          <t>T0001</t>
        </is>
      </c>
      <c r="B2" s="5" t="n">
        <v>46012</v>
      </c>
      <c r="C2" s="3" t="inlineStr">
        <is>
          <t>W001</t>
        </is>
      </c>
      <c r="D2">
        <f>IF($C2="","",VLOOKUP($C2,Inventory!$A$2:$V$150,2,FALSE))</f>
        <v/>
      </c>
      <c r="E2">
        <f>IF($C2="","",VLOOKUP($C2,Inventory!$A$2:$V$150,3,FALSE))</f>
        <v/>
      </c>
      <c r="F2" s="3" t="inlineStr">
        <is>
          <t>Example Renter</t>
        </is>
      </c>
      <c r="G2" s="3" t="inlineStr">
        <is>
          <t>Venmo</t>
        </is>
      </c>
      <c r="H2" s="5" t="n">
        <v>46012</v>
      </c>
      <c r="I2" s="5" t="n">
        <v>46012</v>
      </c>
      <c r="J2" s="6">
        <f>IF(OR($H2="",$I2=""),"",($I2-$H2)+1)</f>
        <v/>
      </c>
      <c r="K2" s="7">
        <f>IF($C2="","",VLOOKUP($C2,Inventory!$A$2:$V$150,9,FALSE))</f>
        <v/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7">
        <f>IF($K2="","",$K2-$L2+$M2+$N2+$O2)</f>
        <v/>
      </c>
      <c r="R2" s="7">
        <f>IF($Q2="","",$Q2-$P2)</f>
        <v/>
      </c>
      <c r="S2" s="3" t="n"/>
    </row>
    <row r="3">
      <c r="A3" t="inlineStr">
        <is>
          <t>T0002</t>
        </is>
      </c>
      <c r="B3" s="5" t="n"/>
      <c r="C3" s="3" t="n"/>
      <c r="D3">
        <f>IF($C3="","",VLOOKUP($C3,Inventory!$A$2:$V$150,2,FALSE))</f>
        <v/>
      </c>
      <c r="E3">
        <f>IF($C3="","",VLOOKUP($C3,Inventory!$A$2:$V$150,3,FALSE))</f>
        <v/>
      </c>
      <c r="F3" s="3" t="n"/>
      <c r="G3" s="3" t="n"/>
      <c r="H3" s="5" t="n"/>
      <c r="I3" s="5" t="n"/>
      <c r="J3" s="6">
        <f>IF(OR($H3="",$I3=""),"",($I3-$H3)+1)</f>
        <v/>
      </c>
      <c r="K3" s="7">
        <f>IF($C3="","",VLOOKUP($C3,Inventory!$A$2:$V$150,9,FALSE))</f>
        <v/>
      </c>
      <c r="L3" s="4" t="n"/>
      <c r="M3" s="4" t="n"/>
      <c r="N3" s="4" t="n"/>
      <c r="O3" s="4" t="n"/>
      <c r="P3" s="4" t="n"/>
      <c r="Q3" s="7">
        <f>IF($K3="","",$K3-$L3+$M3+$N3+$O3)</f>
        <v/>
      </c>
      <c r="R3" s="7">
        <f>IF($Q3="","",$Q3-$P3)</f>
        <v/>
      </c>
      <c r="S3" s="3" t="n"/>
    </row>
    <row r="4">
      <c r="A4" t="inlineStr">
        <is>
          <t>T0003</t>
        </is>
      </c>
      <c r="B4" s="5" t="n"/>
      <c r="C4" s="3" t="n"/>
      <c r="D4">
        <f>IF($C4="","",VLOOKUP($C4,Inventory!$A$2:$V$150,2,FALSE))</f>
        <v/>
      </c>
      <c r="E4">
        <f>IF($C4="","",VLOOKUP($C4,Inventory!$A$2:$V$150,3,FALSE))</f>
        <v/>
      </c>
      <c r="F4" s="3" t="n"/>
      <c r="G4" s="3" t="n"/>
      <c r="H4" s="5" t="n"/>
      <c r="I4" s="5" t="n"/>
      <c r="J4" s="6">
        <f>IF(OR($H4="",$I4=""),"",($I4-$H4)+1)</f>
        <v/>
      </c>
      <c r="K4" s="7">
        <f>IF($C4="","",VLOOKUP($C4,Inventory!$A$2:$V$150,9,FALSE))</f>
        <v/>
      </c>
      <c r="L4" s="4" t="n"/>
      <c r="M4" s="4" t="n"/>
      <c r="N4" s="4" t="n"/>
      <c r="O4" s="4" t="n"/>
      <c r="P4" s="4" t="n"/>
      <c r="Q4" s="7">
        <f>IF($K4="","",$K4-$L4+$M4+$N4+$O4)</f>
        <v/>
      </c>
      <c r="R4" s="7">
        <f>IF($Q4="","",$Q4-$P4)</f>
        <v/>
      </c>
      <c r="S4" s="3" t="n"/>
    </row>
    <row r="5">
      <c r="A5" t="inlineStr">
        <is>
          <t>T0004</t>
        </is>
      </c>
      <c r="B5" s="5" t="n"/>
      <c r="C5" s="3" t="n"/>
      <c r="D5">
        <f>IF($C5="","",VLOOKUP($C5,Inventory!$A$2:$V$150,2,FALSE))</f>
        <v/>
      </c>
      <c r="E5">
        <f>IF($C5="","",VLOOKUP($C5,Inventory!$A$2:$V$150,3,FALSE))</f>
        <v/>
      </c>
      <c r="F5" s="3" t="n"/>
      <c r="G5" s="3" t="n"/>
      <c r="H5" s="5" t="n"/>
      <c r="I5" s="5" t="n"/>
      <c r="J5" s="6">
        <f>IF(OR($H5="",$I5=""),"",($I5-$H5)+1)</f>
        <v/>
      </c>
      <c r="K5" s="7">
        <f>IF($C5="","",VLOOKUP($C5,Inventory!$A$2:$V$150,9,FALSE))</f>
        <v/>
      </c>
      <c r="L5" s="4" t="n"/>
      <c r="M5" s="4" t="n"/>
      <c r="N5" s="4" t="n"/>
      <c r="O5" s="4" t="n"/>
      <c r="P5" s="4" t="n"/>
      <c r="Q5" s="7">
        <f>IF($K5="","",$K5-$L5+$M5+$N5+$O5)</f>
        <v/>
      </c>
      <c r="R5" s="7">
        <f>IF($Q5="","",$Q5-$P5)</f>
        <v/>
      </c>
      <c r="S5" s="3" t="n"/>
    </row>
    <row r="6">
      <c r="A6" t="inlineStr">
        <is>
          <t>T0005</t>
        </is>
      </c>
      <c r="B6" s="5" t="n"/>
      <c r="C6" s="3" t="n"/>
      <c r="D6">
        <f>IF($C6="","",VLOOKUP($C6,Inventory!$A$2:$V$150,2,FALSE))</f>
        <v/>
      </c>
      <c r="E6">
        <f>IF($C6="","",VLOOKUP($C6,Inventory!$A$2:$V$150,3,FALSE))</f>
        <v/>
      </c>
      <c r="F6" s="3" t="n"/>
      <c r="G6" s="3" t="n"/>
      <c r="H6" s="5" t="n"/>
      <c r="I6" s="5" t="n"/>
      <c r="J6" s="6">
        <f>IF(OR($H6="",$I6=""),"",($I6-$H6)+1)</f>
        <v/>
      </c>
      <c r="K6" s="7">
        <f>IF($C6="","",VLOOKUP($C6,Inventory!$A$2:$V$150,9,FALSE))</f>
        <v/>
      </c>
      <c r="L6" s="4" t="n"/>
      <c r="M6" s="4" t="n"/>
      <c r="N6" s="4" t="n"/>
      <c r="O6" s="4" t="n"/>
      <c r="P6" s="4" t="n"/>
      <c r="Q6" s="7">
        <f>IF($K6="","",$K6-$L6+$M6+$N6+$O6)</f>
        <v/>
      </c>
      <c r="R6" s="7">
        <f>IF($Q6="","",$Q6-$P6)</f>
        <v/>
      </c>
      <c r="S6" s="3" t="n"/>
    </row>
    <row r="7">
      <c r="A7" t="inlineStr">
        <is>
          <t>T0006</t>
        </is>
      </c>
      <c r="B7" s="5" t="n"/>
      <c r="C7" s="3" t="n"/>
      <c r="D7">
        <f>IF($C7="","",VLOOKUP($C7,Inventory!$A$2:$V$150,2,FALSE))</f>
        <v/>
      </c>
      <c r="E7">
        <f>IF($C7="","",VLOOKUP($C7,Inventory!$A$2:$V$150,3,FALSE))</f>
        <v/>
      </c>
      <c r="F7" s="3" t="n"/>
      <c r="G7" s="3" t="n"/>
      <c r="H7" s="5" t="n"/>
      <c r="I7" s="5" t="n"/>
      <c r="J7" s="6">
        <f>IF(OR($H7="",$I7=""),"",($I7-$H7)+1)</f>
        <v/>
      </c>
      <c r="K7" s="7">
        <f>IF($C7="","",VLOOKUP($C7,Inventory!$A$2:$V$150,9,FALSE))</f>
        <v/>
      </c>
      <c r="L7" s="4" t="n"/>
      <c r="M7" s="4" t="n"/>
      <c r="N7" s="4" t="n"/>
      <c r="O7" s="4" t="n"/>
      <c r="P7" s="4" t="n"/>
      <c r="Q7" s="7">
        <f>IF($K7="","",$K7-$L7+$M7+$N7+$O7)</f>
        <v/>
      </c>
      <c r="R7" s="7">
        <f>IF($Q7="","",$Q7-$P7)</f>
        <v/>
      </c>
      <c r="S7" s="3" t="n"/>
    </row>
    <row r="8">
      <c r="A8" t="inlineStr">
        <is>
          <t>T0007</t>
        </is>
      </c>
      <c r="B8" s="5" t="n"/>
      <c r="C8" s="3" t="n"/>
      <c r="D8">
        <f>IF($C8="","",VLOOKUP($C8,Inventory!$A$2:$V$150,2,FALSE))</f>
        <v/>
      </c>
      <c r="E8">
        <f>IF($C8="","",VLOOKUP($C8,Inventory!$A$2:$V$150,3,FALSE))</f>
        <v/>
      </c>
      <c r="F8" s="3" t="n"/>
      <c r="G8" s="3" t="n"/>
      <c r="H8" s="5" t="n"/>
      <c r="I8" s="5" t="n"/>
      <c r="J8" s="6">
        <f>IF(OR($H8="",$I8=""),"",($I8-$H8)+1)</f>
        <v/>
      </c>
      <c r="K8" s="7">
        <f>IF($C8="","",VLOOKUP($C8,Inventory!$A$2:$V$150,9,FALSE))</f>
        <v/>
      </c>
      <c r="L8" s="4" t="n"/>
      <c r="M8" s="4" t="n"/>
      <c r="N8" s="4" t="n"/>
      <c r="O8" s="4" t="n"/>
      <c r="P8" s="4" t="n"/>
      <c r="Q8" s="7">
        <f>IF($K8="","",$K8-$L8+$M8+$N8+$O8)</f>
        <v/>
      </c>
      <c r="R8" s="7">
        <f>IF($Q8="","",$Q8-$P8)</f>
        <v/>
      </c>
      <c r="S8" s="3" t="n"/>
    </row>
    <row r="9">
      <c r="A9" t="inlineStr">
        <is>
          <t>T0008</t>
        </is>
      </c>
      <c r="B9" s="5" t="n"/>
      <c r="C9" s="3" t="n"/>
      <c r="D9">
        <f>IF($C9="","",VLOOKUP($C9,Inventory!$A$2:$V$150,2,FALSE))</f>
        <v/>
      </c>
      <c r="E9">
        <f>IF($C9="","",VLOOKUP($C9,Inventory!$A$2:$V$150,3,FALSE))</f>
        <v/>
      </c>
      <c r="F9" s="3" t="n"/>
      <c r="G9" s="3" t="n"/>
      <c r="H9" s="5" t="n"/>
      <c r="I9" s="5" t="n"/>
      <c r="J9" s="6">
        <f>IF(OR($H9="",$I9=""),"",($I9-$H9)+1)</f>
        <v/>
      </c>
      <c r="K9" s="7">
        <f>IF($C9="","",VLOOKUP($C9,Inventory!$A$2:$V$150,9,FALSE))</f>
        <v/>
      </c>
      <c r="L9" s="4" t="n"/>
      <c r="M9" s="4" t="n"/>
      <c r="N9" s="4" t="n"/>
      <c r="O9" s="4" t="n"/>
      <c r="P9" s="4" t="n"/>
      <c r="Q9" s="7">
        <f>IF($K9="","",$K9-$L9+$M9+$N9+$O9)</f>
        <v/>
      </c>
      <c r="R9" s="7">
        <f>IF($Q9="","",$Q9-$P9)</f>
        <v/>
      </c>
      <c r="S9" s="3" t="n"/>
    </row>
    <row r="10">
      <c r="A10" t="inlineStr">
        <is>
          <t>T0009</t>
        </is>
      </c>
      <c r="B10" s="5" t="n"/>
      <c r="C10" s="3" t="n"/>
      <c r="D10">
        <f>IF($C10="","",VLOOKUP($C10,Inventory!$A$2:$V$150,2,FALSE))</f>
        <v/>
      </c>
      <c r="E10">
        <f>IF($C10="","",VLOOKUP($C10,Inventory!$A$2:$V$150,3,FALSE))</f>
        <v/>
      </c>
      <c r="F10" s="3" t="n"/>
      <c r="G10" s="3" t="n"/>
      <c r="H10" s="5" t="n"/>
      <c r="I10" s="5" t="n"/>
      <c r="J10" s="6">
        <f>IF(OR($H10="",$I10=""),"",($I10-$H10)+1)</f>
        <v/>
      </c>
      <c r="K10" s="7">
        <f>IF($C10="","",VLOOKUP($C10,Inventory!$A$2:$V$150,9,FALSE))</f>
        <v/>
      </c>
      <c r="L10" s="4" t="n"/>
      <c r="M10" s="4" t="n"/>
      <c r="N10" s="4" t="n"/>
      <c r="O10" s="4" t="n"/>
      <c r="P10" s="4" t="n"/>
      <c r="Q10" s="7">
        <f>IF($K10="","",$K10-$L10+$M10+$N10+$O10)</f>
        <v/>
      </c>
      <c r="R10" s="7">
        <f>IF($Q10="","",$Q10-$P10)</f>
        <v/>
      </c>
      <c r="S10" s="3" t="n"/>
    </row>
    <row r="11">
      <c r="A11" t="inlineStr">
        <is>
          <t>T0010</t>
        </is>
      </c>
      <c r="B11" s="5" t="n"/>
      <c r="C11" s="3" t="n"/>
      <c r="D11">
        <f>IF($C11="","",VLOOKUP($C11,Inventory!$A$2:$V$150,2,FALSE))</f>
        <v/>
      </c>
      <c r="E11">
        <f>IF($C11="","",VLOOKUP($C11,Inventory!$A$2:$V$150,3,FALSE))</f>
        <v/>
      </c>
      <c r="F11" s="3" t="n"/>
      <c r="G11" s="3" t="n"/>
      <c r="H11" s="5" t="n"/>
      <c r="I11" s="5" t="n"/>
      <c r="J11" s="6">
        <f>IF(OR($H11="",$I11=""),"",($I11-$H11)+1)</f>
        <v/>
      </c>
      <c r="K11" s="7">
        <f>IF($C11="","",VLOOKUP($C11,Inventory!$A$2:$V$150,9,FALSE))</f>
        <v/>
      </c>
      <c r="L11" s="4" t="n"/>
      <c r="M11" s="4" t="n"/>
      <c r="N11" s="4" t="n"/>
      <c r="O11" s="4" t="n"/>
      <c r="P11" s="4" t="n"/>
      <c r="Q11" s="7">
        <f>IF($K11="","",$K11-$L11+$M11+$N11+$O11)</f>
        <v/>
      </c>
      <c r="R11" s="7">
        <f>IF($Q11="","",$Q11-$P11)</f>
        <v/>
      </c>
      <c r="S11" s="3" t="n"/>
    </row>
    <row r="12">
      <c r="A12" t="inlineStr">
        <is>
          <t>T0011</t>
        </is>
      </c>
      <c r="B12" s="5" t="n"/>
      <c r="C12" s="3" t="n"/>
      <c r="D12">
        <f>IF($C12="","",VLOOKUP($C12,Inventory!$A$2:$V$150,2,FALSE))</f>
        <v/>
      </c>
      <c r="E12">
        <f>IF($C12="","",VLOOKUP($C12,Inventory!$A$2:$V$150,3,FALSE))</f>
        <v/>
      </c>
      <c r="F12" s="3" t="n"/>
      <c r="G12" s="3" t="n"/>
      <c r="H12" s="5" t="n"/>
      <c r="I12" s="5" t="n"/>
      <c r="J12" s="6">
        <f>IF(OR($H12="",$I12=""),"",($I12-$H12)+1)</f>
        <v/>
      </c>
      <c r="K12" s="7">
        <f>IF($C12="","",VLOOKUP($C12,Inventory!$A$2:$V$150,9,FALSE))</f>
        <v/>
      </c>
      <c r="L12" s="4" t="n"/>
      <c r="M12" s="4" t="n"/>
      <c r="N12" s="4" t="n"/>
      <c r="O12" s="4" t="n"/>
      <c r="P12" s="4" t="n"/>
      <c r="Q12" s="7">
        <f>IF($K12="","",$K12-$L12+$M12+$N12+$O12)</f>
        <v/>
      </c>
      <c r="R12" s="7">
        <f>IF($Q12="","",$Q12-$P12)</f>
        <v/>
      </c>
      <c r="S12" s="3" t="n"/>
    </row>
    <row r="13">
      <c r="A13" t="inlineStr">
        <is>
          <t>T0012</t>
        </is>
      </c>
      <c r="B13" s="5" t="n"/>
      <c r="C13" s="3" t="n"/>
      <c r="D13">
        <f>IF($C13="","",VLOOKUP($C13,Inventory!$A$2:$V$150,2,FALSE))</f>
        <v/>
      </c>
      <c r="E13">
        <f>IF($C13="","",VLOOKUP($C13,Inventory!$A$2:$V$150,3,FALSE))</f>
        <v/>
      </c>
      <c r="F13" s="3" t="n"/>
      <c r="G13" s="3" t="n"/>
      <c r="H13" s="5" t="n"/>
      <c r="I13" s="5" t="n"/>
      <c r="J13" s="6">
        <f>IF(OR($H13="",$I13=""),"",($I13-$H13)+1)</f>
        <v/>
      </c>
      <c r="K13" s="7">
        <f>IF($C13="","",VLOOKUP($C13,Inventory!$A$2:$V$150,9,FALSE))</f>
        <v/>
      </c>
      <c r="L13" s="4" t="n"/>
      <c r="M13" s="4" t="n"/>
      <c r="N13" s="4" t="n"/>
      <c r="O13" s="4" t="n"/>
      <c r="P13" s="4" t="n"/>
      <c r="Q13" s="7">
        <f>IF($K13="","",$K13-$L13+$M13+$N13+$O13)</f>
        <v/>
      </c>
      <c r="R13" s="7">
        <f>IF($Q13="","",$Q13-$P13)</f>
        <v/>
      </c>
      <c r="S13" s="3" t="n"/>
    </row>
    <row r="14">
      <c r="A14" t="inlineStr">
        <is>
          <t>T0013</t>
        </is>
      </c>
      <c r="B14" s="5" t="n"/>
      <c r="C14" s="3" t="n"/>
      <c r="D14">
        <f>IF($C14="","",VLOOKUP($C14,Inventory!$A$2:$V$150,2,FALSE))</f>
        <v/>
      </c>
      <c r="E14">
        <f>IF($C14="","",VLOOKUP($C14,Inventory!$A$2:$V$150,3,FALSE))</f>
        <v/>
      </c>
      <c r="F14" s="3" t="n"/>
      <c r="G14" s="3" t="n"/>
      <c r="H14" s="5" t="n"/>
      <c r="I14" s="5" t="n"/>
      <c r="J14" s="6">
        <f>IF(OR($H14="",$I14=""),"",($I14-$H14)+1)</f>
        <v/>
      </c>
      <c r="K14" s="7">
        <f>IF($C14="","",VLOOKUP($C14,Inventory!$A$2:$V$150,9,FALSE))</f>
        <v/>
      </c>
      <c r="L14" s="4" t="n"/>
      <c r="M14" s="4" t="n"/>
      <c r="N14" s="4" t="n"/>
      <c r="O14" s="4" t="n"/>
      <c r="P14" s="4" t="n"/>
      <c r="Q14" s="7">
        <f>IF($K14="","",$K14-$L14+$M14+$N14+$O14)</f>
        <v/>
      </c>
      <c r="R14" s="7">
        <f>IF($Q14="","",$Q14-$P14)</f>
        <v/>
      </c>
      <c r="S14" s="3" t="n"/>
    </row>
    <row r="15">
      <c r="A15" t="inlineStr">
        <is>
          <t>T0014</t>
        </is>
      </c>
      <c r="B15" s="5" t="n"/>
      <c r="C15" s="3" t="n"/>
      <c r="D15">
        <f>IF($C15="","",VLOOKUP($C15,Inventory!$A$2:$V$150,2,FALSE))</f>
        <v/>
      </c>
      <c r="E15">
        <f>IF($C15="","",VLOOKUP($C15,Inventory!$A$2:$V$150,3,FALSE))</f>
        <v/>
      </c>
      <c r="F15" s="3" t="n"/>
      <c r="G15" s="3" t="n"/>
      <c r="H15" s="5" t="n"/>
      <c r="I15" s="5" t="n"/>
      <c r="J15" s="6">
        <f>IF(OR($H15="",$I15=""),"",($I15-$H15)+1)</f>
        <v/>
      </c>
      <c r="K15" s="7">
        <f>IF($C15="","",VLOOKUP($C15,Inventory!$A$2:$V$150,9,FALSE))</f>
        <v/>
      </c>
      <c r="L15" s="4" t="n"/>
      <c r="M15" s="4" t="n"/>
      <c r="N15" s="4" t="n"/>
      <c r="O15" s="4" t="n"/>
      <c r="P15" s="4" t="n"/>
      <c r="Q15" s="7">
        <f>IF($K15="","",$K15-$L15+$M15+$N15+$O15)</f>
        <v/>
      </c>
      <c r="R15" s="7">
        <f>IF($Q15="","",$Q15-$P15)</f>
        <v/>
      </c>
      <c r="S15" s="3" t="n"/>
    </row>
    <row r="16">
      <c r="A16" t="inlineStr">
        <is>
          <t>T0015</t>
        </is>
      </c>
      <c r="B16" s="5" t="n"/>
      <c r="C16" s="3" t="n"/>
      <c r="D16">
        <f>IF($C16="","",VLOOKUP($C16,Inventory!$A$2:$V$150,2,FALSE))</f>
        <v/>
      </c>
      <c r="E16">
        <f>IF($C16="","",VLOOKUP($C16,Inventory!$A$2:$V$150,3,FALSE))</f>
        <v/>
      </c>
      <c r="F16" s="3" t="n"/>
      <c r="G16" s="3" t="n"/>
      <c r="H16" s="5" t="n"/>
      <c r="I16" s="5" t="n"/>
      <c r="J16" s="6">
        <f>IF(OR($H16="",$I16=""),"",($I16-$H16)+1)</f>
        <v/>
      </c>
      <c r="K16" s="7">
        <f>IF($C16="","",VLOOKUP($C16,Inventory!$A$2:$V$150,9,FALSE))</f>
        <v/>
      </c>
      <c r="L16" s="4" t="n"/>
      <c r="M16" s="4" t="n"/>
      <c r="N16" s="4" t="n"/>
      <c r="O16" s="4" t="n"/>
      <c r="P16" s="4" t="n"/>
      <c r="Q16" s="7">
        <f>IF($K16="","",$K16-$L16+$M16+$N16+$O16)</f>
        <v/>
      </c>
      <c r="R16" s="7">
        <f>IF($Q16="","",$Q16-$P16)</f>
        <v/>
      </c>
      <c r="S16" s="3" t="n"/>
    </row>
    <row r="17">
      <c r="A17" t="inlineStr">
        <is>
          <t>T0016</t>
        </is>
      </c>
      <c r="B17" s="5" t="n"/>
      <c r="C17" s="3" t="n"/>
      <c r="D17">
        <f>IF($C17="","",VLOOKUP($C17,Inventory!$A$2:$V$150,2,FALSE))</f>
        <v/>
      </c>
      <c r="E17">
        <f>IF($C17="","",VLOOKUP($C17,Inventory!$A$2:$V$150,3,FALSE))</f>
        <v/>
      </c>
      <c r="F17" s="3" t="n"/>
      <c r="G17" s="3" t="n"/>
      <c r="H17" s="5" t="n"/>
      <c r="I17" s="5" t="n"/>
      <c r="J17" s="6">
        <f>IF(OR($H17="",$I17=""),"",($I17-$H17)+1)</f>
        <v/>
      </c>
      <c r="K17" s="7">
        <f>IF($C17="","",VLOOKUP($C17,Inventory!$A$2:$V$150,9,FALSE))</f>
        <v/>
      </c>
      <c r="L17" s="4" t="n"/>
      <c r="M17" s="4" t="n"/>
      <c r="N17" s="4" t="n"/>
      <c r="O17" s="4" t="n"/>
      <c r="P17" s="4" t="n"/>
      <c r="Q17" s="7">
        <f>IF($K17="","",$K17-$L17+$M17+$N17+$O17)</f>
        <v/>
      </c>
      <c r="R17" s="7">
        <f>IF($Q17="","",$Q17-$P17)</f>
        <v/>
      </c>
      <c r="S17" s="3" t="n"/>
    </row>
    <row r="18">
      <c r="A18" t="inlineStr">
        <is>
          <t>T0017</t>
        </is>
      </c>
      <c r="B18" s="5" t="n"/>
      <c r="C18" s="3" t="n"/>
      <c r="D18">
        <f>IF($C18="","",VLOOKUP($C18,Inventory!$A$2:$V$150,2,FALSE))</f>
        <v/>
      </c>
      <c r="E18">
        <f>IF($C18="","",VLOOKUP($C18,Inventory!$A$2:$V$150,3,FALSE))</f>
        <v/>
      </c>
      <c r="F18" s="3" t="n"/>
      <c r="G18" s="3" t="n"/>
      <c r="H18" s="5" t="n"/>
      <c r="I18" s="5" t="n"/>
      <c r="J18" s="6">
        <f>IF(OR($H18="",$I18=""),"",($I18-$H18)+1)</f>
        <v/>
      </c>
      <c r="K18" s="7">
        <f>IF($C18="","",VLOOKUP($C18,Inventory!$A$2:$V$150,9,FALSE))</f>
        <v/>
      </c>
      <c r="L18" s="4" t="n"/>
      <c r="M18" s="4" t="n"/>
      <c r="N18" s="4" t="n"/>
      <c r="O18" s="4" t="n"/>
      <c r="P18" s="4" t="n"/>
      <c r="Q18" s="7">
        <f>IF($K18="","",$K18-$L18+$M18+$N18+$O18)</f>
        <v/>
      </c>
      <c r="R18" s="7">
        <f>IF($Q18="","",$Q18-$P18)</f>
        <v/>
      </c>
      <c r="S18" s="3" t="n"/>
    </row>
    <row r="19">
      <c r="A19" t="inlineStr">
        <is>
          <t>T0018</t>
        </is>
      </c>
      <c r="B19" s="5" t="n"/>
      <c r="C19" s="3" t="n"/>
      <c r="D19">
        <f>IF($C19="","",VLOOKUP($C19,Inventory!$A$2:$V$150,2,FALSE))</f>
        <v/>
      </c>
      <c r="E19">
        <f>IF($C19="","",VLOOKUP($C19,Inventory!$A$2:$V$150,3,FALSE))</f>
        <v/>
      </c>
      <c r="F19" s="3" t="n"/>
      <c r="G19" s="3" t="n"/>
      <c r="H19" s="5" t="n"/>
      <c r="I19" s="5" t="n"/>
      <c r="J19" s="6">
        <f>IF(OR($H19="",$I19=""),"",($I19-$H19)+1)</f>
        <v/>
      </c>
      <c r="K19" s="7">
        <f>IF($C19="","",VLOOKUP($C19,Inventory!$A$2:$V$150,9,FALSE))</f>
        <v/>
      </c>
      <c r="L19" s="4" t="n"/>
      <c r="M19" s="4" t="n"/>
      <c r="N19" s="4" t="n"/>
      <c r="O19" s="4" t="n"/>
      <c r="P19" s="4" t="n"/>
      <c r="Q19" s="7">
        <f>IF($K19="","",$K19-$L19+$M19+$N19+$O19)</f>
        <v/>
      </c>
      <c r="R19" s="7">
        <f>IF($Q19="","",$Q19-$P19)</f>
        <v/>
      </c>
      <c r="S19" s="3" t="n"/>
    </row>
    <row r="20">
      <c r="A20" t="inlineStr">
        <is>
          <t>T0019</t>
        </is>
      </c>
      <c r="B20" s="5" t="n"/>
      <c r="C20" s="3" t="n"/>
      <c r="D20">
        <f>IF($C20="","",VLOOKUP($C20,Inventory!$A$2:$V$150,2,FALSE))</f>
        <v/>
      </c>
      <c r="E20">
        <f>IF($C20="","",VLOOKUP($C20,Inventory!$A$2:$V$150,3,FALSE))</f>
        <v/>
      </c>
      <c r="F20" s="3" t="n"/>
      <c r="G20" s="3" t="n"/>
      <c r="H20" s="5" t="n"/>
      <c r="I20" s="5" t="n"/>
      <c r="J20" s="6">
        <f>IF(OR($H20="",$I20=""),"",($I20-$H20)+1)</f>
        <v/>
      </c>
      <c r="K20" s="7">
        <f>IF($C20="","",VLOOKUP($C20,Inventory!$A$2:$V$150,9,FALSE))</f>
        <v/>
      </c>
      <c r="L20" s="4" t="n"/>
      <c r="M20" s="4" t="n"/>
      <c r="N20" s="4" t="n"/>
      <c r="O20" s="4" t="n"/>
      <c r="P20" s="4" t="n"/>
      <c r="Q20" s="7">
        <f>IF($K20="","",$K20-$L20+$M20+$N20+$O20)</f>
        <v/>
      </c>
      <c r="R20" s="7">
        <f>IF($Q20="","",$Q20-$P20)</f>
        <v/>
      </c>
      <c r="S20" s="3" t="n"/>
    </row>
    <row r="21">
      <c r="A21" t="inlineStr">
        <is>
          <t>T0020</t>
        </is>
      </c>
      <c r="B21" s="5" t="n"/>
      <c r="C21" s="3" t="n"/>
      <c r="D21">
        <f>IF($C21="","",VLOOKUP($C21,Inventory!$A$2:$V$150,2,FALSE))</f>
        <v/>
      </c>
      <c r="E21">
        <f>IF($C21="","",VLOOKUP($C21,Inventory!$A$2:$V$150,3,FALSE))</f>
        <v/>
      </c>
      <c r="F21" s="3" t="n"/>
      <c r="G21" s="3" t="n"/>
      <c r="H21" s="5" t="n"/>
      <c r="I21" s="5" t="n"/>
      <c r="J21" s="6">
        <f>IF(OR($H21="",$I21=""),"",($I21-$H21)+1)</f>
        <v/>
      </c>
      <c r="K21" s="7">
        <f>IF($C21="","",VLOOKUP($C21,Inventory!$A$2:$V$150,9,FALSE))</f>
        <v/>
      </c>
      <c r="L21" s="4" t="n"/>
      <c r="M21" s="4" t="n"/>
      <c r="N21" s="4" t="n"/>
      <c r="O21" s="4" t="n"/>
      <c r="P21" s="4" t="n"/>
      <c r="Q21" s="7">
        <f>IF($K21="","",$K21-$L21+$M21+$N21+$O21)</f>
        <v/>
      </c>
      <c r="R21" s="7">
        <f>IF($Q21="","",$Q21-$P21)</f>
        <v/>
      </c>
      <c r="S21" s="3" t="n"/>
    </row>
    <row r="22">
      <c r="A22" t="inlineStr">
        <is>
          <t>T0021</t>
        </is>
      </c>
      <c r="B22" s="5" t="n"/>
      <c r="C22" s="3" t="n"/>
      <c r="D22">
        <f>IF($C22="","",VLOOKUP($C22,Inventory!$A$2:$V$150,2,FALSE))</f>
        <v/>
      </c>
      <c r="E22">
        <f>IF($C22="","",VLOOKUP($C22,Inventory!$A$2:$V$150,3,FALSE))</f>
        <v/>
      </c>
      <c r="F22" s="3" t="n"/>
      <c r="G22" s="3" t="n"/>
      <c r="H22" s="5" t="n"/>
      <c r="I22" s="5" t="n"/>
      <c r="J22" s="6">
        <f>IF(OR($H22="",$I22=""),"",($I22-$H22)+1)</f>
        <v/>
      </c>
      <c r="K22" s="7">
        <f>IF($C22="","",VLOOKUP($C22,Inventory!$A$2:$V$150,9,FALSE))</f>
        <v/>
      </c>
      <c r="L22" s="4" t="n"/>
      <c r="M22" s="4" t="n"/>
      <c r="N22" s="4" t="n"/>
      <c r="O22" s="4" t="n"/>
      <c r="P22" s="4" t="n"/>
      <c r="Q22" s="7">
        <f>IF($K22="","",$K22-$L22+$M22+$N22+$O22)</f>
        <v/>
      </c>
      <c r="R22" s="7">
        <f>IF($Q22="","",$Q22-$P22)</f>
        <v/>
      </c>
      <c r="S22" s="3" t="n"/>
    </row>
    <row r="23">
      <c r="A23" t="inlineStr">
        <is>
          <t>T0022</t>
        </is>
      </c>
      <c r="B23" s="5" t="n"/>
      <c r="C23" s="3" t="n"/>
      <c r="D23">
        <f>IF($C23="","",VLOOKUP($C23,Inventory!$A$2:$V$150,2,FALSE))</f>
        <v/>
      </c>
      <c r="E23">
        <f>IF($C23="","",VLOOKUP($C23,Inventory!$A$2:$V$150,3,FALSE))</f>
        <v/>
      </c>
      <c r="F23" s="3" t="n"/>
      <c r="G23" s="3" t="n"/>
      <c r="H23" s="5" t="n"/>
      <c r="I23" s="5" t="n"/>
      <c r="J23" s="6">
        <f>IF(OR($H23="",$I23=""),"",($I23-$H23)+1)</f>
        <v/>
      </c>
      <c r="K23" s="7">
        <f>IF($C23="","",VLOOKUP($C23,Inventory!$A$2:$V$150,9,FALSE))</f>
        <v/>
      </c>
      <c r="L23" s="4" t="n"/>
      <c r="M23" s="4" t="n"/>
      <c r="N23" s="4" t="n"/>
      <c r="O23" s="4" t="n"/>
      <c r="P23" s="4" t="n"/>
      <c r="Q23" s="7">
        <f>IF($K23="","",$K23-$L23+$M23+$N23+$O23)</f>
        <v/>
      </c>
      <c r="R23" s="7">
        <f>IF($Q23="","",$Q23-$P23)</f>
        <v/>
      </c>
      <c r="S23" s="3" t="n"/>
    </row>
    <row r="24">
      <c r="A24" t="inlineStr">
        <is>
          <t>T0023</t>
        </is>
      </c>
      <c r="B24" s="5" t="n"/>
      <c r="C24" s="3" t="n"/>
      <c r="D24">
        <f>IF($C24="","",VLOOKUP($C24,Inventory!$A$2:$V$150,2,FALSE))</f>
        <v/>
      </c>
      <c r="E24">
        <f>IF($C24="","",VLOOKUP($C24,Inventory!$A$2:$V$150,3,FALSE))</f>
        <v/>
      </c>
      <c r="F24" s="3" t="n"/>
      <c r="G24" s="3" t="n"/>
      <c r="H24" s="5" t="n"/>
      <c r="I24" s="5" t="n"/>
      <c r="J24" s="6">
        <f>IF(OR($H24="",$I24=""),"",($I24-$H24)+1)</f>
        <v/>
      </c>
      <c r="K24" s="7">
        <f>IF($C24="","",VLOOKUP($C24,Inventory!$A$2:$V$150,9,FALSE))</f>
        <v/>
      </c>
      <c r="L24" s="4" t="n"/>
      <c r="M24" s="4" t="n"/>
      <c r="N24" s="4" t="n"/>
      <c r="O24" s="4" t="n"/>
      <c r="P24" s="4" t="n"/>
      <c r="Q24" s="7">
        <f>IF($K24="","",$K24-$L24+$M24+$N24+$O24)</f>
        <v/>
      </c>
      <c r="R24" s="7">
        <f>IF($Q24="","",$Q24-$P24)</f>
        <v/>
      </c>
      <c r="S24" s="3" t="n"/>
    </row>
    <row r="25">
      <c r="A25" t="inlineStr">
        <is>
          <t>T0024</t>
        </is>
      </c>
      <c r="B25" s="5" t="n"/>
      <c r="C25" s="3" t="n"/>
      <c r="D25">
        <f>IF($C25="","",VLOOKUP($C25,Inventory!$A$2:$V$150,2,FALSE))</f>
        <v/>
      </c>
      <c r="E25">
        <f>IF($C25="","",VLOOKUP($C25,Inventory!$A$2:$V$150,3,FALSE))</f>
        <v/>
      </c>
      <c r="F25" s="3" t="n"/>
      <c r="G25" s="3" t="n"/>
      <c r="H25" s="5" t="n"/>
      <c r="I25" s="5" t="n"/>
      <c r="J25" s="6">
        <f>IF(OR($H25="",$I25=""),"",($I25-$H25)+1)</f>
        <v/>
      </c>
      <c r="K25" s="7">
        <f>IF($C25="","",VLOOKUP($C25,Inventory!$A$2:$V$150,9,FALSE))</f>
        <v/>
      </c>
      <c r="L25" s="4" t="n"/>
      <c r="M25" s="4" t="n"/>
      <c r="N25" s="4" t="n"/>
      <c r="O25" s="4" t="n"/>
      <c r="P25" s="4" t="n"/>
      <c r="Q25" s="7">
        <f>IF($K25="","",$K25-$L25+$M25+$N25+$O25)</f>
        <v/>
      </c>
      <c r="R25" s="7">
        <f>IF($Q25="","",$Q25-$P25)</f>
        <v/>
      </c>
      <c r="S25" s="3" t="n"/>
    </row>
    <row r="26">
      <c r="A26" t="inlineStr">
        <is>
          <t>T0025</t>
        </is>
      </c>
      <c r="B26" s="5" t="n"/>
      <c r="C26" s="3" t="n"/>
      <c r="D26">
        <f>IF($C26="","",VLOOKUP($C26,Inventory!$A$2:$V$150,2,FALSE))</f>
        <v/>
      </c>
      <c r="E26">
        <f>IF($C26="","",VLOOKUP($C26,Inventory!$A$2:$V$150,3,FALSE))</f>
        <v/>
      </c>
      <c r="F26" s="3" t="n"/>
      <c r="G26" s="3" t="n"/>
      <c r="H26" s="5" t="n"/>
      <c r="I26" s="5" t="n"/>
      <c r="J26" s="6">
        <f>IF(OR($H26="",$I26=""),"",($I26-$H26)+1)</f>
        <v/>
      </c>
      <c r="K26" s="7">
        <f>IF($C26="","",VLOOKUP($C26,Inventory!$A$2:$V$150,9,FALSE))</f>
        <v/>
      </c>
      <c r="L26" s="4" t="n"/>
      <c r="M26" s="4" t="n"/>
      <c r="N26" s="4" t="n"/>
      <c r="O26" s="4" t="n"/>
      <c r="P26" s="4" t="n"/>
      <c r="Q26" s="7">
        <f>IF($K26="","",$K26-$L26+$M26+$N26+$O26)</f>
        <v/>
      </c>
      <c r="R26" s="7">
        <f>IF($Q26="","",$Q26-$P26)</f>
        <v/>
      </c>
      <c r="S26" s="3" t="n"/>
    </row>
    <row r="27">
      <c r="A27" t="inlineStr">
        <is>
          <t>T0026</t>
        </is>
      </c>
      <c r="B27" s="5" t="n"/>
      <c r="C27" s="3" t="n"/>
      <c r="D27">
        <f>IF($C27="","",VLOOKUP($C27,Inventory!$A$2:$V$150,2,FALSE))</f>
        <v/>
      </c>
      <c r="E27">
        <f>IF($C27="","",VLOOKUP($C27,Inventory!$A$2:$V$150,3,FALSE))</f>
        <v/>
      </c>
      <c r="F27" s="3" t="n"/>
      <c r="G27" s="3" t="n"/>
      <c r="H27" s="5" t="n"/>
      <c r="I27" s="5" t="n"/>
      <c r="J27" s="6">
        <f>IF(OR($H27="",$I27=""),"",($I27-$H27)+1)</f>
        <v/>
      </c>
      <c r="K27" s="7">
        <f>IF($C27="","",VLOOKUP($C27,Inventory!$A$2:$V$150,9,FALSE))</f>
        <v/>
      </c>
      <c r="L27" s="4" t="n"/>
      <c r="M27" s="4" t="n"/>
      <c r="N27" s="4" t="n"/>
      <c r="O27" s="4" t="n"/>
      <c r="P27" s="4" t="n"/>
      <c r="Q27" s="7">
        <f>IF($K27="","",$K27-$L27+$M27+$N27+$O27)</f>
        <v/>
      </c>
      <c r="R27" s="7">
        <f>IF($Q27="","",$Q27-$P27)</f>
        <v/>
      </c>
      <c r="S27" s="3" t="n"/>
    </row>
    <row r="28">
      <c r="A28" t="inlineStr">
        <is>
          <t>T0027</t>
        </is>
      </c>
      <c r="B28" s="5" t="n"/>
      <c r="C28" s="3" t="n"/>
      <c r="D28">
        <f>IF($C28="","",VLOOKUP($C28,Inventory!$A$2:$V$150,2,FALSE))</f>
        <v/>
      </c>
      <c r="E28">
        <f>IF($C28="","",VLOOKUP($C28,Inventory!$A$2:$V$150,3,FALSE))</f>
        <v/>
      </c>
      <c r="F28" s="3" t="n"/>
      <c r="G28" s="3" t="n"/>
      <c r="H28" s="5" t="n"/>
      <c r="I28" s="5" t="n"/>
      <c r="J28" s="6">
        <f>IF(OR($H28="",$I28=""),"",($I28-$H28)+1)</f>
        <v/>
      </c>
      <c r="K28" s="7">
        <f>IF($C28="","",VLOOKUP($C28,Inventory!$A$2:$V$150,9,FALSE))</f>
        <v/>
      </c>
      <c r="L28" s="4" t="n"/>
      <c r="M28" s="4" t="n"/>
      <c r="N28" s="4" t="n"/>
      <c r="O28" s="4" t="n"/>
      <c r="P28" s="4" t="n"/>
      <c r="Q28" s="7">
        <f>IF($K28="","",$K28-$L28+$M28+$N28+$O28)</f>
        <v/>
      </c>
      <c r="R28" s="7">
        <f>IF($Q28="","",$Q28-$P28)</f>
        <v/>
      </c>
      <c r="S28" s="3" t="n"/>
    </row>
    <row r="29">
      <c r="A29" t="inlineStr">
        <is>
          <t>T0028</t>
        </is>
      </c>
      <c r="B29" s="5" t="n"/>
      <c r="C29" s="3" t="n"/>
      <c r="D29">
        <f>IF($C29="","",VLOOKUP($C29,Inventory!$A$2:$V$150,2,FALSE))</f>
        <v/>
      </c>
      <c r="E29">
        <f>IF($C29="","",VLOOKUP($C29,Inventory!$A$2:$V$150,3,FALSE))</f>
        <v/>
      </c>
      <c r="F29" s="3" t="n"/>
      <c r="G29" s="3" t="n"/>
      <c r="H29" s="5" t="n"/>
      <c r="I29" s="5" t="n"/>
      <c r="J29" s="6">
        <f>IF(OR($H29="",$I29=""),"",($I29-$H29)+1)</f>
        <v/>
      </c>
      <c r="K29" s="7">
        <f>IF($C29="","",VLOOKUP($C29,Inventory!$A$2:$V$150,9,FALSE))</f>
        <v/>
      </c>
      <c r="L29" s="4" t="n"/>
      <c r="M29" s="4" t="n"/>
      <c r="N29" s="4" t="n"/>
      <c r="O29" s="4" t="n"/>
      <c r="P29" s="4" t="n"/>
      <c r="Q29" s="7">
        <f>IF($K29="","",$K29-$L29+$M29+$N29+$O29)</f>
        <v/>
      </c>
      <c r="R29" s="7">
        <f>IF($Q29="","",$Q29-$P29)</f>
        <v/>
      </c>
      <c r="S29" s="3" t="n"/>
    </row>
    <row r="30">
      <c r="A30" t="inlineStr">
        <is>
          <t>T0029</t>
        </is>
      </c>
      <c r="B30" s="5" t="n"/>
      <c r="C30" s="3" t="n"/>
      <c r="D30">
        <f>IF($C30="","",VLOOKUP($C30,Inventory!$A$2:$V$150,2,FALSE))</f>
        <v/>
      </c>
      <c r="E30">
        <f>IF($C30="","",VLOOKUP($C30,Inventory!$A$2:$V$150,3,FALSE))</f>
        <v/>
      </c>
      <c r="F30" s="3" t="n"/>
      <c r="G30" s="3" t="n"/>
      <c r="H30" s="5" t="n"/>
      <c r="I30" s="5" t="n"/>
      <c r="J30" s="6">
        <f>IF(OR($H30="",$I30=""),"",($I30-$H30)+1)</f>
        <v/>
      </c>
      <c r="K30" s="7">
        <f>IF($C30="","",VLOOKUP($C30,Inventory!$A$2:$V$150,9,FALSE))</f>
        <v/>
      </c>
      <c r="L30" s="4" t="n"/>
      <c r="M30" s="4" t="n"/>
      <c r="N30" s="4" t="n"/>
      <c r="O30" s="4" t="n"/>
      <c r="P30" s="4" t="n"/>
      <c r="Q30" s="7">
        <f>IF($K30="","",$K30-$L30+$M30+$N30+$O30)</f>
        <v/>
      </c>
      <c r="R30" s="7">
        <f>IF($Q30="","",$Q30-$P30)</f>
        <v/>
      </c>
      <c r="S30" s="3" t="n"/>
    </row>
    <row r="31">
      <c r="A31" t="inlineStr">
        <is>
          <t>T0030</t>
        </is>
      </c>
      <c r="B31" s="5" t="n"/>
      <c r="C31" s="3" t="n"/>
      <c r="D31">
        <f>IF($C31="","",VLOOKUP($C31,Inventory!$A$2:$V$150,2,FALSE))</f>
        <v/>
      </c>
      <c r="E31">
        <f>IF($C31="","",VLOOKUP($C31,Inventory!$A$2:$V$150,3,FALSE))</f>
        <v/>
      </c>
      <c r="F31" s="3" t="n"/>
      <c r="G31" s="3" t="n"/>
      <c r="H31" s="5" t="n"/>
      <c r="I31" s="5" t="n"/>
      <c r="J31" s="6">
        <f>IF(OR($H31="",$I31=""),"",($I31-$H31)+1)</f>
        <v/>
      </c>
      <c r="K31" s="7">
        <f>IF($C31="","",VLOOKUP($C31,Inventory!$A$2:$V$150,9,FALSE))</f>
        <v/>
      </c>
      <c r="L31" s="4" t="n"/>
      <c r="M31" s="4" t="n"/>
      <c r="N31" s="4" t="n"/>
      <c r="O31" s="4" t="n"/>
      <c r="P31" s="4" t="n"/>
      <c r="Q31" s="7">
        <f>IF($K31="","",$K31-$L31+$M31+$N31+$O31)</f>
        <v/>
      </c>
      <c r="R31" s="7">
        <f>IF($Q31="","",$Q31-$P31)</f>
        <v/>
      </c>
      <c r="S31" s="3" t="n"/>
    </row>
    <row r="32">
      <c r="A32" t="inlineStr">
        <is>
          <t>T0031</t>
        </is>
      </c>
      <c r="B32" s="5" t="n"/>
      <c r="C32" s="3" t="n"/>
      <c r="D32">
        <f>IF($C32="","",VLOOKUP($C32,Inventory!$A$2:$V$150,2,FALSE))</f>
        <v/>
      </c>
      <c r="E32">
        <f>IF($C32="","",VLOOKUP($C32,Inventory!$A$2:$V$150,3,FALSE))</f>
        <v/>
      </c>
      <c r="F32" s="3" t="n"/>
      <c r="G32" s="3" t="n"/>
      <c r="H32" s="5" t="n"/>
      <c r="I32" s="5" t="n"/>
      <c r="J32" s="6">
        <f>IF(OR($H32="",$I32=""),"",($I32-$H32)+1)</f>
        <v/>
      </c>
      <c r="K32" s="7">
        <f>IF($C32="","",VLOOKUP($C32,Inventory!$A$2:$V$150,9,FALSE))</f>
        <v/>
      </c>
      <c r="L32" s="4" t="n"/>
      <c r="M32" s="4" t="n"/>
      <c r="N32" s="4" t="n"/>
      <c r="O32" s="4" t="n"/>
      <c r="P32" s="4" t="n"/>
      <c r="Q32" s="7">
        <f>IF($K32="","",$K32-$L32+$M32+$N32+$O32)</f>
        <v/>
      </c>
      <c r="R32" s="7">
        <f>IF($Q32="","",$Q32-$P32)</f>
        <v/>
      </c>
      <c r="S32" s="3" t="n"/>
    </row>
    <row r="33">
      <c r="A33" t="inlineStr">
        <is>
          <t>T0032</t>
        </is>
      </c>
      <c r="B33" s="5" t="n"/>
      <c r="C33" s="3" t="n"/>
      <c r="D33">
        <f>IF($C33="","",VLOOKUP($C33,Inventory!$A$2:$V$150,2,FALSE))</f>
        <v/>
      </c>
      <c r="E33">
        <f>IF($C33="","",VLOOKUP($C33,Inventory!$A$2:$V$150,3,FALSE))</f>
        <v/>
      </c>
      <c r="F33" s="3" t="n"/>
      <c r="G33" s="3" t="n"/>
      <c r="H33" s="5" t="n"/>
      <c r="I33" s="5" t="n"/>
      <c r="J33" s="6">
        <f>IF(OR($H33="",$I33=""),"",($I33-$H33)+1)</f>
        <v/>
      </c>
      <c r="K33" s="7">
        <f>IF($C33="","",VLOOKUP($C33,Inventory!$A$2:$V$150,9,FALSE))</f>
        <v/>
      </c>
      <c r="L33" s="4" t="n"/>
      <c r="M33" s="4" t="n"/>
      <c r="N33" s="4" t="n"/>
      <c r="O33" s="4" t="n"/>
      <c r="P33" s="4" t="n"/>
      <c r="Q33" s="7">
        <f>IF($K33="","",$K33-$L33+$M33+$N33+$O33)</f>
        <v/>
      </c>
      <c r="R33" s="7">
        <f>IF($Q33="","",$Q33-$P33)</f>
        <v/>
      </c>
      <c r="S33" s="3" t="n"/>
    </row>
    <row r="34">
      <c r="A34" t="inlineStr">
        <is>
          <t>T0033</t>
        </is>
      </c>
      <c r="B34" s="5" t="n"/>
      <c r="C34" s="3" t="n"/>
      <c r="D34">
        <f>IF($C34="","",VLOOKUP($C34,Inventory!$A$2:$V$150,2,FALSE))</f>
        <v/>
      </c>
      <c r="E34">
        <f>IF($C34="","",VLOOKUP($C34,Inventory!$A$2:$V$150,3,FALSE))</f>
        <v/>
      </c>
      <c r="F34" s="3" t="n"/>
      <c r="G34" s="3" t="n"/>
      <c r="H34" s="5" t="n"/>
      <c r="I34" s="5" t="n"/>
      <c r="J34" s="6">
        <f>IF(OR($H34="",$I34=""),"",($I34-$H34)+1)</f>
        <v/>
      </c>
      <c r="K34" s="7">
        <f>IF($C34="","",VLOOKUP($C34,Inventory!$A$2:$V$150,9,FALSE))</f>
        <v/>
      </c>
      <c r="L34" s="4" t="n"/>
      <c r="M34" s="4" t="n"/>
      <c r="N34" s="4" t="n"/>
      <c r="O34" s="4" t="n"/>
      <c r="P34" s="4" t="n"/>
      <c r="Q34" s="7">
        <f>IF($K34="","",$K34-$L34+$M34+$N34+$O34)</f>
        <v/>
      </c>
      <c r="R34" s="7">
        <f>IF($Q34="","",$Q34-$P34)</f>
        <v/>
      </c>
      <c r="S34" s="3" t="n"/>
    </row>
    <row r="35">
      <c r="A35" t="inlineStr">
        <is>
          <t>T0034</t>
        </is>
      </c>
      <c r="B35" s="5" t="n"/>
      <c r="C35" s="3" t="n"/>
      <c r="D35">
        <f>IF($C35="","",VLOOKUP($C35,Inventory!$A$2:$V$150,2,FALSE))</f>
        <v/>
      </c>
      <c r="E35">
        <f>IF($C35="","",VLOOKUP($C35,Inventory!$A$2:$V$150,3,FALSE))</f>
        <v/>
      </c>
      <c r="F35" s="3" t="n"/>
      <c r="G35" s="3" t="n"/>
      <c r="H35" s="5" t="n"/>
      <c r="I35" s="5" t="n"/>
      <c r="J35" s="6">
        <f>IF(OR($H35="",$I35=""),"",($I35-$H35)+1)</f>
        <v/>
      </c>
      <c r="K35" s="7">
        <f>IF($C35="","",VLOOKUP($C35,Inventory!$A$2:$V$150,9,FALSE))</f>
        <v/>
      </c>
      <c r="L35" s="4" t="n"/>
      <c r="M35" s="4" t="n"/>
      <c r="N35" s="4" t="n"/>
      <c r="O35" s="4" t="n"/>
      <c r="P35" s="4" t="n"/>
      <c r="Q35" s="7">
        <f>IF($K35="","",$K35-$L35+$M35+$N35+$O35)</f>
        <v/>
      </c>
      <c r="R35" s="7">
        <f>IF($Q35="","",$Q35-$P35)</f>
        <v/>
      </c>
      <c r="S35" s="3" t="n"/>
    </row>
    <row r="36">
      <c r="A36" t="inlineStr">
        <is>
          <t>T0035</t>
        </is>
      </c>
      <c r="B36" s="5" t="n"/>
      <c r="C36" s="3" t="n"/>
      <c r="D36">
        <f>IF($C36="","",VLOOKUP($C36,Inventory!$A$2:$V$150,2,FALSE))</f>
        <v/>
      </c>
      <c r="E36">
        <f>IF($C36="","",VLOOKUP($C36,Inventory!$A$2:$V$150,3,FALSE))</f>
        <v/>
      </c>
      <c r="F36" s="3" t="n"/>
      <c r="G36" s="3" t="n"/>
      <c r="H36" s="5" t="n"/>
      <c r="I36" s="5" t="n"/>
      <c r="J36" s="6">
        <f>IF(OR($H36="",$I36=""),"",($I36-$H36)+1)</f>
        <v/>
      </c>
      <c r="K36" s="7">
        <f>IF($C36="","",VLOOKUP($C36,Inventory!$A$2:$V$150,9,FALSE))</f>
        <v/>
      </c>
      <c r="L36" s="4" t="n"/>
      <c r="M36" s="4" t="n"/>
      <c r="N36" s="4" t="n"/>
      <c r="O36" s="4" t="n"/>
      <c r="P36" s="4" t="n"/>
      <c r="Q36" s="7">
        <f>IF($K36="","",$K36-$L36+$M36+$N36+$O36)</f>
        <v/>
      </c>
      <c r="R36" s="7">
        <f>IF($Q36="","",$Q36-$P36)</f>
        <v/>
      </c>
      <c r="S36" s="3" t="n"/>
    </row>
    <row r="37">
      <c r="A37" t="inlineStr">
        <is>
          <t>T0036</t>
        </is>
      </c>
      <c r="B37" s="5" t="n"/>
      <c r="C37" s="3" t="n"/>
      <c r="D37">
        <f>IF($C37="","",VLOOKUP($C37,Inventory!$A$2:$V$150,2,FALSE))</f>
        <v/>
      </c>
      <c r="E37">
        <f>IF($C37="","",VLOOKUP($C37,Inventory!$A$2:$V$150,3,FALSE))</f>
        <v/>
      </c>
      <c r="F37" s="3" t="n"/>
      <c r="G37" s="3" t="n"/>
      <c r="H37" s="5" t="n"/>
      <c r="I37" s="5" t="n"/>
      <c r="J37" s="6">
        <f>IF(OR($H37="",$I37=""),"",($I37-$H37)+1)</f>
        <v/>
      </c>
      <c r="K37" s="7">
        <f>IF($C37="","",VLOOKUP($C37,Inventory!$A$2:$V$150,9,FALSE))</f>
        <v/>
      </c>
      <c r="L37" s="4" t="n"/>
      <c r="M37" s="4" t="n"/>
      <c r="N37" s="4" t="n"/>
      <c r="O37" s="4" t="n"/>
      <c r="P37" s="4" t="n"/>
      <c r="Q37" s="7">
        <f>IF($K37="","",$K37-$L37+$M37+$N37+$O37)</f>
        <v/>
      </c>
      <c r="R37" s="7">
        <f>IF($Q37="","",$Q37-$P37)</f>
        <v/>
      </c>
      <c r="S37" s="3" t="n"/>
    </row>
    <row r="38">
      <c r="A38" t="inlineStr">
        <is>
          <t>T0037</t>
        </is>
      </c>
      <c r="B38" s="5" t="n"/>
      <c r="C38" s="3" t="n"/>
      <c r="D38">
        <f>IF($C38="","",VLOOKUP($C38,Inventory!$A$2:$V$150,2,FALSE))</f>
        <v/>
      </c>
      <c r="E38">
        <f>IF($C38="","",VLOOKUP($C38,Inventory!$A$2:$V$150,3,FALSE))</f>
        <v/>
      </c>
      <c r="F38" s="3" t="n"/>
      <c r="G38" s="3" t="n"/>
      <c r="H38" s="5" t="n"/>
      <c r="I38" s="5" t="n"/>
      <c r="J38" s="6">
        <f>IF(OR($H38="",$I38=""),"",($I38-$H38)+1)</f>
        <v/>
      </c>
      <c r="K38" s="7">
        <f>IF($C38="","",VLOOKUP($C38,Inventory!$A$2:$V$150,9,FALSE))</f>
        <v/>
      </c>
      <c r="L38" s="4" t="n"/>
      <c r="M38" s="4" t="n"/>
      <c r="N38" s="4" t="n"/>
      <c r="O38" s="4" t="n"/>
      <c r="P38" s="4" t="n"/>
      <c r="Q38" s="7">
        <f>IF($K38="","",$K38-$L38+$M38+$N38+$O38)</f>
        <v/>
      </c>
      <c r="R38" s="7">
        <f>IF($Q38="","",$Q38-$P38)</f>
        <v/>
      </c>
      <c r="S38" s="3" t="n"/>
    </row>
    <row r="39">
      <c r="A39" t="inlineStr">
        <is>
          <t>T0038</t>
        </is>
      </c>
      <c r="B39" s="5" t="n"/>
      <c r="C39" s="3" t="n"/>
      <c r="D39">
        <f>IF($C39="","",VLOOKUP($C39,Inventory!$A$2:$V$150,2,FALSE))</f>
        <v/>
      </c>
      <c r="E39">
        <f>IF($C39="","",VLOOKUP($C39,Inventory!$A$2:$V$150,3,FALSE))</f>
        <v/>
      </c>
      <c r="F39" s="3" t="n"/>
      <c r="G39" s="3" t="n"/>
      <c r="H39" s="5" t="n"/>
      <c r="I39" s="5" t="n"/>
      <c r="J39" s="6">
        <f>IF(OR($H39="",$I39=""),"",($I39-$H39)+1)</f>
        <v/>
      </c>
      <c r="K39" s="7">
        <f>IF($C39="","",VLOOKUP($C39,Inventory!$A$2:$V$150,9,FALSE))</f>
        <v/>
      </c>
      <c r="L39" s="4" t="n"/>
      <c r="M39" s="4" t="n"/>
      <c r="N39" s="4" t="n"/>
      <c r="O39" s="4" t="n"/>
      <c r="P39" s="4" t="n"/>
      <c r="Q39" s="7">
        <f>IF($K39="","",$K39-$L39+$M39+$N39+$O39)</f>
        <v/>
      </c>
      <c r="R39" s="7">
        <f>IF($Q39="","",$Q39-$P39)</f>
        <v/>
      </c>
      <c r="S39" s="3" t="n"/>
    </row>
    <row r="40">
      <c r="A40" t="inlineStr">
        <is>
          <t>T0039</t>
        </is>
      </c>
      <c r="B40" s="5" t="n"/>
      <c r="C40" s="3" t="n"/>
      <c r="D40">
        <f>IF($C40="","",VLOOKUP($C40,Inventory!$A$2:$V$150,2,FALSE))</f>
        <v/>
      </c>
      <c r="E40">
        <f>IF($C40="","",VLOOKUP($C40,Inventory!$A$2:$V$150,3,FALSE))</f>
        <v/>
      </c>
      <c r="F40" s="3" t="n"/>
      <c r="G40" s="3" t="n"/>
      <c r="H40" s="5" t="n"/>
      <c r="I40" s="5" t="n"/>
      <c r="J40" s="6">
        <f>IF(OR($H40="",$I40=""),"",($I40-$H40)+1)</f>
        <v/>
      </c>
      <c r="K40" s="7">
        <f>IF($C40="","",VLOOKUP($C40,Inventory!$A$2:$V$150,9,FALSE))</f>
        <v/>
      </c>
      <c r="L40" s="4" t="n"/>
      <c r="M40" s="4" t="n"/>
      <c r="N40" s="4" t="n"/>
      <c r="O40" s="4" t="n"/>
      <c r="P40" s="4" t="n"/>
      <c r="Q40" s="7">
        <f>IF($K40="","",$K40-$L40+$M40+$N40+$O40)</f>
        <v/>
      </c>
      <c r="R40" s="7">
        <f>IF($Q40="","",$Q40-$P40)</f>
        <v/>
      </c>
      <c r="S40" s="3" t="n"/>
    </row>
    <row r="41">
      <c r="A41" t="inlineStr">
        <is>
          <t>T0040</t>
        </is>
      </c>
      <c r="B41" s="5" t="n"/>
      <c r="C41" s="3" t="n"/>
      <c r="D41">
        <f>IF($C41="","",VLOOKUP($C41,Inventory!$A$2:$V$150,2,FALSE))</f>
        <v/>
      </c>
      <c r="E41">
        <f>IF($C41="","",VLOOKUP($C41,Inventory!$A$2:$V$150,3,FALSE))</f>
        <v/>
      </c>
      <c r="F41" s="3" t="n"/>
      <c r="G41" s="3" t="n"/>
      <c r="H41" s="5" t="n"/>
      <c r="I41" s="5" t="n"/>
      <c r="J41" s="6">
        <f>IF(OR($H41="",$I41=""),"",($I41-$H41)+1)</f>
        <v/>
      </c>
      <c r="K41" s="7">
        <f>IF($C41="","",VLOOKUP($C41,Inventory!$A$2:$V$150,9,FALSE))</f>
        <v/>
      </c>
      <c r="L41" s="4" t="n"/>
      <c r="M41" s="4" t="n"/>
      <c r="N41" s="4" t="n"/>
      <c r="O41" s="4" t="n"/>
      <c r="P41" s="4" t="n"/>
      <c r="Q41" s="7">
        <f>IF($K41="","",$K41-$L41+$M41+$N41+$O41)</f>
        <v/>
      </c>
      <c r="R41" s="7">
        <f>IF($Q41="","",$Q41-$P41)</f>
        <v/>
      </c>
      <c r="S41" s="3" t="n"/>
    </row>
    <row r="42">
      <c r="A42" t="inlineStr">
        <is>
          <t>T0041</t>
        </is>
      </c>
      <c r="B42" s="5" t="n"/>
      <c r="C42" s="3" t="n"/>
      <c r="D42">
        <f>IF($C42="","",VLOOKUP($C42,Inventory!$A$2:$V$150,2,FALSE))</f>
        <v/>
      </c>
      <c r="E42">
        <f>IF($C42="","",VLOOKUP($C42,Inventory!$A$2:$V$150,3,FALSE))</f>
        <v/>
      </c>
      <c r="F42" s="3" t="n"/>
      <c r="G42" s="3" t="n"/>
      <c r="H42" s="5" t="n"/>
      <c r="I42" s="5" t="n"/>
      <c r="J42" s="6">
        <f>IF(OR($H42="",$I42=""),"",($I42-$H42)+1)</f>
        <v/>
      </c>
      <c r="K42" s="7">
        <f>IF($C42="","",VLOOKUP($C42,Inventory!$A$2:$V$150,9,FALSE))</f>
        <v/>
      </c>
      <c r="L42" s="4" t="n"/>
      <c r="M42" s="4" t="n"/>
      <c r="N42" s="4" t="n"/>
      <c r="O42" s="4" t="n"/>
      <c r="P42" s="4" t="n"/>
      <c r="Q42" s="7">
        <f>IF($K42="","",$K42-$L42+$M42+$N42+$O42)</f>
        <v/>
      </c>
      <c r="R42" s="7">
        <f>IF($Q42="","",$Q42-$P42)</f>
        <v/>
      </c>
      <c r="S42" s="3" t="n"/>
    </row>
    <row r="43">
      <c r="A43" t="inlineStr">
        <is>
          <t>T0042</t>
        </is>
      </c>
      <c r="B43" s="5" t="n"/>
      <c r="C43" s="3" t="n"/>
      <c r="D43">
        <f>IF($C43="","",VLOOKUP($C43,Inventory!$A$2:$V$150,2,FALSE))</f>
        <v/>
      </c>
      <c r="E43">
        <f>IF($C43="","",VLOOKUP($C43,Inventory!$A$2:$V$150,3,FALSE))</f>
        <v/>
      </c>
      <c r="F43" s="3" t="n"/>
      <c r="G43" s="3" t="n"/>
      <c r="H43" s="5" t="n"/>
      <c r="I43" s="5" t="n"/>
      <c r="J43" s="6">
        <f>IF(OR($H43="",$I43=""),"",($I43-$H43)+1)</f>
        <v/>
      </c>
      <c r="K43" s="7">
        <f>IF($C43="","",VLOOKUP($C43,Inventory!$A$2:$V$150,9,FALSE))</f>
        <v/>
      </c>
      <c r="L43" s="4" t="n"/>
      <c r="M43" s="4" t="n"/>
      <c r="N43" s="4" t="n"/>
      <c r="O43" s="4" t="n"/>
      <c r="P43" s="4" t="n"/>
      <c r="Q43" s="7">
        <f>IF($K43="","",$K43-$L43+$M43+$N43+$O43)</f>
        <v/>
      </c>
      <c r="R43" s="7">
        <f>IF($Q43="","",$Q43-$P43)</f>
        <v/>
      </c>
      <c r="S43" s="3" t="n"/>
    </row>
    <row r="44">
      <c r="A44" t="inlineStr">
        <is>
          <t>T0043</t>
        </is>
      </c>
      <c r="B44" s="5" t="n"/>
      <c r="C44" s="3" t="n"/>
      <c r="D44">
        <f>IF($C44="","",VLOOKUP($C44,Inventory!$A$2:$V$150,2,FALSE))</f>
        <v/>
      </c>
      <c r="E44">
        <f>IF($C44="","",VLOOKUP($C44,Inventory!$A$2:$V$150,3,FALSE))</f>
        <v/>
      </c>
      <c r="F44" s="3" t="n"/>
      <c r="G44" s="3" t="n"/>
      <c r="H44" s="5" t="n"/>
      <c r="I44" s="5" t="n"/>
      <c r="J44" s="6">
        <f>IF(OR($H44="",$I44=""),"",($I44-$H44)+1)</f>
        <v/>
      </c>
      <c r="K44" s="7">
        <f>IF($C44="","",VLOOKUP($C44,Inventory!$A$2:$V$150,9,FALSE))</f>
        <v/>
      </c>
      <c r="L44" s="4" t="n"/>
      <c r="M44" s="4" t="n"/>
      <c r="N44" s="4" t="n"/>
      <c r="O44" s="4" t="n"/>
      <c r="P44" s="4" t="n"/>
      <c r="Q44" s="7">
        <f>IF($K44="","",$K44-$L44+$M44+$N44+$O44)</f>
        <v/>
      </c>
      <c r="R44" s="7">
        <f>IF($Q44="","",$Q44-$P44)</f>
        <v/>
      </c>
      <c r="S44" s="3" t="n"/>
    </row>
    <row r="45">
      <c r="A45" t="inlineStr">
        <is>
          <t>T0044</t>
        </is>
      </c>
      <c r="B45" s="5" t="n"/>
      <c r="C45" s="3" t="n"/>
      <c r="D45">
        <f>IF($C45="","",VLOOKUP($C45,Inventory!$A$2:$V$150,2,FALSE))</f>
        <v/>
      </c>
      <c r="E45">
        <f>IF($C45="","",VLOOKUP($C45,Inventory!$A$2:$V$150,3,FALSE))</f>
        <v/>
      </c>
      <c r="F45" s="3" t="n"/>
      <c r="G45" s="3" t="n"/>
      <c r="H45" s="5" t="n"/>
      <c r="I45" s="5" t="n"/>
      <c r="J45" s="6">
        <f>IF(OR($H45="",$I45=""),"",($I45-$H45)+1)</f>
        <v/>
      </c>
      <c r="K45" s="7">
        <f>IF($C45="","",VLOOKUP($C45,Inventory!$A$2:$V$150,9,FALSE))</f>
        <v/>
      </c>
      <c r="L45" s="4" t="n"/>
      <c r="M45" s="4" t="n"/>
      <c r="N45" s="4" t="n"/>
      <c r="O45" s="4" t="n"/>
      <c r="P45" s="4" t="n"/>
      <c r="Q45" s="7">
        <f>IF($K45="","",$K45-$L45+$M45+$N45+$O45)</f>
        <v/>
      </c>
      <c r="R45" s="7">
        <f>IF($Q45="","",$Q45-$P45)</f>
        <v/>
      </c>
      <c r="S45" s="3" t="n"/>
    </row>
    <row r="46">
      <c r="A46" t="inlineStr">
        <is>
          <t>T0045</t>
        </is>
      </c>
      <c r="B46" s="5" t="n"/>
      <c r="C46" s="3" t="n"/>
      <c r="D46">
        <f>IF($C46="","",VLOOKUP($C46,Inventory!$A$2:$V$150,2,FALSE))</f>
        <v/>
      </c>
      <c r="E46">
        <f>IF($C46="","",VLOOKUP($C46,Inventory!$A$2:$V$150,3,FALSE))</f>
        <v/>
      </c>
      <c r="F46" s="3" t="n"/>
      <c r="G46" s="3" t="n"/>
      <c r="H46" s="5" t="n"/>
      <c r="I46" s="5" t="n"/>
      <c r="J46" s="6">
        <f>IF(OR($H46="",$I46=""),"",($I46-$H46)+1)</f>
        <v/>
      </c>
      <c r="K46" s="7">
        <f>IF($C46="","",VLOOKUP($C46,Inventory!$A$2:$V$150,9,FALSE))</f>
        <v/>
      </c>
      <c r="L46" s="4" t="n"/>
      <c r="M46" s="4" t="n"/>
      <c r="N46" s="4" t="n"/>
      <c r="O46" s="4" t="n"/>
      <c r="P46" s="4" t="n"/>
      <c r="Q46" s="7">
        <f>IF($K46="","",$K46-$L46+$M46+$N46+$O46)</f>
        <v/>
      </c>
      <c r="R46" s="7">
        <f>IF($Q46="","",$Q46-$P46)</f>
        <v/>
      </c>
      <c r="S46" s="3" t="n"/>
    </row>
    <row r="47">
      <c r="A47" t="inlineStr">
        <is>
          <t>T0046</t>
        </is>
      </c>
      <c r="B47" s="5" t="n"/>
      <c r="C47" s="3" t="n"/>
      <c r="D47">
        <f>IF($C47="","",VLOOKUP($C47,Inventory!$A$2:$V$150,2,FALSE))</f>
        <v/>
      </c>
      <c r="E47">
        <f>IF($C47="","",VLOOKUP($C47,Inventory!$A$2:$V$150,3,FALSE))</f>
        <v/>
      </c>
      <c r="F47" s="3" t="n"/>
      <c r="G47" s="3" t="n"/>
      <c r="H47" s="5" t="n"/>
      <c r="I47" s="5" t="n"/>
      <c r="J47" s="6">
        <f>IF(OR($H47="",$I47=""),"",($I47-$H47)+1)</f>
        <v/>
      </c>
      <c r="K47" s="7">
        <f>IF($C47="","",VLOOKUP($C47,Inventory!$A$2:$V$150,9,FALSE))</f>
        <v/>
      </c>
      <c r="L47" s="4" t="n"/>
      <c r="M47" s="4" t="n"/>
      <c r="N47" s="4" t="n"/>
      <c r="O47" s="4" t="n"/>
      <c r="P47" s="4" t="n"/>
      <c r="Q47" s="7">
        <f>IF($K47="","",$K47-$L47+$M47+$N47+$O47)</f>
        <v/>
      </c>
      <c r="R47" s="7">
        <f>IF($Q47="","",$Q47-$P47)</f>
        <v/>
      </c>
      <c r="S47" s="3" t="n"/>
    </row>
    <row r="48">
      <c r="A48" t="inlineStr">
        <is>
          <t>T0047</t>
        </is>
      </c>
      <c r="B48" s="5" t="n"/>
      <c r="C48" s="3" t="n"/>
      <c r="D48">
        <f>IF($C48="","",VLOOKUP($C48,Inventory!$A$2:$V$150,2,FALSE))</f>
        <v/>
      </c>
      <c r="E48">
        <f>IF($C48="","",VLOOKUP($C48,Inventory!$A$2:$V$150,3,FALSE))</f>
        <v/>
      </c>
      <c r="F48" s="3" t="n"/>
      <c r="G48" s="3" t="n"/>
      <c r="H48" s="5" t="n"/>
      <c r="I48" s="5" t="n"/>
      <c r="J48" s="6">
        <f>IF(OR($H48="",$I48=""),"",($I48-$H48)+1)</f>
        <v/>
      </c>
      <c r="K48" s="7">
        <f>IF($C48="","",VLOOKUP($C48,Inventory!$A$2:$V$150,9,FALSE))</f>
        <v/>
      </c>
      <c r="L48" s="4" t="n"/>
      <c r="M48" s="4" t="n"/>
      <c r="N48" s="4" t="n"/>
      <c r="O48" s="4" t="n"/>
      <c r="P48" s="4" t="n"/>
      <c r="Q48" s="7">
        <f>IF($K48="","",$K48-$L48+$M48+$N48+$O48)</f>
        <v/>
      </c>
      <c r="R48" s="7">
        <f>IF($Q48="","",$Q48-$P48)</f>
        <v/>
      </c>
      <c r="S48" s="3" t="n"/>
    </row>
    <row r="49">
      <c r="A49" t="inlineStr">
        <is>
          <t>T0048</t>
        </is>
      </c>
      <c r="B49" s="5" t="n"/>
      <c r="C49" s="3" t="n"/>
      <c r="D49">
        <f>IF($C49="","",VLOOKUP($C49,Inventory!$A$2:$V$150,2,FALSE))</f>
        <v/>
      </c>
      <c r="E49">
        <f>IF($C49="","",VLOOKUP($C49,Inventory!$A$2:$V$150,3,FALSE))</f>
        <v/>
      </c>
      <c r="F49" s="3" t="n"/>
      <c r="G49" s="3" t="n"/>
      <c r="H49" s="5" t="n"/>
      <c r="I49" s="5" t="n"/>
      <c r="J49" s="6">
        <f>IF(OR($H49="",$I49=""),"",($I49-$H49)+1)</f>
        <v/>
      </c>
      <c r="K49" s="7">
        <f>IF($C49="","",VLOOKUP($C49,Inventory!$A$2:$V$150,9,FALSE))</f>
        <v/>
      </c>
      <c r="L49" s="4" t="n"/>
      <c r="M49" s="4" t="n"/>
      <c r="N49" s="4" t="n"/>
      <c r="O49" s="4" t="n"/>
      <c r="P49" s="4" t="n"/>
      <c r="Q49" s="7">
        <f>IF($K49="","",$K49-$L49+$M49+$N49+$O49)</f>
        <v/>
      </c>
      <c r="R49" s="7">
        <f>IF($Q49="","",$Q49-$P49)</f>
        <v/>
      </c>
      <c r="S49" s="3" t="n"/>
    </row>
    <row r="50">
      <c r="A50" t="inlineStr">
        <is>
          <t>T0049</t>
        </is>
      </c>
      <c r="B50" s="5" t="n"/>
      <c r="C50" s="3" t="n"/>
      <c r="D50">
        <f>IF($C50="","",VLOOKUP($C50,Inventory!$A$2:$V$150,2,FALSE))</f>
        <v/>
      </c>
      <c r="E50">
        <f>IF($C50="","",VLOOKUP($C50,Inventory!$A$2:$V$150,3,FALSE))</f>
        <v/>
      </c>
      <c r="F50" s="3" t="n"/>
      <c r="G50" s="3" t="n"/>
      <c r="H50" s="5" t="n"/>
      <c r="I50" s="5" t="n"/>
      <c r="J50" s="6">
        <f>IF(OR($H50="",$I50=""),"",($I50-$H50)+1)</f>
        <v/>
      </c>
      <c r="K50" s="7">
        <f>IF($C50="","",VLOOKUP($C50,Inventory!$A$2:$V$150,9,FALSE))</f>
        <v/>
      </c>
      <c r="L50" s="4" t="n"/>
      <c r="M50" s="4" t="n"/>
      <c r="N50" s="4" t="n"/>
      <c r="O50" s="4" t="n"/>
      <c r="P50" s="4" t="n"/>
      <c r="Q50" s="7">
        <f>IF($K50="","",$K50-$L50+$M50+$N50+$O50)</f>
        <v/>
      </c>
      <c r="R50" s="7">
        <f>IF($Q50="","",$Q50-$P50)</f>
        <v/>
      </c>
      <c r="S50" s="3" t="n"/>
    </row>
    <row r="51">
      <c r="A51" t="inlineStr">
        <is>
          <t>T0050</t>
        </is>
      </c>
      <c r="B51" s="5" t="n"/>
      <c r="C51" s="3" t="n"/>
      <c r="D51">
        <f>IF($C51="","",VLOOKUP($C51,Inventory!$A$2:$V$150,2,FALSE))</f>
        <v/>
      </c>
      <c r="E51">
        <f>IF($C51="","",VLOOKUP($C51,Inventory!$A$2:$V$150,3,FALSE))</f>
        <v/>
      </c>
      <c r="F51" s="3" t="n"/>
      <c r="G51" s="3" t="n"/>
      <c r="H51" s="5" t="n"/>
      <c r="I51" s="5" t="n"/>
      <c r="J51" s="6">
        <f>IF(OR($H51="",$I51=""),"",($I51-$H51)+1)</f>
        <v/>
      </c>
      <c r="K51" s="7">
        <f>IF($C51="","",VLOOKUP($C51,Inventory!$A$2:$V$150,9,FALSE))</f>
        <v/>
      </c>
      <c r="L51" s="4" t="n"/>
      <c r="M51" s="4" t="n"/>
      <c r="N51" s="4" t="n"/>
      <c r="O51" s="4" t="n"/>
      <c r="P51" s="4" t="n"/>
      <c r="Q51" s="7">
        <f>IF($K51="","",$K51-$L51+$M51+$N51+$O51)</f>
        <v/>
      </c>
      <c r="R51" s="7">
        <f>IF($Q51="","",$Q51-$P51)</f>
        <v/>
      </c>
      <c r="S51" s="3" t="n"/>
    </row>
    <row r="52">
      <c r="A52" t="inlineStr">
        <is>
          <t>T0051</t>
        </is>
      </c>
      <c r="B52" s="5" t="n"/>
      <c r="C52" s="3" t="n"/>
      <c r="D52">
        <f>IF($C52="","",VLOOKUP($C52,Inventory!$A$2:$V$150,2,FALSE))</f>
        <v/>
      </c>
      <c r="E52">
        <f>IF($C52="","",VLOOKUP($C52,Inventory!$A$2:$V$150,3,FALSE))</f>
        <v/>
      </c>
      <c r="F52" s="3" t="n"/>
      <c r="G52" s="3" t="n"/>
      <c r="H52" s="5" t="n"/>
      <c r="I52" s="5" t="n"/>
      <c r="J52" s="6">
        <f>IF(OR($H52="",$I52=""),"",($I52-$H52)+1)</f>
        <v/>
      </c>
      <c r="K52" s="7">
        <f>IF($C52="","",VLOOKUP($C52,Inventory!$A$2:$V$150,9,FALSE))</f>
        <v/>
      </c>
      <c r="L52" s="4" t="n"/>
      <c r="M52" s="4" t="n"/>
      <c r="N52" s="4" t="n"/>
      <c r="O52" s="4" t="n"/>
      <c r="P52" s="4" t="n"/>
      <c r="Q52" s="7">
        <f>IF($K52="","",$K52-$L52+$M52+$N52+$O52)</f>
        <v/>
      </c>
      <c r="R52" s="7">
        <f>IF($Q52="","",$Q52-$P52)</f>
        <v/>
      </c>
      <c r="S52" s="3" t="n"/>
    </row>
    <row r="53">
      <c r="A53" t="inlineStr">
        <is>
          <t>T0052</t>
        </is>
      </c>
      <c r="B53" s="5" t="n"/>
      <c r="C53" s="3" t="n"/>
      <c r="D53">
        <f>IF($C53="","",VLOOKUP($C53,Inventory!$A$2:$V$150,2,FALSE))</f>
        <v/>
      </c>
      <c r="E53">
        <f>IF($C53="","",VLOOKUP($C53,Inventory!$A$2:$V$150,3,FALSE))</f>
        <v/>
      </c>
      <c r="F53" s="3" t="n"/>
      <c r="G53" s="3" t="n"/>
      <c r="H53" s="5" t="n"/>
      <c r="I53" s="5" t="n"/>
      <c r="J53" s="6">
        <f>IF(OR($H53="",$I53=""),"",($I53-$H53)+1)</f>
        <v/>
      </c>
      <c r="K53" s="7">
        <f>IF($C53="","",VLOOKUP($C53,Inventory!$A$2:$V$150,9,FALSE))</f>
        <v/>
      </c>
      <c r="L53" s="4" t="n"/>
      <c r="M53" s="4" t="n"/>
      <c r="N53" s="4" t="n"/>
      <c r="O53" s="4" t="n"/>
      <c r="P53" s="4" t="n"/>
      <c r="Q53" s="7">
        <f>IF($K53="","",$K53-$L53+$M53+$N53+$O53)</f>
        <v/>
      </c>
      <c r="R53" s="7">
        <f>IF($Q53="","",$Q53-$P53)</f>
        <v/>
      </c>
      <c r="S53" s="3" t="n"/>
    </row>
    <row r="54">
      <c r="A54" t="inlineStr">
        <is>
          <t>T0053</t>
        </is>
      </c>
      <c r="B54" s="5" t="n"/>
      <c r="C54" s="3" t="n"/>
      <c r="D54">
        <f>IF($C54="","",VLOOKUP($C54,Inventory!$A$2:$V$150,2,FALSE))</f>
        <v/>
      </c>
      <c r="E54">
        <f>IF($C54="","",VLOOKUP($C54,Inventory!$A$2:$V$150,3,FALSE))</f>
        <v/>
      </c>
      <c r="F54" s="3" t="n"/>
      <c r="G54" s="3" t="n"/>
      <c r="H54" s="5" t="n"/>
      <c r="I54" s="5" t="n"/>
      <c r="J54" s="6">
        <f>IF(OR($H54="",$I54=""),"",($I54-$H54)+1)</f>
        <v/>
      </c>
      <c r="K54" s="7">
        <f>IF($C54="","",VLOOKUP($C54,Inventory!$A$2:$V$150,9,FALSE))</f>
        <v/>
      </c>
      <c r="L54" s="4" t="n"/>
      <c r="M54" s="4" t="n"/>
      <c r="N54" s="4" t="n"/>
      <c r="O54" s="4" t="n"/>
      <c r="P54" s="4" t="n"/>
      <c r="Q54" s="7">
        <f>IF($K54="","",$K54-$L54+$M54+$N54+$O54)</f>
        <v/>
      </c>
      <c r="R54" s="7">
        <f>IF($Q54="","",$Q54-$P54)</f>
        <v/>
      </c>
      <c r="S54" s="3" t="n"/>
    </row>
    <row r="55">
      <c r="A55" t="inlineStr">
        <is>
          <t>T0054</t>
        </is>
      </c>
      <c r="B55" s="5" t="n"/>
      <c r="C55" s="3" t="n"/>
      <c r="D55">
        <f>IF($C55="","",VLOOKUP($C55,Inventory!$A$2:$V$150,2,FALSE))</f>
        <v/>
      </c>
      <c r="E55">
        <f>IF($C55="","",VLOOKUP($C55,Inventory!$A$2:$V$150,3,FALSE))</f>
        <v/>
      </c>
      <c r="F55" s="3" t="n"/>
      <c r="G55" s="3" t="n"/>
      <c r="H55" s="5" t="n"/>
      <c r="I55" s="5" t="n"/>
      <c r="J55" s="6">
        <f>IF(OR($H55="",$I55=""),"",($I55-$H55)+1)</f>
        <v/>
      </c>
      <c r="K55" s="7">
        <f>IF($C55="","",VLOOKUP($C55,Inventory!$A$2:$V$150,9,FALSE))</f>
        <v/>
      </c>
      <c r="L55" s="4" t="n"/>
      <c r="M55" s="4" t="n"/>
      <c r="N55" s="4" t="n"/>
      <c r="O55" s="4" t="n"/>
      <c r="P55" s="4" t="n"/>
      <c r="Q55" s="7">
        <f>IF($K55="","",$K55-$L55+$M55+$N55+$O55)</f>
        <v/>
      </c>
      <c r="R55" s="7">
        <f>IF($Q55="","",$Q55-$P55)</f>
        <v/>
      </c>
      <c r="S55" s="3" t="n"/>
    </row>
    <row r="56">
      <c r="A56" t="inlineStr">
        <is>
          <t>T0055</t>
        </is>
      </c>
      <c r="B56" s="5" t="n"/>
      <c r="C56" s="3" t="n"/>
      <c r="D56">
        <f>IF($C56="","",VLOOKUP($C56,Inventory!$A$2:$V$150,2,FALSE))</f>
        <v/>
      </c>
      <c r="E56">
        <f>IF($C56="","",VLOOKUP($C56,Inventory!$A$2:$V$150,3,FALSE))</f>
        <v/>
      </c>
      <c r="F56" s="3" t="n"/>
      <c r="G56" s="3" t="n"/>
      <c r="H56" s="5" t="n"/>
      <c r="I56" s="5" t="n"/>
      <c r="J56" s="6">
        <f>IF(OR($H56="",$I56=""),"",($I56-$H56)+1)</f>
        <v/>
      </c>
      <c r="K56" s="7">
        <f>IF($C56="","",VLOOKUP($C56,Inventory!$A$2:$V$150,9,FALSE))</f>
        <v/>
      </c>
      <c r="L56" s="4" t="n"/>
      <c r="M56" s="4" t="n"/>
      <c r="N56" s="4" t="n"/>
      <c r="O56" s="4" t="n"/>
      <c r="P56" s="4" t="n"/>
      <c r="Q56" s="7">
        <f>IF($K56="","",$K56-$L56+$M56+$N56+$O56)</f>
        <v/>
      </c>
      <c r="R56" s="7">
        <f>IF($Q56="","",$Q56-$P56)</f>
        <v/>
      </c>
      <c r="S56" s="3" t="n"/>
    </row>
    <row r="57">
      <c r="A57" t="inlineStr">
        <is>
          <t>T0056</t>
        </is>
      </c>
      <c r="B57" s="5" t="n"/>
      <c r="C57" s="3" t="n"/>
      <c r="D57">
        <f>IF($C57="","",VLOOKUP($C57,Inventory!$A$2:$V$150,2,FALSE))</f>
        <v/>
      </c>
      <c r="E57">
        <f>IF($C57="","",VLOOKUP($C57,Inventory!$A$2:$V$150,3,FALSE))</f>
        <v/>
      </c>
      <c r="F57" s="3" t="n"/>
      <c r="G57" s="3" t="n"/>
      <c r="H57" s="5" t="n"/>
      <c r="I57" s="5" t="n"/>
      <c r="J57" s="6">
        <f>IF(OR($H57="",$I57=""),"",($I57-$H57)+1)</f>
        <v/>
      </c>
      <c r="K57" s="7">
        <f>IF($C57="","",VLOOKUP($C57,Inventory!$A$2:$V$150,9,FALSE))</f>
        <v/>
      </c>
      <c r="L57" s="4" t="n"/>
      <c r="M57" s="4" t="n"/>
      <c r="N57" s="4" t="n"/>
      <c r="O57" s="4" t="n"/>
      <c r="P57" s="4" t="n"/>
      <c r="Q57" s="7">
        <f>IF($K57="","",$K57-$L57+$M57+$N57+$O57)</f>
        <v/>
      </c>
      <c r="R57" s="7">
        <f>IF($Q57="","",$Q57-$P57)</f>
        <v/>
      </c>
      <c r="S57" s="3" t="n"/>
    </row>
    <row r="58">
      <c r="A58" t="inlineStr">
        <is>
          <t>T0057</t>
        </is>
      </c>
      <c r="B58" s="5" t="n"/>
      <c r="C58" s="3" t="n"/>
      <c r="D58">
        <f>IF($C58="","",VLOOKUP($C58,Inventory!$A$2:$V$150,2,FALSE))</f>
        <v/>
      </c>
      <c r="E58">
        <f>IF($C58="","",VLOOKUP($C58,Inventory!$A$2:$V$150,3,FALSE))</f>
        <v/>
      </c>
      <c r="F58" s="3" t="n"/>
      <c r="G58" s="3" t="n"/>
      <c r="H58" s="5" t="n"/>
      <c r="I58" s="5" t="n"/>
      <c r="J58" s="6">
        <f>IF(OR($H58="",$I58=""),"",($I58-$H58)+1)</f>
        <v/>
      </c>
      <c r="K58" s="7">
        <f>IF($C58="","",VLOOKUP($C58,Inventory!$A$2:$V$150,9,FALSE))</f>
        <v/>
      </c>
      <c r="L58" s="4" t="n"/>
      <c r="M58" s="4" t="n"/>
      <c r="N58" s="4" t="n"/>
      <c r="O58" s="4" t="n"/>
      <c r="P58" s="4" t="n"/>
      <c r="Q58" s="7">
        <f>IF($K58="","",$K58-$L58+$M58+$N58+$O58)</f>
        <v/>
      </c>
      <c r="R58" s="7">
        <f>IF($Q58="","",$Q58-$P58)</f>
        <v/>
      </c>
      <c r="S58" s="3" t="n"/>
    </row>
    <row r="59">
      <c r="A59" t="inlineStr">
        <is>
          <t>T0058</t>
        </is>
      </c>
      <c r="B59" s="5" t="n"/>
      <c r="C59" s="3" t="n"/>
      <c r="D59">
        <f>IF($C59="","",VLOOKUP($C59,Inventory!$A$2:$V$150,2,FALSE))</f>
        <v/>
      </c>
      <c r="E59">
        <f>IF($C59="","",VLOOKUP($C59,Inventory!$A$2:$V$150,3,FALSE))</f>
        <v/>
      </c>
      <c r="F59" s="3" t="n"/>
      <c r="G59" s="3" t="n"/>
      <c r="H59" s="5" t="n"/>
      <c r="I59" s="5" t="n"/>
      <c r="J59" s="6">
        <f>IF(OR($H59="",$I59=""),"",($I59-$H59)+1)</f>
        <v/>
      </c>
      <c r="K59" s="7">
        <f>IF($C59="","",VLOOKUP($C59,Inventory!$A$2:$V$150,9,FALSE))</f>
        <v/>
      </c>
      <c r="L59" s="4" t="n"/>
      <c r="M59" s="4" t="n"/>
      <c r="N59" s="4" t="n"/>
      <c r="O59" s="4" t="n"/>
      <c r="P59" s="4" t="n"/>
      <c r="Q59" s="7">
        <f>IF($K59="","",$K59-$L59+$M59+$N59+$O59)</f>
        <v/>
      </c>
      <c r="R59" s="7">
        <f>IF($Q59="","",$Q59-$P59)</f>
        <v/>
      </c>
      <c r="S59" s="3" t="n"/>
    </row>
    <row r="60">
      <c r="A60" t="inlineStr">
        <is>
          <t>T0059</t>
        </is>
      </c>
      <c r="B60" s="5" t="n"/>
      <c r="C60" s="3" t="n"/>
      <c r="D60">
        <f>IF($C60="","",VLOOKUP($C60,Inventory!$A$2:$V$150,2,FALSE))</f>
        <v/>
      </c>
      <c r="E60">
        <f>IF($C60="","",VLOOKUP($C60,Inventory!$A$2:$V$150,3,FALSE))</f>
        <v/>
      </c>
      <c r="F60" s="3" t="n"/>
      <c r="G60" s="3" t="n"/>
      <c r="H60" s="5" t="n"/>
      <c r="I60" s="5" t="n"/>
      <c r="J60" s="6">
        <f>IF(OR($H60="",$I60=""),"",($I60-$H60)+1)</f>
        <v/>
      </c>
      <c r="K60" s="7">
        <f>IF($C60="","",VLOOKUP($C60,Inventory!$A$2:$V$150,9,FALSE))</f>
        <v/>
      </c>
      <c r="L60" s="4" t="n"/>
      <c r="M60" s="4" t="n"/>
      <c r="N60" s="4" t="n"/>
      <c r="O60" s="4" t="n"/>
      <c r="P60" s="4" t="n"/>
      <c r="Q60" s="7">
        <f>IF($K60="","",$K60-$L60+$M60+$N60+$O60)</f>
        <v/>
      </c>
      <c r="R60" s="7">
        <f>IF($Q60="","",$Q60-$P60)</f>
        <v/>
      </c>
      <c r="S60" s="3" t="n"/>
    </row>
    <row r="61">
      <c r="A61" t="inlineStr">
        <is>
          <t>T0060</t>
        </is>
      </c>
      <c r="B61" s="5" t="n"/>
      <c r="C61" s="3" t="n"/>
      <c r="D61">
        <f>IF($C61="","",VLOOKUP($C61,Inventory!$A$2:$V$150,2,FALSE))</f>
        <v/>
      </c>
      <c r="E61">
        <f>IF($C61="","",VLOOKUP($C61,Inventory!$A$2:$V$150,3,FALSE))</f>
        <v/>
      </c>
      <c r="F61" s="3" t="n"/>
      <c r="G61" s="3" t="n"/>
      <c r="H61" s="5" t="n"/>
      <c r="I61" s="5" t="n"/>
      <c r="J61" s="6">
        <f>IF(OR($H61="",$I61=""),"",($I61-$H61)+1)</f>
        <v/>
      </c>
      <c r="K61" s="7">
        <f>IF($C61="","",VLOOKUP($C61,Inventory!$A$2:$V$150,9,FALSE))</f>
        <v/>
      </c>
      <c r="L61" s="4" t="n"/>
      <c r="M61" s="4" t="n"/>
      <c r="N61" s="4" t="n"/>
      <c r="O61" s="4" t="n"/>
      <c r="P61" s="4" t="n"/>
      <c r="Q61" s="7">
        <f>IF($K61="","",$K61-$L61+$M61+$N61+$O61)</f>
        <v/>
      </c>
      <c r="R61" s="7">
        <f>IF($Q61="","",$Q61-$P61)</f>
        <v/>
      </c>
      <c r="S61" s="3" t="n"/>
    </row>
    <row r="62">
      <c r="A62" t="inlineStr">
        <is>
          <t>T0061</t>
        </is>
      </c>
      <c r="B62" s="5" t="n"/>
      <c r="C62" s="3" t="n"/>
      <c r="D62">
        <f>IF($C62="","",VLOOKUP($C62,Inventory!$A$2:$V$150,2,FALSE))</f>
        <v/>
      </c>
      <c r="E62">
        <f>IF($C62="","",VLOOKUP($C62,Inventory!$A$2:$V$150,3,FALSE))</f>
        <v/>
      </c>
      <c r="F62" s="3" t="n"/>
      <c r="G62" s="3" t="n"/>
      <c r="H62" s="5" t="n"/>
      <c r="I62" s="5" t="n"/>
      <c r="J62" s="6">
        <f>IF(OR($H62="",$I62=""),"",($I62-$H62)+1)</f>
        <v/>
      </c>
      <c r="K62" s="7">
        <f>IF($C62="","",VLOOKUP($C62,Inventory!$A$2:$V$150,9,FALSE))</f>
        <v/>
      </c>
      <c r="L62" s="4" t="n"/>
      <c r="M62" s="4" t="n"/>
      <c r="N62" s="4" t="n"/>
      <c r="O62" s="4" t="n"/>
      <c r="P62" s="4" t="n"/>
      <c r="Q62" s="7">
        <f>IF($K62="","",$K62-$L62+$M62+$N62+$O62)</f>
        <v/>
      </c>
      <c r="R62" s="7">
        <f>IF($Q62="","",$Q62-$P62)</f>
        <v/>
      </c>
      <c r="S62" s="3" t="n"/>
    </row>
    <row r="63">
      <c r="A63" t="inlineStr">
        <is>
          <t>T0062</t>
        </is>
      </c>
      <c r="B63" s="5" t="n"/>
      <c r="C63" s="3" t="n"/>
      <c r="D63">
        <f>IF($C63="","",VLOOKUP($C63,Inventory!$A$2:$V$150,2,FALSE))</f>
        <v/>
      </c>
      <c r="E63">
        <f>IF($C63="","",VLOOKUP($C63,Inventory!$A$2:$V$150,3,FALSE))</f>
        <v/>
      </c>
      <c r="F63" s="3" t="n"/>
      <c r="G63" s="3" t="n"/>
      <c r="H63" s="5" t="n"/>
      <c r="I63" s="5" t="n"/>
      <c r="J63" s="6">
        <f>IF(OR($H63="",$I63=""),"",($I63-$H63)+1)</f>
        <v/>
      </c>
      <c r="K63" s="7">
        <f>IF($C63="","",VLOOKUP($C63,Inventory!$A$2:$V$150,9,FALSE))</f>
        <v/>
      </c>
      <c r="L63" s="4" t="n"/>
      <c r="M63" s="4" t="n"/>
      <c r="N63" s="4" t="n"/>
      <c r="O63" s="4" t="n"/>
      <c r="P63" s="4" t="n"/>
      <c r="Q63" s="7">
        <f>IF($K63="","",$K63-$L63+$M63+$N63+$O63)</f>
        <v/>
      </c>
      <c r="R63" s="7">
        <f>IF($Q63="","",$Q63-$P63)</f>
        <v/>
      </c>
      <c r="S63" s="3" t="n"/>
    </row>
    <row r="64">
      <c r="A64" t="inlineStr">
        <is>
          <t>T0063</t>
        </is>
      </c>
      <c r="B64" s="5" t="n"/>
      <c r="C64" s="3" t="n"/>
      <c r="D64">
        <f>IF($C64="","",VLOOKUP($C64,Inventory!$A$2:$V$150,2,FALSE))</f>
        <v/>
      </c>
      <c r="E64">
        <f>IF($C64="","",VLOOKUP($C64,Inventory!$A$2:$V$150,3,FALSE))</f>
        <v/>
      </c>
      <c r="F64" s="3" t="n"/>
      <c r="G64" s="3" t="n"/>
      <c r="H64" s="5" t="n"/>
      <c r="I64" s="5" t="n"/>
      <c r="J64" s="6">
        <f>IF(OR($H64="",$I64=""),"",($I64-$H64)+1)</f>
        <v/>
      </c>
      <c r="K64" s="7">
        <f>IF($C64="","",VLOOKUP($C64,Inventory!$A$2:$V$150,9,FALSE))</f>
        <v/>
      </c>
      <c r="L64" s="4" t="n"/>
      <c r="M64" s="4" t="n"/>
      <c r="N64" s="4" t="n"/>
      <c r="O64" s="4" t="n"/>
      <c r="P64" s="4" t="n"/>
      <c r="Q64" s="7">
        <f>IF($K64="","",$K64-$L64+$M64+$N64+$O64)</f>
        <v/>
      </c>
      <c r="R64" s="7">
        <f>IF($Q64="","",$Q64-$P64)</f>
        <v/>
      </c>
      <c r="S64" s="3" t="n"/>
    </row>
    <row r="65">
      <c r="A65" t="inlineStr">
        <is>
          <t>T0064</t>
        </is>
      </c>
      <c r="B65" s="5" t="n"/>
      <c r="C65" s="3" t="n"/>
      <c r="D65">
        <f>IF($C65="","",VLOOKUP($C65,Inventory!$A$2:$V$150,2,FALSE))</f>
        <v/>
      </c>
      <c r="E65">
        <f>IF($C65="","",VLOOKUP($C65,Inventory!$A$2:$V$150,3,FALSE))</f>
        <v/>
      </c>
      <c r="F65" s="3" t="n"/>
      <c r="G65" s="3" t="n"/>
      <c r="H65" s="5" t="n"/>
      <c r="I65" s="5" t="n"/>
      <c r="J65" s="6">
        <f>IF(OR($H65="",$I65=""),"",($I65-$H65)+1)</f>
        <v/>
      </c>
      <c r="K65" s="7">
        <f>IF($C65="","",VLOOKUP($C65,Inventory!$A$2:$V$150,9,FALSE))</f>
        <v/>
      </c>
      <c r="L65" s="4" t="n"/>
      <c r="M65" s="4" t="n"/>
      <c r="N65" s="4" t="n"/>
      <c r="O65" s="4" t="n"/>
      <c r="P65" s="4" t="n"/>
      <c r="Q65" s="7">
        <f>IF($K65="","",$K65-$L65+$M65+$N65+$O65)</f>
        <v/>
      </c>
      <c r="R65" s="7">
        <f>IF($Q65="","",$Q65-$P65)</f>
        <v/>
      </c>
      <c r="S65" s="3" t="n"/>
    </row>
    <row r="66">
      <c r="A66" t="inlineStr">
        <is>
          <t>T0065</t>
        </is>
      </c>
      <c r="B66" s="5" t="n"/>
      <c r="C66" s="3" t="n"/>
      <c r="D66">
        <f>IF($C66="","",VLOOKUP($C66,Inventory!$A$2:$V$150,2,FALSE))</f>
        <v/>
      </c>
      <c r="E66">
        <f>IF($C66="","",VLOOKUP($C66,Inventory!$A$2:$V$150,3,FALSE))</f>
        <v/>
      </c>
      <c r="F66" s="3" t="n"/>
      <c r="G66" s="3" t="n"/>
      <c r="H66" s="5" t="n"/>
      <c r="I66" s="5" t="n"/>
      <c r="J66" s="6">
        <f>IF(OR($H66="",$I66=""),"",($I66-$H66)+1)</f>
        <v/>
      </c>
      <c r="K66" s="7">
        <f>IF($C66="","",VLOOKUP($C66,Inventory!$A$2:$V$150,9,FALSE))</f>
        <v/>
      </c>
      <c r="L66" s="4" t="n"/>
      <c r="M66" s="4" t="n"/>
      <c r="N66" s="4" t="n"/>
      <c r="O66" s="4" t="n"/>
      <c r="P66" s="4" t="n"/>
      <c r="Q66" s="7">
        <f>IF($K66="","",$K66-$L66+$M66+$N66+$O66)</f>
        <v/>
      </c>
      <c r="R66" s="7">
        <f>IF($Q66="","",$Q66-$P66)</f>
        <v/>
      </c>
      <c r="S66" s="3" t="n"/>
    </row>
    <row r="67">
      <c r="A67" t="inlineStr">
        <is>
          <t>T0066</t>
        </is>
      </c>
      <c r="B67" s="5" t="n"/>
      <c r="C67" s="3" t="n"/>
      <c r="D67">
        <f>IF($C67="","",VLOOKUP($C67,Inventory!$A$2:$V$150,2,FALSE))</f>
        <v/>
      </c>
      <c r="E67">
        <f>IF($C67="","",VLOOKUP($C67,Inventory!$A$2:$V$150,3,FALSE))</f>
        <v/>
      </c>
      <c r="F67" s="3" t="n"/>
      <c r="G67" s="3" t="n"/>
      <c r="H67" s="5" t="n"/>
      <c r="I67" s="5" t="n"/>
      <c r="J67" s="6">
        <f>IF(OR($H67="",$I67=""),"",($I67-$H67)+1)</f>
        <v/>
      </c>
      <c r="K67" s="7">
        <f>IF($C67="","",VLOOKUP($C67,Inventory!$A$2:$V$150,9,FALSE))</f>
        <v/>
      </c>
      <c r="L67" s="4" t="n"/>
      <c r="M67" s="4" t="n"/>
      <c r="N67" s="4" t="n"/>
      <c r="O67" s="4" t="n"/>
      <c r="P67" s="4" t="n"/>
      <c r="Q67" s="7">
        <f>IF($K67="","",$K67-$L67+$M67+$N67+$O67)</f>
        <v/>
      </c>
      <c r="R67" s="7">
        <f>IF($Q67="","",$Q67-$P67)</f>
        <v/>
      </c>
      <c r="S67" s="3" t="n"/>
    </row>
    <row r="68">
      <c r="A68" t="inlineStr">
        <is>
          <t>T0067</t>
        </is>
      </c>
      <c r="B68" s="5" t="n"/>
      <c r="C68" s="3" t="n"/>
      <c r="D68">
        <f>IF($C68="","",VLOOKUP($C68,Inventory!$A$2:$V$150,2,FALSE))</f>
        <v/>
      </c>
      <c r="E68">
        <f>IF($C68="","",VLOOKUP($C68,Inventory!$A$2:$V$150,3,FALSE))</f>
        <v/>
      </c>
      <c r="F68" s="3" t="n"/>
      <c r="G68" s="3" t="n"/>
      <c r="H68" s="5" t="n"/>
      <c r="I68" s="5" t="n"/>
      <c r="J68" s="6">
        <f>IF(OR($H68="",$I68=""),"",($I68-$H68)+1)</f>
        <v/>
      </c>
      <c r="K68" s="7">
        <f>IF($C68="","",VLOOKUP($C68,Inventory!$A$2:$V$150,9,FALSE))</f>
        <v/>
      </c>
      <c r="L68" s="4" t="n"/>
      <c r="M68" s="4" t="n"/>
      <c r="N68" s="4" t="n"/>
      <c r="O68" s="4" t="n"/>
      <c r="P68" s="4" t="n"/>
      <c r="Q68" s="7">
        <f>IF($K68="","",$K68-$L68+$M68+$N68+$O68)</f>
        <v/>
      </c>
      <c r="R68" s="7">
        <f>IF($Q68="","",$Q68-$P68)</f>
        <v/>
      </c>
      <c r="S68" s="3" t="n"/>
    </row>
    <row r="69">
      <c r="A69" t="inlineStr">
        <is>
          <t>T0068</t>
        </is>
      </c>
      <c r="B69" s="5" t="n"/>
      <c r="C69" s="3" t="n"/>
      <c r="D69">
        <f>IF($C69="","",VLOOKUP($C69,Inventory!$A$2:$V$150,2,FALSE))</f>
        <v/>
      </c>
      <c r="E69">
        <f>IF($C69="","",VLOOKUP($C69,Inventory!$A$2:$V$150,3,FALSE))</f>
        <v/>
      </c>
      <c r="F69" s="3" t="n"/>
      <c r="G69" s="3" t="n"/>
      <c r="H69" s="5" t="n"/>
      <c r="I69" s="5" t="n"/>
      <c r="J69" s="6">
        <f>IF(OR($H69="",$I69=""),"",($I69-$H69)+1)</f>
        <v/>
      </c>
      <c r="K69" s="7">
        <f>IF($C69="","",VLOOKUP($C69,Inventory!$A$2:$V$150,9,FALSE))</f>
        <v/>
      </c>
      <c r="L69" s="4" t="n"/>
      <c r="M69" s="4" t="n"/>
      <c r="N69" s="4" t="n"/>
      <c r="O69" s="4" t="n"/>
      <c r="P69" s="4" t="n"/>
      <c r="Q69" s="7">
        <f>IF($K69="","",$K69-$L69+$M69+$N69+$O69)</f>
        <v/>
      </c>
      <c r="R69" s="7">
        <f>IF($Q69="","",$Q69-$P69)</f>
        <v/>
      </c>
      <c r="S69" s="3" t="n"/>
    </row>
    <row r="70">
      <c r="A70" t="inlineStr">
        <is>
          <t>T0069</t>
        </is>
      </c>
      <c r="B70" s="5" t="n"/>
      <c r="C70" s="3" t="n"/>
      <c r="D70">
        <f>IF($C70="","",VLOOKUP($C70,Inventory!$A$2:$V$150,2,FALSE))</f>
        <v/>
      </c>
      <c r="E70">
        <f>IF($C70="","",VLOOKUP($C70,Inventory!$A$2:$V$150,3,FALSE))</f>
        <v/>
      </c>
      <c r="F70" s="3" t="n"/>
      <c r="G70" s="3" t="n"/>
      <c r="H70" s="5" t="n"/>
      <c r="I70" s="5" t="n"/>
      <c r="J70" s="6">
        <f>IF(OR($H70="",$I70=""),"",($I70-$H70)+1)</f>
        <v/>
      </c>
      <c r="K70" s="7">
        <f>IF($C70="","",VLOOKUP($C70,Inventory!$A$2:$V$150,9,FALSE))</f>
        <v/>
      </c>
      <c r="L70" s="4" t="n"/>
      <c r="M70" s="4" t="n"/>
      <c r="N70" s="4" t="n"/>
      <c r="O70" s="4" t="n"/>
      <c r="P70" s="4" t="n"/>
      <c r="Q70" s="7">
        <f>IF($K70="","",$K70-$L70+$M70+$N70+$O70)</f>
        <v/>
      </c>
      <c r="R70" s="7">
        <f>IF($Q70="","",$Q70-$P70)</f>
        <v/>
      </c>
      <c r="S70" s="3" t="n"/>
    </row>
    <row r="71">
      <c r="A71" t="inlineStr">
        <is>
          <t>T0070</t>
        </is>
      </c>
      <c r="B71" s="5" t="n"/>
      <c r="C71" s="3" t="n"/>
      <c r="D71">
        <f>IF($C71="","",VLOOKUP($C71,Inventory!$A$2:$V$150,2,FALSE))</f>
        <v/>
      </c>
      <c r="E71">
        <f>IF($C71="","",VLOOKUP($C71,Inventory!$A$2:$V$150,3,FALSE))</f>
        <v/>
      </c>
      <c r="F71" s="3" t="n"/>
      <c r="G71" s="3" t="n"/>
      <c r="H71" s="5" t="n"/>
      <c r="I71" s="5" t="n"/>
      <c r="J71" s="6">
        <f>IF(OR($H71="",$I71=""),"",($I71-$H71)+1)</f>
        <v/>
      </c>
      <c r="K71" s="7">
        <f>IF($C71="","",VLOOKUP($C71,Inventory!$A$2:$V$150,9,FALSE))</f>
        <v/>
      </c>
      <c r="L71" s="4" t="n"/>
      <c r="M71" s="4" t="n"/>
      <c r="N71" s="4" t="n"/>
      <c r="O71" s="4" t="n"/>
      <c r="P71" s="4" t="n"/>
      <c r="Q71" s="7">
        <f>IF($K71="","",$K71-$L71+$M71+$N71+$O71)</f>
        <v/>
      </c>
      <c r="R71" s="7">
        <f>IF($Q71="","",$Q71-$P71)</f>
        <v/>
      </c>
      <c r="S71" s="3" t="n"/>
    </row>
    <row r="72">
      <c r="A72" t="inlineStr">
        <is>
          <t>T0071</t>
        </is>
      </c>
      <c r="B72" s="5" t="n"/>
      <c r="C72" s="3" t="n"/>
      <c r="D72">
        <f>IF($C72="","",VLOOKUP($C72,Inventory!$A$2:$V$150,2,FALSE))</f>
        <v/>
      </c>
      <c r="E72">
        <f>IF($C72="","",VLOOKUP($C72,Inventory!$A$2:$V$150,3,FALSE))</f>
        <v/>
      </c>
      <c r="F72" s="3" t="n"/>
      <c r="G72" s="3" t="n"/>
      <c r="H72" s="5" t="n"/>
      <c r="I72" s="5" t="n"/>
      <c r="J72" s="6">
        <f>IF(OR($H72="",$I72=""),"",($I72-$H72)+1)</f>
        <v/>
      </c>
      <c r="K72" s="7">
        <f>IF($C72="","",VLOOKUP($C72,Inventory!$A$2:$V$150,9,FALSE))</f>
        <v/>
      </c>
      <c r="L72" s="4" t="n"/>
      <c r="M72" s="4" t="n"/>
      <c r="N72" s="4" t="n"/>
      <c r="O72" s="4" t="n"/>
      <c r="P72" s="4" t="n"/>
      <c r="Q72" s="7">
        <f>IF($K72="","",$K72-$L72+$M72+$N72+$O72)</f>
        <v/>
      </c>
      <c r="R72" s="7">
        <f>IF($Q72="","",$Q72-$P72)</f>
        <v/>
      </c>
      <c r="S72" s="3" t="n"/>
    </row>
    <row r="73">
      <c r="A73" t="inlineStr">
        <is>
          <t>T0072</t>
        </is>
      </c>
      <c r="B73" s="5" t="n"/>
      <c r="C73" s="3" t="n"/>
      <c r="D73">
        <f>IF($C73="","",VLOOKUP($C73,Inventory!$A$2:$V$150,2,FALSE))</f>
        <v/>
      </c>
      <c r="E73">
        <f>IF($C73="","",VLOOKUP($C73,Inventory!$A$2:$V$150,3,FALSE))</f>
        <v/>
      </c>
      <c r="F73" s="3" t="n"/>
      <c r="G73" s="3" t="n"/>
      <c r="H73" s="5" t="n"/>
      <c r="I73" s="5" t="n"/>
      <c r="J73" s="6">
        <f>IF(OR($H73="",$I73=""),"",($I73-$H73)+1)</f>
        <v/>
      </c>
      <c r="K73" s="7">
        <f>IF($C73="","",VLOOKUP($C73,Inventory!$A$2:$V$150,9,FALSE))</f>
        <v/>
      </c>
      <c r="L73" s="4" t="n"/>
      <c r="M73" s="4" t="n"/>
      <c r="N73" s="4" t="n"/>
      <c r="O73" s="4" t="n"/>
      <c r="P73" s="4" t="n"/>
      <c r="Q73" s="7">
        <f>IF($K73="","",$K73-$L73+$M73+$N73+$O73)</f>
        <v/>
      </c>
      <c r="R73" s="7">
        <f>IF($Q73="","",$Q73-$P73)</f>
        <v/>
      </c>
      <c r="S73" s="3" t="n"/>
    </row>
    <row r="74">
      <c r="A74" t="inlineStr">
        <is>
          <t>T0073</t>
        </is>
      </c>
      <c r="B74" s="5" t="n"/>
      <c r="C74" s="3" t="n"/>
      <c r="D74">
        <f>IF($C74="","",VLOOKUP($C74,Inventory!$A$2:$V$150,2,FALSE))</f>
        <v/>
      </c>
      <c r="E74">
        <f>IF($C74="","",VLOOKUP($C74,Inventory!$A$2:$V$150,3,FALSE))</f>
        <v/>
      </c>
      <c r="F74" s="3" t="n"/>
      <c r="G74" s="3" t="n"/>
      <c r="H74" s="5" t="n"/>
      <c r="I74" s="5" t="n"/>
      <c r="J74" s="6">
        <f>IF(OR($H74="",$I74=""),"",($I74-$H74)+1)</f>
        <v/>
      </c>
      <c r="K74" s="7">
        <f>IF($C74="","",VLOOKUP($C74,Inventory!$A$2:$V$150,9,FALSE))</f>
        <v/>
      </c>
      <c r="L74" s="4" t="n"/>
      <c r="M74" s="4" t="n"/>
      <c r="N74" s="4" t="n"/>
      <c r="O74" s="4" t="n"/>
      <c r="P74" s="4" t="n"/>
      <c r="Q74" s="7">
        <f>IF($K74="","",$K74-$L74+$M74+$N74+$O74)</f>
        <v/>
      </c>
      <c r="R74" s="7">
        <f>IF($Q74="","",$Q74-$P74)</f>
        <v/>
      </c>
      <c r="S74" s="3" t="n"/>
    </row>
    <row r="75">
      <c r="A75" t="inlineStr">
        <is>
          <t>T0074</t>
        </is>
      </c>
      <c r="B75" s="5" t="n"/>
      <c r="C75" s="3" t="n"/>
      <c r="D75">
        <f>IF($C75="","",VLOOKUP($C75,Inventory!$A$2:$V$150,2,FALSE))</f>
        <v/>
      </c>
      <c r="E75">
        <f>IF($C75="","",VLOOKUP($C75,Inventory!$A$2:$V$150,3,FALSE))</f>
        <v/>
      </c>
      <c r="F75" s="3" t="n"/>
      <c r="G75" s="3" t="n"/>
      <c r="H75" s="5" t="n"/>
      <c r="I75" s="5" t="n"/>
      <c r="J75" s="6">
        <f>IF(OR($H75="",$I75=""),"",($I75-$H75)+1)</f>
        <v/>
      </c>
      <c r="K75" s="7">
        <f>IF($C75="","",VLOOKUP($C75,Inventory!$A$2:$V$150,9,FALSE))</f>
        <v/>
      </c>
      <c r="L75" s="4" t="n"/>
      <c r="M75" s="4" t="n"/>
      <c r="N75" s="4" t="n"/>
      <c r="O75" s="4" t="n"/>
      <c r="P75" s="4" t="n"/>
      <c r="Q75" s="7">
        <f>IF($K75="","",$K75-$L75+$M75+$N75+$O75)</f>
        <v/>
      </c>
      <c r="R75" s="7">
        <f>IF($Q75="","",$Q75-$P75)</f>
        <v/>
      </c>
      <c r="S75" s="3" t="n"/>
    </row>
    <row r="76">
      <c r="A76" t="inlineStr">
        <is>
          <t>T0075</t>
        </is>
      </c>
      <c r="B76" s="5" t="n"/>
      <c r="C76" s="3" t="n"/>
      <c r="D76">
        <f>IF($C76="","",VLOOKUP($C76,Inventory!$A$2:$V$150,2,FALSE))</f>
        <v/>
      </c>
      <c r="E76">
        <f>IF($C76="","",VLOOKUP($C76,Inventory!$A$2:$V$150,3,FALSE))</f>
        <v/>
      </c>
      <c r="F76" s="3" t="n"/>
      <c r="G76" s="3" t="n"/>
      <c r="H76" s="5" t="n"/>
      <c r="I76" s="5" t="n"/>
      <c r="J76" s="6">
        <f>IF(OR($H76="",$I76=""),"",($I76-$H76)+1)</f>
        <v/>
      </c>
      <c r="K76" s="7">
        <f>IF($C76="","",VLOOKUP($C76,Inventory!$A$2:$V$150,9,FALSE))</f>
        <v/>
      </c>
      <c r="L76" s="4" t="n"/>
      <c r="M76" s="4" t="n"/>
      <c r="N76" s="4" t="n"/>
      <c r="O76" s="4" t="n"/>
      <c r="P76" s="4" t="n"/>
      <c r="Q76" s="7">
        <f>IF($K76="","",$K76-$L76+$M76+$N76+$O76)</f>
        <v/>
      </c>
      <c r="R76" s="7">
        <f>IF($Q76="","",$Q76-$P76)</f>
        <v/>
      </c>
      <c r="S76" s="3" t="n"/>
    </row>
    <row r="77">
      <c r="A77" t="inlineStr">
        <is>
          <t>T0076</t>
        </is>
      </c>
      <c r="B77" s="5" t="n"/>
      <c r="C77" s="3" t="n"/>
      <c r="D77">
        <f>IF($C77="","",VLOOKUP($C77,Inventory!$A$2:$V$150,2,FALSE))</f>
        <v/>
      </c>
      <c r="E77">
        <f>IF($C77="","",VLOOKUP($C77,Inventory!$A$2:$V$150,3,FALSE))</f>
        <v/>
      </c>
      <c r="F77" s="3" t="n"/>
      <c r="G77" s="3" t="n"/>
      <c r="H77" s="5" t="n"/>
      <c r="I77" s="5" t="n"/>
      <c r="J77" s="6">
        <f>IF(OR($H77="",$I77=""),"",($I77-$H77)+1)</f>
        <v/>
      </c>
      <c r="K77" s="7">
        <f>IF($C77="","",VLOOKUP($C77,Inventory!$A$2:$V$150,9,FALSE))</f>
        <v/>
      </c>
      <c r="L77" s="4" t="n"/>
      <c r="M77" s="4" t="n"/>
      <c r="N77" s="4" t="n"/>
      <c r="O77" s="4" t="n"/>
      <c r="P77" s="4" t="n"/>
      <c r="Q77" s="7">
        <f>IF($K77="","",$K77-$L77+$M77+$N77+$O77)</f>
        <v/>
      </c>
      <c r="R77" s="7">
        <f>IF($Q77="","",$Q77-$P77)</f>
        <v/>
      </c>
      <c r="S77" s="3" t="n"/>
    </row>
    <row r="78">
      <c r="A78" t="inlineStr">
        <is>
          <t>T0077</t>
        </is>
      </c>
      <c r="B78" s="5" t="n"/>
      <c r="C78" s="3" t="n"/>
      <c r="D78">
        <f>IF($C78="","",VLOOKUP($C78,Inventory!$A$2:$V$150,2,FALSE))</f>
        <v/>
      </c>
      <c r="E78">
        <f>IF($C78="","",VLOOKUP($C78,Inventory!$A$2:$V$150,3,FALSE))</f>
        <v/>
      </c>
      <c r="F78" s="3" t="n"/>
      <c r="G78" s="3" t="n"/>
      <c r="H78" s="5" t="n"/>
      <c r="I78" s="5" t="n"/>
      <c r="J78" s="6">
        <f>IF(OR($H78="",$I78=""),"",($I78-$H78)+1)</f>
        <v/>
      </c>
      <c r="K78" s="7">
        <f>IF($C78="","",VLOOKUP($C78,Inventory!$A$2:$V$150,9,FALSE))</f>
        <v/>
      </c>
      <c r="L78" s="4" t="n"/>
      <c r="M78" s="4" t="n"/>
      <c r="N78" s="4" t="n"/>
      <c r="O78" s="4" t="n"/>
      <c r="P78" s="4" t="n"/>
      <c r="Q78" s="7">
        <f>IF($K78="","",$K78-$L78+$M78+$N78+$O78)</f>
        <v/>
      </c>
      <c r="R78" s="7">
        <f>IF($Q78="","",$Q78-$P78)</f>
        <v/>
      </c>
      <c r="S78" s="3" t="n"/>
    </row>
    <row r="79">
      <c r="A79" t="inlineStr">
        <is>
          <t>T0078</t>
        </is>
      </c>
      <c r="B79" s="5" t="n"/>
      <c r="C79" s="3" t="n"/>
      <c r="D79">
        <f>IF($C79="","",VLOOKUP($C79,Inventory!$A$2:$V$150,2,FALSE))</f>
        <v/>
      </c>
      <c r="E79">
        <f>IF($C79="","",VLOOKUP($C79,Inventory!$A$2:$V$150,3,FALSE))</f>
        <v/>
      </c>
      <c r="F79" s="3" t="n"/>
      <c r="G79" s="3" t="n"/>
      <c r="H79" s="5" t="n"/>
      <c r="I79" s="5" t="n"/>
      <c r="J79" s="6">
        <f>IF(OR($H79="",$I79=""),"",($I79-$H79)+1)</f>
        <v/>
      </c>
      <c r="K79" s="7">
        <f>IF($C79="","",VLOOKUP($C79,Inventory!$A$2:$V$150,9,FALSE))</f>
        <v/>
      </c>
      <c r="L79" s="4" t="n"/>
      <c r="M79" s="4" t="n"/>
      <c r="N79" s="4" t="n"/>
      <c r="O79" s="4" t="n"/>
      <c r="P79" s="4" t="n"/>
      <c r="Q79" s="7">
        <f>IF($K79="","",$K79-$L79+$M79+$N79+$O79)</f>
        <v/>
      </c>
      <c r="R79" s="7">
        <f>IF($Q79="","",$Q79-$P79)</f>
        <v/>
      </c>
      <c r="S79" s="3" t="n"/>
    </row>
    <row r="80">
      <c r="A80" t="inlineStr">
        <is>
          <t>T0079</t>
        </is>
      </c>
      <c r="B80" s="5" t="n"/>
      <c r="C80" s="3" t="n"/>
      <c r="D80">
        <f>IF($C80="","",VLOOKUP($C80,Inventory!$A$2:$V$150,2,FALSE))</f>
        <v/>
      </c>
      <c r="E80">
        <f>IF($C80="","",VLOOKUP($C80,Inventory!$A$2:$V$150,3,FALSE))</f>
        <v/>
      </c>
      <c r="F80" s="3" t="n"/>
      <c r="G80" s="3" t="n"/>
      <c r="H80" s="5" t="n"/>
      <c r="I80" s="5" t="n"/>
      <c r="J80" s="6">
        <f>IF(OR($H80="",$I80=""),"",($I80-$H80)+1)</f>
        <v/>
      </c>
      <c r="K80" s="7">
        <f>IF($C80="","",VLOOKUP($C80,Inventory!$A$2:$V$150,9,FALSE))</f>
        <v/>
      </c>
      <c r="L80" s="4" t="n"/>
      <c r="M80" s="4" t="n"/>
      <c r="N80" s="4" t="n"/>
      <c r="O80" s="4" t="n"/>
      <c r="P80" s="4" t="n"/>
      <c r="Q80" s="7">
        <f>IF($K80="","",$K80-$L80+$M80+$N80+$O80)</f>
        <v/>
      </c>
      <c r="R80" s="7">
        <f>IF($Q80="","",$Q80-$P80)</f>
        <v/>
      </c>
      <c r="S80" s="3" t="n"/>
    </row>
    <row r="81">
      <c r="A81" t="inlineStr">
        <is>
          <t>T0080</t>
        </is>
      </c>
      <c r="B81" s="5" t="n"/>
      <c r="C81" s="3" t="n"/>
      <c r="D81">
        <f>IF($C81="","",VLOOKUP($C81,Inventory!$A$2:$V$150,2,FALSE))</f>
        <v/>
      </c>
      <c r="E81">
        <f>IF($C81="","",VLOOKUP($C81,Inventory!$A$2:$V$150,3,FALSE))</f>
        <v/>
      </c>
      <c r="F81" s="3" t="n"/>
      <c r="G81" s="3" t="n"/>
      <c r="H81" s="5" t="n"/>
      <c r="I81" s="5" t="n"/>
      <c r="J81" s="6">
        <f>IF(OR($H81="",$I81=""),"",($I81-$H81)+1)</f>
        <v/>
      </c>
      <c r="K81" s="7">
        <f>IF($C81="","",VLOOKUP($C81,Inventory!$A$2:$V$150,9,FALSE))</f>
        <v/>
      </c>
      <c r="L81" s="4" t="n"/>
      <c r="M81" s="4" t="n"/>
      <c r="N81" s="4" t="n"/>
      <c r="O81" s="4" t="n"/>
      <c r="P81" s="4" t="n"/>
      <c r="Q81" s="7">
        <f>IF($K81="","",$K81-$L81+$M81+$N81+$O81)</f>
        <v/>
      </c>
      <c r="R81" s="7">
        <f>IF($Q81="","",$Q81-$P81)</f>
        <v/>
      </c>
      <c r="S81" s="3" t="n"/>
    </row>
    <row r="82">
      <c r="A82" t="inlineStr">
        <is>
          <t>T0081</t>
        </is>
      </c>
      <c r="B82" s="5" t="n"/>
      <c r="C82" s="3" t="n"/>
      <c r="D82">
        <f>IF($C82="","",VLOOKUP($C82,Inventory!$A$2:$V$150,2,FALSE))</f>
        <v/>
      </c>
      <c r="E82">
        <f>IF($C82="","",VLOOKUP($C82,Inventory!$A$2:$V$150,3,FALSE))</f>
        <v/>
      </c>
      <c r="F82" s="3" t="n"/>
      <c r="G82" s="3" t="n"/>
      <c r="H82" s="5" t="n"/>
      <c r="I82" s="5" t="n"/>
      <c r="J82" s="6">
        <f>IF(OR($H82="",$I82=""),"",($I82-$H82)+1)</f>
        <v/>
      </c>
      <c r="K82" s="7">
        <f>IF($C82="","",VLOOKUP($C82,Inventory!$A$2:$V$150,9,FALSE))</f>
        <v/>
      </c>
      <c r="L82" s="4" t="n"/>
      <c r="M82" s="4" t="n"/>
      <c r="N82" s="4" t="n"/>
      <c r="O82" s="4" t="n"/>
      <c r="P82" s="4" t="n"/>
      <c r="Q82" s="7">
        <f>IF($K82="","",$K82-$L82+$M82+$N82+$O82)</f>
        <v/>
      </c>
      <c r="R82" s="7">
        <f>IF($Q82="","",$Q82-$P82)</f>
        <v/>
      </c>
      <c r="S82" s="3" t="n"/>
    </row>
    <row r="83">
      <c r="A83" t="inlineStr">
        <is>
          <t>T0082</t>
        </is>
      </c>
      <c r="B83" s="5" t="n"/>
      <c r="C83" s="3" t="n"/>
      <c r="D83">
        <f>IF($C83="","",VLOOKUP($C83,Inventory!$A$2:$V$150,2,FALSE))</f>
        <v/>
      </c>
      <c r="E83">
        <f>IF($C83="","",VLOOKUP($C83,Inventory!$A$2:$V$150,3,FALSE))</f>
        <v/>
      </c>
      <c r="F83" s="3" t="n"/>
      <c r="G83" s="3" t="n"/>
      <c r="H83" s="5" t="n"/>
      <c r="I83" s="5" t="n"/>
      <c r="J83" s="6">
        <f>IF(OR($H83="",$I83=""),"",($I83-$H83)+1)</f>
        <v/>
      </c>
      <c r="K83" s="7">
        <f>IF($C83="","",VLOOKUP($C83,Inventory!$A$2:$V$150,9,FALSE))</f>
        <v/>
      </c>
      <c r="L83" s="4" t="n"/>
      <c r="M83" s="4" t="n"/>
      <c r="N83" s="4" t="n"/>
      <c r="O83" s="4" t="n"/>
      <c r="P83" s="4" t="n"/>
      <c r="Q83" s="7">
        <f>IF($K83="","",$K83-$L83+$M83+$N83+$O83)</f>
        <v/>
      </c>
      <c r="R83" s="7">
        <f>IF($Q83="","",$Q83-$P83)</f>
        <v/>
      </c>
      <c r="S83" s="3" t="n"/>
    </row>
    <row r="84">
      <c r="A84" t="inlineStr">
        <is>
          <t>T0083</t>
        </is>
      </c>
      <c r="B84" s="5" t="n"/>
      <c r="C84" s="3" t="n"/>
      <c r="D84">
        <f>IF($C84="","",VLOOKUP($C84,Inventory!$A$2:$V$150,2,FALSE))</f>
        <v/>
      </c>
      <c r="E84">
        <f>IF($C84="","",VLOOKUP($C84,Inventory!$A$2:$V$150,3,FALSE))</f>
        <v/>
      </c>
      <c r="F84" s="3" t="n"/>
      <c r="G84" s="3" t="n"/>
      <c r="H84" s="5" t="n"/>
      <c r="I84" s="5" t="n"/>
      <c r="J84" s="6">
        <f>IF(OR($H84="",$I84=""),"",($I84-$H84)+1)</f>
        <v/>
      </c>
      <c r="K84" s="7">
        <f>IF($C84="","",VLOOKUP($C84,Inventory!$A$2:$V$150,9,FALSE))</f>
        <v/>
      </c>
      <c r="L84" s="4" t="n"/>
      <c r="M84" s="4" t="n"/>
      <c r="N84" s="4" t="n"/>
      <c r="O84" s="4" t="n"/>
      <c r="P84" s="4" t="n"/>
      <c r="Q84" s="7">
        <f>IF($K84="","",$K84-$L84+$M84+$N84+$O84)</f>
        <v/>
      </c>
      <c r="R84" s="7">
        <f>IF($Q84="","",$Q84-$P84)</f>
        <v/>
      </c>
      <c r="S84" s="3" t="n"/>
    </row>
    <row r="85">
      <c r="A85" t="inlineStr">
        <is>
          <t>T0084</t>
        </is>
      </c>
      <c r="B85" s="5" t="n"/>
      <c r="C85" s="3" t="n"/>
      <c r="D85">
        <f>IF($C85="","",VLOOKUP($C85,Inventory!$A$2:$V$150,2,FALSE))</f>
        <v/>
      </c>
      <c r="E85">
        <f>IF($C85="","",VLOOKUP($C85,Inventory!$A$2:$V$150,3,FALSE))</f>
        <v/>
      </c>
      <c r="F85" s="3" t="n"/>
      <c r="G85" s="3" t="n"/>
      <c r="H85" s="5" t="n"/>
      <c r="I85" s="5" t="n"/>
      <c r="J85" s="6">
        <f>IF(OR($H85="",$I85=""),"",($I85-$H85)+1)</f>
        <v/>
      </c>
      <c r="K85" s="7">
        <f>IF($C85="","",VLOOKUP($C85,Inventory!$A$2:$V$150,9,FALSE))</f>
        <v/>
      </c>
      <c r="L85" s="4" t="n"/>
      <c r="M85" s="4" t="n"/>
      <c r="N85" s="4" t="n"/>
      <c r="O85" s="4" t="n"/>
      <c r="P85" s="4" t="n"/>
      <c r="Q85" s="7">
        <f>IF($K85="","",$K85-$L85+$M85+$N85+$O85)</f>
        <v/>
      </c>
      <c r="R85" s="7">
        <f>IF($Q85="","",$Q85-$P85)</f>
        <v/>
      </c>
      <c r="S85" s="3" t="n"/>
    </row>
    <row r="86">
      <c r="A86" t="inlineStr">
        <is>
          <t>T0085</t>
        </is>
      </c>
      <c r="B86" s="5" t="n"/>
      <c r="C86" s="3" t="n"/>
      <c r="D86">
        <f>IF($C86="","",VLOOKUP($C86,Inventory!$A$2:$V$150,2,FALSE))</f>
        <v/>
      </c>
      <c r="E86">
        <f>IF($C86="","",VLOOKUP($C86,Inventory!$A$2:$V$150,3,FALSE))</f>
        <v/>
      </c>
      <c r="F86" s="3" t="n"/>
      <c r="G86" s="3" t="n"/>
      <c r="H86" s="5" t="n"/>
      <c r="I86" s="5" t="n"/>
      <c r="J86" s="6">
        <f>IF(OR($H86="",$I86=""),"",($I86-$H86)+1)</f>
        <v/>
      </c>
      <c r="K86" s="7">
        <f>IF($C86="","",VLOOKUP($C86,Inventory!$A$2:$V$150,9,FALSE))</f>
        <v/>
      </c>
      <c r="L86" s="4" t="n"/>
      <c r="M86" s="4" t="n"/>
      <c r="N86" s="4" t="n"/>
      <c r="O86" s="4" t="n"/>
      <c r="P86" s="4" t="n"/>
      <c r="Q86" s="7">
        <f>IF($K86="","",$K86-$L86+$M86+$N86+$O86)</f>
        <v/>
      </c>
      <c r="R86" s="7">
        <f>IF($Q86="","",$Q86-$P86)</f>
        <v/>
      </c>
      <c r="S86" s="3" t="n"/>
    </row>
    <row r="87">
      <c r="A87" t="inlineStr">
        <is>
          <t>T0086</t>
        </is>
      </c>
      <c r="B87" s="5" t="n"/>
      <c r="C87" s="3" t="n"/>
      <c r="D87">
        <f>IF($C87="","",VLOOKUP($C87,Inventory!$A$2:$V$150,2,FALSE))</f>
        <v/>
      </c>
      <c r="E87">
        <f>IF($C87="","",VLOOKUP($C87,Inventory!$A$2:$V$150,3,FALSE))</f>
        <v/>
      </c>
      <c r="F87" s="3" t="n"/>
      <c r="G87" s="3" t="n"/>
      <c r="H87" s="5" t="n"/>
      <c r="I87" s="5" t="n"/>
      <c r="J87" s="6">
        <f>IF(OR($H87="",$I87=""),"",($I87-$H87)+1)</f>
        <v/>
      </c>
      <c r="K87" s="7">
        <f>IF($C87="","",VLOOKUP($C87,Inventory!$A$2:$V$150,9,FALSE))</f>
        <v/>
      </c>
      <c r="L87" s="4" t="n"/>
      <c r="M87" s="4" t="n"/>
      <c r="N87" s="4" t="n"/>
      <c r="O87" s="4" t="n"/>
      <c r="P87" s="4" t="n"/>
      <c r="Q87" s="7">
        <f>IF($K87="","",$K87-$L87+$M87+$N87+$O87)</f>
        <v/>
      </c>
      <c r="R87" s="7">
        <f>IF($Q87="","",$Q87-$P87)</f>
        <v/>
      </c>
      <c r="S87" s="3" t="n"/>
    </row>
    <row r="88">
      <c r="A88" t="inlineStr">
        <is>
          <t>T0087</t>
        </is>
      </c>
      <c r="B88" s="5" t="n"/>
      <c r="C88" s="3" t="n"/>
      <c r="D88">
        <f>IF($C88="","",VLOOKUP($C88,Inventory!$A$2:$V$150,2,FALSE))</f>
        <v/>
      </c>
      <c r="E88">
        <f>IF($C88="","",VLOOKUP($C88,Inventory!$A$2:$V$150,3,FALSE))</f>
        <v/>
      </c>
      <c r="F88" s="3" t="n"/>
      <c r="G88" s="3" t="n"/>
      <c r="H88" s="5" t="n"/>
      <c r="I88" s="5" t="n"/>
      <c r="J88" s="6">
        <f>IF(OR($H88="",$I88=""),"",($I88-$H88)+1)</f>
        <v/>
      </c>
      <c r="K88" s="7">
        <f>IF($C88="","",VLOOKUP($C88,Inventory!$A$2:$V$150,9,FALSE))</f>
        <v/>
      </c>
      <c r="L88" s="4" t="n"/>
      <c r="M88" s="4" t="n"/>
      <c r="N88" s="4" t="n"/>
      <c r="O88" s="4" t="n"/>
      <c r="P88" s="4" t="n"/>
      <c r="Q88" s="7">
        <f>IF($K88="","",$K88-$L88+$M88+$N88+$O88)</f>
        <v/>
      </c>
      <c r="R88" s="7">
        <f>IF($Q88="","",$Q88-$P88)</f>
        <v/>
      </c>
      <c r="S88" s="3" t="n"/>
    </row>
    <row r="89">
      <c r="A89" t="inlineStr">
        <is>
          <t>T0088</t>
        </is>
      </c>
      <c r="B89" s="5" t="n"/>
      <c r="C89" s="3" t="n"/>
      <c r="D89">
        <f>IF($C89="","",VLOOKUP($C89,Inventory!$A$2:$V$150,2,FALSE))</f>
        <v/>
      </c>
      <c r="E89">
        <f>IF($C89="","",VLOOKUP($C89,Inventory!$A$2:$V$150,3,FALSE))</f>
        <v/>
      </c>
      <c r="F89" s="3" t="n"/>
      <c r="G89" s="3" t="n"/>
      <c r="H89" s="5" t="n"/>
      <c r="I89" s="5" t="n"/>
      <c r="J89" s="6">
        <f>IF(OR($H89="",$I89=""),"",($I89-$H89)+1)</f>
        <v/>
      </c>
      <c r="K89" s="7">
        <f>IF($C89="","",VLOOKUP($C89,Inventory!$A$2:$V$150,9,FALSE))</f>
        <v/>
      </c>
      <c r="L89" s="4" t="n"/>
      <c r="M89" s="4" t="n"/>
      <c r="N89" s="4" t="n"/>
      <c r="O89" s="4" t="n"/>
      <c r="P89" s="4" t="n"/>
      <c r="Q89" s="7">
        <f>IF($K89="","",$K89-$L89+$M89+$N89+$O89)</f>
        <v/>
      </c>
      <c r="R89" s="7">
        <f>IF($Q89="","",$Q89-$P89)</f>
        <v/>
      </c>
      <c r="S89" s="3" t="n"/>
    </row>
    <row r="90">
      <c r="A90" t="inlineStr">
        <is>
          <t>T0089</t>
        </is>
      </c>
      <c r="B90" s="5" t="n"/>
      <c r="C90" s="3" t="n"/>
      <c r="D90">
        <f>IF($C90="","",VLOOKUP($C90,Inventory!$A$2:$V$150,2,FALSE))</f>
        <v/>
      </c>
      <c r="E90">
        <f>IF($C90="","",VLOOKUP($C90,Inventory!$A$2:$V$150,3,FALSE))</f>
        <v/>
      </c>
      <c r="F90" s="3" t="n"/>
      <c r="G90" s="3" t="n"/>
      <c r="H90" s="5" t="n"/>
      <c r="I90" s="5" t="n"/>
      <c r="J90" s="6">
        <f>IF(OR($H90="",$I90=""),"",($I90-$H90)+1)</f>
        <v/>
      </c>
      <c r="K90" s="7">
        <f>IF($C90="","",VLOOKUP($C90,Inventory!$A$2:$V$150,9,FALSE))</f>
        <v/>
      </c>
      <c r="L90" s="4" t="n"/>
      <c r="M90" s="4" t="n"/>
      <c r="N90" s="4" t="n"/>
      <c r="O90" s="4" t="n"/>
      <c r="P90" s="4" t="n"/>
      <c r="Q90" s="7">
        <f>IF($K90="","",$K90-$L90+$M90+$N90+$O90)</f>
        <v/>
      </c>
      <c r="R90" s="7">
        <f>IF($Q90="","",$Q90-$P90)</f>
        <v/>
      </c>
      <c r="S90" s="3" t="n"/>
    </row>
    <row r="91">
      <c r="A91" t="inlineStr">
        <is>
          <t>T0090</t>
        </is>
      </c>
      <c r="B91" s="5" t="n"/>
      <c r="C91" s="3" t="n"/>
      <c r="D91">
        <f>IF($C91="","",VLOOKUP($C91,Inventory!$A$2:$V$150,2,FALSE))</f>
        <v/>
      </c>
      <c r="E91">
        <f>IF($C91="","",VLOOKUP($C91,Inventory!$A$2:$V$150,3,FALSE))</f>
        <v/>
      </c>
      <c r="F91" s="3" t="n"/>
      <c r="G91" s="3" t="n"/>
      <c r="H91" s="5" t="n"/>
      <c r="I91" s="5" t="n"/>
      <c r="J91" s="6">
        <f>IF(OR($H91="",$I91=""),"",($I91-$H91)+1)</f>
        <v/>
      </c>
      <c r="K91" s="7">
        <f>IF($C91="","",VLOOKUP($C91,Inventory!$A$2:$V$150,9,FALSE))</f>
        <v/>
      </c>
      <c r="L91" s="4" t="n"/>
      <c r="M91" s="4" t="n"/>
      <c r="N91" s="4" t="n"/>
      <c r="O91" s="4" t="n"/>
      <c r="P91" s="4" t="n"/>
      <c r="Q91" s="7">
        <f>IF($K91="","",$K91-$L91+$M91+$N91+$O91)</f>
        <v/>
      </c>
      <c r="R91" s="7">
        <f>IF($Q91="","",$Q91-$P91)</f>
        <v/>
      </c>
      <c r="S91" s="3" t="n"/>
    </row>
    <row r="92">
      <c r="A92" t="inlineStr">
        <is>
          <t>T0091</t>
        </is>
      </c>
      <c r="B92" s="5" t="n"/>
      <c r="C92" s="3" t="n"/>
      <c r="D92">
        <f>IF($C92="","",VLOOKUP($C92,Inventory!$A$2:$V$150,2,FALSE))</f>
        <v/>
      </c>
      <c r="E92">
        <f>IF($C92="","",VLOOKUP($C92,Inventory!$A$2:$V$150,3,FALSE))</f>
        <v/>
      </c>
      <c r="F92" s="3" t="n"/>
      <c r="G92" s="3" t="n"/>
      <c r="H92" s="5" t="n"/>
      <c r="I92" s="5" t="n"/>
      <c r="J92" s="6">
        <f>IF(OR($H92="",$I92=""),"",($I92-$H92)+1)</f>
        <v/>
      </c>
      <c r="K92" s="7">
        <f>IF($C92="","",VLOOKUP($C92,Inventory!$A$2:$V$150,9,FALSE))</f>
        <v/>
      </c>
      <c r="L92" s="4" t="n"/>
      <c r="M92" s="4" t="n"/>
      <c r="N92" s="4" t="n"/>
      <c r="O92" s="4" t="n"/>
      <c r="P92" s="4" t="n"/>
      <c r="Q92" s="7">
        <f>IF($K92="","",$K92-$L92+$M92+$N92+$O92)</f>
        <v/>
      </c>
      <c r="R92" s="7">
        <f>IF($Q92="","",$Q92-$P92)</f>
        <v/>
      </c>
      <c r="S92" s="3" t="n"/>
    </row>
    <row r="93">
      <c r="A93" t="inlineStr">
        <is>
          <t>T0092</t>
        </is>
      </c>
      <c r="B93" s="5" t="n"/>
      <c r="C93" s="3" t="n"/>
      <c r="D93">
        <f>IF($C93="","",VLOOKUP($C93,Inventory!$A$2:$V$150,2,FALSE))</f>
        <v/>
      </c>
      <c r="E93">
        <f>IF($C93="","",VLOOKUP($C93,Inventory!$A$2:$V$150,3,FALSE))</f>
        <v/>
      </c>
      <c r="F93" s="3" t="n"/>
      <c r="G93" s="3" t="n"/>
      <c r="H93" s="5" t="n"/>
      <c r="I93" s="5" t="n"/>
      <c r="J93" s="6">
        <f>IF(OR($H93="",$I93=""),"",($I93-$H93)+1)</f>
        <v/>
      </c>
      <c r="K93" s="7">
        <f>IF($C93="","",VLOOKUP($C93,Inventory!$A$2:$V$150,9,FALSE))</f>
        <v/>
      </c>
      <c r="L93" s="4" t="n"/>
      <c r="M93" s="4" t="n"/>
      <c r="N93" s="4" t="n"/>
      <c r="O93" s="4" t="n"/>
      <c r="P93" s="4" t="n"/>
      <c r="Q93" s="7">
        <f>IF($K93="","",$K93-$L93+$M93+$N93+$O93)</f>
        <v/>
      </c>
      <c r="R93" s="7">
        <f>IF($Q93="","",$Q93-$P93)</f>
        <v/>
      </c>
      <c r="S93" s="3" t="n"/>
    </row>
    <row r="94">
      <c r="A94" t="inlineStr">
        <is>
          <t>T0093</t>
        </is>
      </c>
      <c r="B94" s="5" t="n"/>
      <c r="C94" s="3" t="n"/>
      <c r="D94">
        <f>IF($C94="","",VLOOKUP($C94,Inventory!$A$2:$V$150,2,FALSE))</f>
        <v/>
      </c>
      <c r="E94">
        <f>IF($C94="","",VLOOKUP($C94,Inventory!$A$2:$V$150,3,FALSE))</f>
        <v/>
      </c>
      <c r="F94" s="3" t="n"/>
      <c r="G94" s="3" t="n"/>
      <c r="H94" s="5" t="n"/>
      <c r="I94" s="5" t="n"/>
      <c r="J94" s="6">
        <f>IF(OR($H94="",$I94=""),"",($I94-$H94)+1)</f>
        <v/>
      </c>
      <c r="K94" s="7">
        <f>IF($C94="","",VLOOKUP($C94,Inventory!$A$2:$V$150,9,FALSE))</f>
        <v/>
      </c>
      <c r="L94" s="4" t="n"/>
      <c r="M94" s="4" t="n"/>
      <c r="N94" s="4" t="n"/>
      <c r="O94" s="4" t="n"/>
      <c r="P94" s="4" t="n"/>
      <c r="Q94" s="7">
        <f>IF($K94="","",$K94-$L94+$M94+$N94+$O94)</f>
        <v/>
      </c>
      <c r="R94" s="7">
        <f>IF($Q94="","",$Q94-$P94)</f>
        <v/>
      </c>
      <c r="S94" s="3" t="n"/>
    </row>
    <row r="95">
      <c r="A95" t="inlineStr">
        <is>
          <t>T0094</t>
        </is>
      </c>
      <c r="B95" s="5" t="n"/>
      <c r="C95" s="3" t="n"/>
      <c r="D95">
        <f>IF($C95="","",VLOOKUP($C95,Inventory!$A$2:$V$150,2,FALSE))</f>
        <v/>
      </c>
      <c r="E95">
        <f>IF($C95="","",VLOOKUP($C95,Inventory!$A$2:$V$150,3,FALSE))</f>
        <v/>
      </c>
      <c r="F95" s="3" t="n"/>
      <c r="G95" s="3" t="n"/>
      <c r="H95" s="5" t="n"/>
      <c r="I95" s="5" t="n"/>
      <c r="J95" s="6">
        <f>IF(OR($H95="",$I95=""),"",($I95-$H95)+1)</f>
        <v/>
      </c>
      <c r="K95" s="7">
        <f>IF($C95="","",VLOOKUP($C95,Inventory!$A$2:$V$150,9,FALSE))</f>
        <v/>
      </c>
      <c r="L95" s="4" t="n"/>
      <c r="M95" s="4" t="n"/>
      <c r="N95" s="4" t="n"/>
      <c r="O95" s="4" t="n"/>
      <c r="P95" s="4" t="n"/>
      <c r="Q95" s="7">
        <f>IF($K95="","",$K95-$L95+$M95+$N95+$O95)</f>
        <v/>
      </c>
      <c r="R95" s="7">
        <f>IF($Q95="","",$Q95-$P95)</f>
        <v/>
      </c>
      <c r="S95" s="3" t="n"/>
    </row>
    <row r="96">
      <c r="A96" t="inlineStr">
        <is>
          <t>T0095</t>
        </is>
      </c>
      <c r="B96" s="5" t="n"/>
      <c r="C96" s="3" t="n"/>
      <c r="D96">
        <f>IF($C96="","",VLOOKUP($C96,Inventory!$A$2:$V$150,2,FALSE))</f>
        <v/>
      </c>
      <c r="E96">
        <f>IF($C96="","",VLOOKUP($C96,Inventory!$A$2:$V$150,3,FALSE))</f>
        <v/>
      </c>
      <c r="F96" s="3" t="n"/>
      <c r="G96" s="3" t="n"/>
      <c r="H96" s="5" t="n"/>
      <c r="I96" s="5" t="n"/>
      <c r="J96" s="6">
        <f>IF(OR($H96="",$I96=""),"",($I96-$H96)+1)</f>
        <v/>
      </c>
      <c r="K96" s="7">
        <f>IF($C96="","",VLOOKUP($C96,Inventory!$A$2:$V$150,9,FALSE))</f>
        <v/>
      </c>
      <c r="L96" s="4" t="n"/>
      <c r="M96" s="4" t="n"/>
      <c r="N96" s="4" t="n"/>
      <c r="O96" s="4" t="n"/>
      <c r="P96" s="4" t="n"/>
      <c r="Q96" s="7">
        <f>IF($K96="","",$K96-$L96+$M96+$N96+$O96)</f>
        <v/>
      </c>
      <c r="R96" s="7">
        <f>IF($Q96="","",$Q96-$P96)</f>
        <v/>
      </c>
      <c r="S96" s="3" t="n"/>
    </row>
    <row r="97">
      <c r="A97" t="inlineStr">
        <is>
          <t>T0096</t>
        </is>
      </c>
      <c r="B97" s="5" t="n"/>
      <c r="C97" s="3" t="n"/>
      <c r="D97">
        <f>IF($C97="","",VLOOKUP($C97,Inventory!$A$2:$V$150,2,FALSE))</f>
        <v/>
      </c>
      <c r="E97">
        <f>IF($C97="","",VLOOKUP($C97,Inventory!$A$2:$V$150,3,FALSE))</f>
        <v/>
      </c>
      <c r="F97" s="3" t="n"/>
      <c r="G97" s="3" t="n"/>
      <c r="H97" s="5" t="n"/>
      <c r="I97" s="5" t="n"/>
      <c r="J97" s="6">
        <f>IF(OR($H97="",$I97=""),"",($I97-$H97)+1)</f>
        <v/>
      </c>
      <c r="K97" s="7">
        <f>IF($C97="","",VLOOKUP($C97,Inventory!$A$2:$V$150,9,FALSE))</f>
        <v/>
      </c>
      <c r="L97" s="4" t="n"/>
      <c r="M97" s="4" t="n"/>
      <c r="N97" s="4" t="n"/>
      <c r="O97" s="4" t="n"/>
      <c r="P97" s="4" t="n"/>
      <c r="Q97" s="7">
        <f>IF($K97="","",$K97-$L97+$M97+$N97+$O97)</f>
        <v/>
      </c>
      <c r="R97" s="7">
        <f>IF($Q97="","",$Q97-$P97)</f>
        <v/>
      </c>
      <c r="S97" s="3" t="n"/>
    </row>
    <row r="98">
      <c r="A98" t="inlineStr">
        <is>
          <t>T0097</t>
        </is>
      </c>
      <c r="B98" s="5" t="n"/>
      <c r="C98" s="3" t="n"/>
      <c r="D98">
        <f>IF($C98="","",VLOOKUP($C98,Inventory!$A$2:$V$150,2,FALSE))</f>
        <v/>
      </c>
      <c r="E98">
        <f>IF($C98="","",VLOOKUP($C98,Inventory!$A$2:$V$150,3,FALSE))</f>
        <v/>
      </c>
      <c r="F98" s="3" t="n"/>
      <c r="G98" s="3" t="n"/>
      <c r="H98" s="5" t="n"/>
      <c r="I98" s="5" t="n"/>
      <c r="J98" s="6">
        <f>IF(OR($H98="",$I98=""),"",($I98-$H98)+1)</f>
        <v/>
      </c>
      <c r="K98" s="7">
        <f>IF($C98="","",VLOOKUP($C98,Inventory!$A$2:$V$150,9,FALSE))</f>
        <v/>
      </c>
      <c r="L98" s="4" t="n"/>
      <c r="M98" s="4" t="n"/>
      <c r="N98" s="4" t="n"/>
      <c r="O98" s="4" t="n"/>
      <c r="P98" s="4" t="n"/>
      <c r="Q98" s="7">
        <f>IF($K98="","",$K98-$L98+$M98+$N98+$O98)</f>
        <v/>
      </c>
      <c r="R98" s="7">
        <f>IF($Q98="","",$Q98-$P98)</f>
        <v/>
      </c>
      <c r="S98" s="3" t="n"/>
    </row>
    <row r="99">
      <c r="A99" t="inlineStr">
        <is>
          <t>T0098</t>
        </is>
      </c>
      <c r="B99" s="5" t="n"/>
      <c r="C99" s="3" t="n"/>
      <c r="D99">
        <f>IF($C99="","",VLOOKUP($C99,Inventory!$A$2:$V$150,2,FALSE))</f>
        <v/>
      </c>
      <c r="E99">
        <f>IF($C99="","",VLOOKUP($C99,Inventory!$A$2:$V$150,3,FALSE))</f>
        <v/>
      </c>
      <c r="F99" s="3" t="n"/>
      <c r="G99" s="3" t="n"/>
      <c r="H99" s="5" t="n"/>
      <c r="I99" s="5" t="n"/>
      <c r="J99" s="6">
        <f>IF(OR($H99="",$I99=""),"",($I99-$H99)+1)</f>
        <v/>
      </c>
      <c r="K99" s="7">
        <f>IF($C99="","",VLOOKUP($C99,Inventory!$A$2:$V$150,9,FALSE))</f>
        <v/>
      </c>
      <c r="L99" s="4" t="n"/>
      <c r="M99" s="4" t="n"/>
      <c r="N99" s="4" t="n"/>
      <c r="O99" s="4" t="n"/>
      <c r="P99" s="4" t="n"/>
      <c r="Q99" s="7">
        <f>IF($K99="","",$K99-$L99+$M99+$N99+$O99)</f>
        <v/>
      </c>
      <c r="R99" s="7">
        <f>IF($Q99="","",$Q99-$P99)</f>
        <v/>
      </c>
      <c r="S99" s="3" t="n"/>
    </row>
    <row r="100">
      <c r="A100" t="inlineStr">
        <is>
          <t>T0099</t>
        </is>
      </c>
      <c r="B100" s="5" t="n"/>
      <c r="C100" s="3" t="n"/>
      <c r="D100">
        <f>IF($C100="","",VLOOKUP($C100,Inventory!$A$2:$V$150,2,FALSE))</f>
        <v/>
      </c>
      <c r="E100">
        <f>IF($C100="","",VLOOKUP($C100,Inventory!$A$2:$V$150,3,FALSE))</f>
        <v/>
      </c>
      <c r="F100" s="3" t="n"/>
      <c r="G100" s="3" t="n"/>
      <c r="H100" s="5" t="n"/>
      <c r="I100" s="5" t="n"/>
      <c r="J100" s="6">
        <f>IF(OR($H100="",$I100=""),"",($I100-$H100)+1)</f>
        <v/>
      </c>
      <c r="K100" s="7">
        <f>IF($C100="","",VLOOKUP($C100,Inventory!$A$2:$V$150,9,FALSE))</f>
        <v/>
      </c>
      <c r="L100" s="4" t="n"/>
      <c r="M100" s="4" t="n"/>
      <c r="N100" s="4" t="n"/>
      <c r="O100" s="4" t="n"/>
      <c r="P100" s="4" t="n"/>
      <c r="Q100" s="7">
        <f>IF($K100="","",$K100-$L100+$M100+$N100+$O100)</f>
        <v/>
      </c>
      <c r="R100" s="7">
        <f>IF($Q100="","",$Q100-$P100)</f>
        <v/>
      </c>
      <c r="S100" s="3" t="n"/>
    </row>
    <row r="101">
      <c r="A101" t="inlineStr">
        <is>
          <t>T0100</t>
        </is>
      </c>
      <c r="B101" s="5" t="n"/>
      <c r="C101" s="3" t="n"/>
      <c r="D101">
        <f>IF($C101="","",VLOOKUP($C101,Inventory!$A$2:$V$150,2,FALSE))</f>
        <v/>
      </c>
      <c r="E101">
        <f>IF($C101="","",VLOOKUP($C101,Inventory!$A$2:$V$150,3,FALSE))</f>
        <v/>
      </c>
      <c r="F101" s="3" t="n"/>
      <c r="G101" s="3" t="n"/>
      <c r="H101" s="5" t="n"/>
      <c r="I101" s="5" t="n"/>
      <c r="J101" s="6">
        <f>IF(OR($H101="",$I101=""),"",($I101-$H101)+1)</f>
        <v/>
      </c>
      <c r="K101" s="7">
        <f>IF($C101="","",VLOOKUP($C101,Inventory!$A$2:$V$150,9,FALSE))</f>
        <v/>
      </c>
      <c r="L101" s="4" t="n"/>
      <c r="M101" s="4" t="n"/>
      <c r="N101" s="4" t="n"/>
      <c r="O101" s="4" t="n"/>
      <c r="P101" s="4" t="n"/>
      <c r="Q101" s="7">
        <f>IF($K101="","",$K101-$L101+$M101+$N101+$O101)</f>
        <v/>
      </c>
      <c r="R101" s="7">
        <f>IF($Q101="","",$Q101-$P101)</f>
        <v/>
      </c>
      <c r="S101" s="3" t="n"/>
    </row>
    <row r="102">
      <c r="A102" t="inlineStr">
        <is>
          <t>T0101</t>
        </is>
      </c>
      <c r="B102" s="5" t="n"/>
      <c r="C102" s="3" t="n"/>
      <c r="D102">
        <f>IF($C102="","",VLOOKUP($C102,Inventory!$A$2:$V$150,2,FALSE))</f>
        <v/>
      </c>
      <c r="E102">
        <f>IF($C102="","",VLOOKUP($C102,Inventory!$A$2:$V$150,3,FALSE))</f>
        <v/>
      </c>
      <c r="F102" s="3" t="n"/>
      <c r="G102" s="3" t="n"/>
      <c r="H102" s="5" t="n"/>
      <c r="I102" s="5" t="n"/>
      <c r="J102" s="6">
        <f>IF(OR($H102="",$I102=""),"",($I102-$H102)+1)</f>
        <v/>
      </c>
      <c r="K102" s="7">
        <f>IF($C102="","",VLOOKUP($C102,Inventory!$A$2:$V$150,9,FALSE))</f>
        <v/>
      </c>
      <c r="L102" s="4" t="n"/>
      <c r="M102" s="4" t="n"/>
      <c r="N102" s="4" t="n"/>
      <c r="O102" s="4" t="n"/>
      <c r="P102" s="4" t="n"/>
      <c r="Q102" s="7">
        <f>IF($K102="","",$K102-$L102+$M102+$N102+$O102)</f>
        <v/>
      </c>
      <c r="R102" s="7">
        <f>IF($Q102="","",$Q102-$P102)</f>
        <v/>
      </c>
      <c r="S102" s="3" t="n"/>
    </row>
    <row r="103">
      <c r="A103" t="inlineStr">
        <is>
          <t>T0102</t>
        </is>
      </c>
      <c r="B103" s="5" t="n"/>
      <c r="C103" s="3" t="n"/>
      <c r="D103">
        <f>IF($C103="","",VLOOKUP($C103,Inventory!$A$2:$V$150,2,FALSE))</f>
        <v/>
      </c>
      <c r="E103">
        <f>IF($C103="","",VLOOKUP($C103,Inventory!$A$2:$V$150,3,FALSE))</f>
        <v/>
      </c>
      <c r="F103" s="3" t="n"/>
      <c r="G103" s="3" t="n"/>
      <c r="H103" s="5" t="n"/>
      <c r="I103" s="5" t="n"/>
      <c r="J103" s="6">
        <f>IF(OR($H103="",$I103=""),"",($I103-$H103)+1)</f>
        <v/>
      </c>
      <c r="K103" s="7">
        <f>IF($C103="","",VLOOKUP($C103,Inventory!$A$2:$V$150,9,FALSE))</f>
        <v/>
      </c>
      <c r="L103" s="4" t="n"/>
      <c r="M103" s="4" t="n"/>
      <c r="N103" s="4" t="n"/>
      <c r="O103" s="4" t="n"/>
      <c r="P103" s="4" t="n"/>
      <c r="Q103" s="7">
        <f>IF($K103="","",$K103-$L103+$M103+$N103+$O103)</f>
        <v/>
      </c>
      <c r="R103" s="7">
        <f>IF($Q103="","",$Q103-$P103)</f>
        <v/>
      </c>
      <c r="S103" s="3" t="n"/>
    </row>
    <row r="104">
      <c r="A104" t="inlineStr">
        <is>
          <t>T0103</t>
        </is>
      </c>
      <c r="B104" s="5" t="n"/>
      <c r="C104" s="3" t="n"/>
      <c r="D104">
        <f>IF($C104="","",VLOOKUP($C104,Inventory!$A$2:$V$150,2,FALSE))</f>
        <v/>
      </c>
      <c r="E104">
        <f>IF($C104="","",VLOOKUP($C104,Inventory!$A$2:$V$150,3,FALSE))</f>
        <v/>
      </c>
      <c r="F104" s="3" t="n"/>
      <c r="G104" s="3" t="n"/>
      <c r="H104" s="5" t="n"/>
      <c r="I104" s="5" t="n"/>
      <c r="J104" s="6">
        <f>IF(OR($H104="",$I104=""),"",($I104-$H104)+1)</f>
        <v/>
      </c>
      <c r="K104" s="7">
        <f>IF($C104="","",VLOOKUP($C104,Inventory!$A$2:$V$150,9,FALSE))</f>
        <v/>
      </c>
      <c r="L104" s="4" t="n"/>
      <c r="M104" s="4" t="n"/>
      <c r="N104" s="4" t="n"/>
      <c r="O104" s="4" t="n"/>
      <c r="P104" s="4" t="n"/>
      <c r="Q104" s="7">
        <f>IF($K104="","",$K104-$L104+$M104+$N104+$O104)</f>
        <v/>
      </c>
      <c r="R104" s="7">
        <f>IF($Q104="","",$Q104-$P104)</f>
        <v/>
      </c>
      <c r="S104" s="3" t="n"/>
    </row>
    <row r="105">
      <c r="A105" t="inlineStr">
        <is>
          <t>T0104</t>
        </is>
      </c>
      <c r="B105" s="5" t="n"/>
      <c r="C105" s="3" t="n"/>
      <c r="D105">
        <f>IF($C105="","",VLOOKUP($C105,Inventory!$A$2:$V$150,2,FALSE))</f>
        <v/>
      </c>
      <c r="E105">
        <f>IF($C105="","",VLOOKUP($C105,Inventory!$A$2:$V$150,3,FALSE))</f>
        <v/>
      </c>
      <c r="F105" s="3" t="n"/>
      <c r="G105" s="3" t="n"/>
      <c r="H105" s="5" t="n"/>
      <c r="I105" s="5" t="n"/>
      <c r="J105" s="6">
        <f>IF(OR($H105="",$I105=""),"",($I105-$H105)+1)</f>
        <v/>
      </c>
      <c r="K105" s="7">
        <f>IF($C105="","",VLOOKUP($C105,Inventory!$A$2:$V$150,9,FALSE))</f>
        <v/>
      </c>
      <c r="L105" s="4" t="n"/>
      <c r="M105" s="4" t="n"/>
      <c r="N105" s="4" t="n"/>
      <c r="O105" s="4" t="n"/>
      <c r="P105" s="4" t="n"/>
      <c r="Q105" s="7">
        <f>IF($K105="","",$K105-$L105+$M105+$N105+$O105)</f>
        <v/>
      </c>
      <c r="R105" s="7">
        <f>IF($Q105="","",$Q105-$P105)</f>
        <v/>
      </c>
      <c r="S105" s="3" t="n"/>
    </row>
    <row r="106">
      <c r="A106" t="inlineStr">
        <is>
          <t>T0105</t>
        </is>
      </c>
      <c r="B106" s="5" t="n"/>
      <c r="C106" s="3" t="n"/>
      <c r="D106">
        <f>IF($C106="","",VLOOKUP($C106,Inventory!$A$2:$V$150,2,FALSE))</f>
        <v/>
      </c>
      <c r="E106">
        <f>IF($C106="","",VLOOKUP($C106,Inventory!$A$2:$V$150,3,FALSE))</f>
        <v/>
      </c>
      <c r="F106" s="3" t="n"/>
      <c r="G106" s="3" t="n"/>
      <c r="H106" s="5" t="n"/>
      <c r="I106" s="5" t="n"/>
      <c r="J106" s="6">
        <f>IF(OR($H106="",$I106=""),"",($I106-$H106)+1)</f>
        <v/>
      </c>
      <c r="K106" s="7">
        <f>IF($C106="","",VLOOKUP($C106,Inventory!$A$2:$V$150,9,FALSE))</f>
        <v/>
      </c>
      <c r="L106" s="4" t="n"/>
      <c r="M106" s="4" t="n"/>
      <c r="N106" s="4" t="n"/>
      <c r="O106" s="4" t="n"/>
      <c r="P106" s="4" t="n"/>
      <c r="Q106" s="7">
        <f>IF($K106="","",$K106-$L106+$M106+$N106+$O106)</f>
        <v/>
      </c>
      <c r="R106" s="7">
        <f>IF($Q106="","",$Q106-$P106)</f>
        <v/>
      </c>
      <c r="S106" s="3" t="n"/>
    </row>
    <row r="107">
      <c r="A107" t="inlineStr">
        <is>
          <t>T0106</t>
        </is>
      </c>
      <c r="B107" s="5" t="n"/>
      <c r="C107" s="3" t="n"/>
      <c r="D107">
        <f>IF($C107="","",VLOOKUP($C107,Inventory!$A$2:$V$150,2,FALSE))</f>
        <v/>
      </c>
      <c r="E107">
        <f>IF($C107="","",VLOOKUP($C107,Inventory!$A$2:$V$150,3,FALSE))</f>
        <v/>
      </c>
      <c r="F107" s="3" t="n"/>
      <c r="G107" s="3" t="n"/>
      <c r="H107" s="5" t="n"/>
      <c r="I107" s="5" t="n"/>
      <c r="J107" s="6">
        <f>IF(OR($H107="",$I107=""),"",($I107-$H107)+1)</f>
        <v/>
      </c>
      <c r="K107" s="7">
        <f>IF($C107="","",VLOOKUP($C107,Inventory!$A$2:$V$150,9,FALSE))</f>
        <v/>
      </c>
      <c r="L107" s="4" t="n"/>
      <c r="M107" s="4" t="n"/>
      <c r="N107" s="4" t="n"/>
      <c r="O107" s="4" t="n"/>
      <c r="P107" s="4" t="n"/>
      <c r="Q107" s="7">
        <f>IF($K107="","",$K107-$L107+$M107+$N107+$O107)</f>
        <v/>
      </c>
      <c r="R107" s="7">
        <f>IF($Q107="","",$Q107-$P107)</f>
        <v/>
      </c>
      <c r="S107" s="3" t="n"/>
    </row>
    <row r="108">
      <c r="A108" t="inlineStr">
        <is>
          <t>T0107</t>
        </is>
      </c>
      <c r="B108" s="5" t="n"/>
      <c r="C108" s="3" t="n"/>
      <c r="D108">
        <f>IF($C108="","",VLOOKUP($C108,Inventory!$A$2:$V$150,2,FALSE))</f>
        <v/>
      </c>
      <c r="E108">
        <f>IF($C108="","",VLOOKUP($C108,Inventory!$A$2:$V$150,3,FALSE))</f>
        <v/>
      </c>
      <c r="F108" s="3" t="n"/>
      <c r="G108" s="3" t="n"/>
      <c r="H108" s="5" t="n"/>
      <c r="I108" s="5" t="n"/>
      <c r="J108" s="6">
        <f>IF(OR($H108="",$I108=""),"",($I108-$H108)+1)</f>
        <v/>
      </c>
      <c r="K108" s="7">
        <f>IF($C108="","",VLOOKUP($C108,Inventory!$A$2:$V$150,9,FALSE))</f>
        <v/>
      </c>
      <c r="L108" s="4" t="n"/>
      <c r="M108" s="4" t="n"/>
      <c r="N108" s="4" t="n"/>
      <c r="O108" s="4" t="n"/>
      <c r="P108" s="4" t="n"/>
      <c r="Q108" s="7">
        <f>IF($K108="","",$K108-$L108+$M108+$N108+$O108)</f>
        <v/>
      </c>
      <c r="R108" s="7">
        <f>IF($Q108="","",$Q108-$P108)</f>
        <v/>
      </c>
      <c r="S108" s="3" t="n"/>
    </row>
    <row r="109">
      <c r="A109" t="inlineStr">
        <is>
          <t>T0108</t>
        </is>
      </c>
      <c r="B109" s="5" t="n"/>
      <c r="C109" s="3" t="n"/>
      <c r="D109">
        <f>IF($C109="","",VLOOKUP($C109,Inventory!$A$2:$V$150,2,FALSE))</f>
        <v/>
      </c>
      <c r="E109">
        <f>IF($C109="","",VLOOKUP($C109,Inventory!$A$2:$V$150,3,FALSE))</f>
        <v/>
      </c>
      <c r="F109" s="3" t="n"/>
      <c r="G109" s="3" t="n"/>
      <c r="H109" s="5" t="n"/>
      <c r="I109" s="5" t="n"/>
      <c r="J109" s="6">
        <f>IF(OR($H109="",$I109=""),"",($I109-$H109)+1)</f>
        <v/>
      </c>
      <c r="K109" s="7">
        <f>IF($C109="","",VLOOKUP($C109,Inventory!$A$2:$V$150,9,FALSE))</f>
        <v/>
      </c>
      <c r="L109" s="4" t="n"/>
      <c r="M109" s="4" t="n"/>
      <c r="N109" s="4" t="n"/>
      <c r="O109" s="4" t="n"/>
      <c r="P109" s="4" t="n"/>
      <c r="Q109" s="7">
        <f>IF($K109="","",$K109-$L109+$M109+$N109+$O109)</f>
        <v/>
      </c>
      <c r="R109" s="7">
        <f>IF($Q109="","",$Q109-$P109)</f>
        <v/>
      </c>
      <c r="S109" s="3" t="n"/>
    </row>
    <row r="110">
      <c r="A110" t="inlineStr">
        <is>
          <t>T0109</t>
        </is>
      </c>
      <c r="B110" s="5" t="n"/>
      <c r="C110" s="3" t="n"/>
      <c r="D110">
        <f>IF($C110="","",VLOOKUP($C110,Inventory!$A$2:$V$150,2,FALSE))</f>
        <v/>
      </c>
      <c r="E110">
        <f>IF($C110="","",VLOOKUP($C110,Inventory!$A$2:$V$150,3,FALSE))</f>
        <v/>
      </c>
      <c r="F110" s="3" t="n"/>
      <c r="G110" s="3" t="n"/>
      <c r="H110" s="5" t="n"/>
      <c r="I110" s="5" t="n"/>
      <c r="J110" s="6">
        <f>IF(OR($H110="",$I110=""),"",($I110-$H110)+1)</f>
        <v/>
      </c>
      <c r="K110" s="7">
        <f>IF($C110="","",VLOOKUP($C110,Inventory!$A$2:$V$150,9,FALSE))</f>
        <v/>
      </c>
      <c r="L110" s="4" t="n"/>
      <c r="M110" s="4" t="n"/>
      <c r="N110" s="4" t="n"/>
      <c r="O110" s="4" t="n"/>
      <c r="P110" s="4" t="n"/>
      <c r="Q110" s="7">
        <f>IF($K110="","",$K110-$L110+$M110+$N110+$O110)</f>
        <v/>
      </c>
      <c r="R110" s="7">
        <f>IF($Q110="","",$Q110-$P110)</f>
        <v/>
      </c>
      <c r="S110" s="3" t="n"/>
    </row>
    <row r="111">
      <c r="A111" t="inlineStr">
        <is>
          <t>T0110</t>
        </is>
      </c>
      <c r="B111" s="5" t="n"/>
      <c r="C111" s="3" t="n"/>
      <c r="D111">
        <f>IF($C111="","",VLOOKUP($C111,Inventory!$A$2:$V$150,2,FALSE))</f>
        <v/>
      </c>
      <c r="E111">
        <f>IF($C111="","",VLOOKUP($C111,Inventory!$A$2:$V$150,3,FALSE))</f>
        <v/>
      </c>
      <c r="F111" s="3" t="n"/>
      <c r="G111" s="3" t="n"/>
      <c r="H111" s="5" t="n"/>
      <c r="I111" s="5" t="n"/>
      <c r="J111" s="6">
        <f>IF(OR($H111="",$I111=""),"",($I111-$H111)+1)</f>
        <v/>
      </c>
      <c r="K111" s="7">
        <f>IF($C111="","",VLOOKUP($C111,Inventory!$A$2:$V$150,9,FALSE))</f>
        <v/>
      </c>
      <c r="L111" s="4" t="n"/>
      <c r="M111" s="4" t="n"/>
      <c r="N111" s="4" t="n"/>
      <c r="O111" s="4" t="n"/>
      <c r="P111" s="4" t="n"/>
      <c r="Q111" s="7">
        <f>IF($K111="","",$K111-$L111+$M111+$N111+$O111)</f>
        <v/>
      </c>
      <c r="R111" s="7">
        <f>IF($Q111="","",$Q111-$P111)</f>
        <v/>
      </c>
      <c r="S111" s="3" t="n"/>
    </row>
    <row r="112">
      <c r="A112" t="inlineStr">
        <is>
          <t>T0111</t>
        </is>
      </c>
      <c r="B112" s="5" t="n"/>
      <c r="C112" s="3" t="n"/>
      <c r="D112">
        <f>IF($C112="","",VLOOKUP($C112,Inventory!$A$2:$V$150,2,FALSE))</f>
        <v/>
      </c>
      <c r="E112">
        <f>IF($C112="","",VLOOKUP($C112,Inventory!$A$2:$V$150,3,FALSE))</f>
        <v/>
      </c>
      <c r="F112" s="3" t="n"/>
      <c r="G112" s="3" t="n"/>
      <c r="H112" s="5" t="n"/>
      <c r="I112" s="5" t="n"/>
      <c r="J112" s="6">
        <f>IF(OR($H112="",$I112=""),"",($I112-$H112)+1)</f>
        <v/>
      </c>
      <c r="K112" s="7">
        <f>IF($C112="","",VLOOKUP($C112,Inventory!$A$2:$V$150,9,FALSE))</f>
        <v/>
      </c>
      <c r="L112" s="4" t="n"/>
      <c r="M112" s="4" t="n"/>
      <c r="N112" s="4" t="n"/>
      <c r="O112" s="4" t="n"/>
      <c r="P112" s="4" t="n"/>
      <c r="Q112" s="7">
        <f>IF($K112="","",$K112-$L112+$M112+$N112+$O112)</f>
        <v/>
      </c>
      <c r="R112" s="7">
        <f>IF($Q112="","",$Q112-$P112)</f>
        <v/>
      </c>
      <c r="S112" s="3" t="n"/>
    </row>
    <row r="113">
      <c r="A113" t="inlineStr">
        <is>
          <t>T0112</t>
        </is>
      </c>
      <c r="B113" s="5" t="n"/>
      <c r="C113" s="3" t="n"/>
      <c r="D113">
        <f>IF($C113="","",VLOOKUP($C113,Inventory!$A$2:$V$150,2,FALSE))</f>
        <v/>
      </c>
      <c r="E113">
        <f>IF($C113="","",VLOOKUP($C113,Inventory!$A$2:$V$150,3,FALSE))</f>
        <v/>
      </c>
      <c r="F113" s="3" t="n"/>
      <c r="G113" s="3" t="n"/>
      <c r="H113" s="5" t="n"/>
      <c r="I113" s="5" t="n"/>
      <c r="J113" s="6">
        <f>IF(OR($H113="",$I113=""),"",($I113-$H113)+1)</f>
        <v/>
      </c>
      <c r="K113" s="7">
        <f>IF($C113="","",VLOOKUP($C113,Inventory!$A$2:$V$150,9,FALSE))</f>
        <v/>
      </c>
      <c r="L113" s="4" t="n"/>
      <c r="M113" s="4" t="n"/>
      <c r="N113" s="4" t="n"/>
      <c r="O113" s="4" t="n"/>
      <c r="P113" s="4" t="n"/>
      <c r="Q113" s="7">
        <f>IF($K113="","",$K113-$L113+$M113+$N113+$O113)</f>
        <v/>
      </c>
      <c r="R113" s="7">
        <f>IF($Q113="","",$Q113-$P113)</f>
        <v/>
      </c>
      <c r="S113" s="3" t="n"/>
    </row>
    <row r="114">
      <c r="A114" t="inlineStr">
        <is>
          <t>T0113</t>
        </is>
      </c>
      <c r="B114" s="5" t="n"/>
      <c r="C114" s="3" t="n"/>
      <c r="D114">
        <f>IF($C114="","",VLOOKUP($C114,Inventory!$A$2:$V$150,2,FALSE))</f>
        <v/>
      </c>
      <c r="E114">
        <f>IF($C114="","",VLOOKUP($C114,Inventory!$A$2:$V$150,3,FALSE))</f>
        <v/>
      </c>
      <c r="F114" s="3" t="n"/>
      <c r="G114" s="3" t="n"/>
      <c r="H114" s="5" t="n"/>
      <c r="I114" s="5" t="n"/>
      <c r="J114" s="6">
        <f>IF(OR($H114="",$I114=""),"",($I114-$H114)+1)</f>
        <v/>
      </c>
      <c r="K114" s="7">
        <f>IF($C114="","",VLOOKUP($C114,Inventory!$A$2:$V$150,9,FALSE))</f>
        <v/>
      </c>
      <c r="L114" s="4" t="n"/>
      <c r="M114" s="4" t="n"/>
      <c r="N114" s="4" t="n"/>
      <c r="O114" s="4" t="n"/>
      <c r="P114" s="4" t="n"/>
      <c r="Q114" s="7">
        <f>IF($K114="","",$K114-$L114+$M114+$N114+$O114)</f>
        <v/>
      </c>
      <c r="R114" s="7">
        <f>IF($Q114="","",$Q114-$P114)</f>
        <v/>
      </c>
      <c r="S114" s="3" t="n"/>
    </row>
    <row r="115">
      <c r="A115" t="inlineStr">
        <is>
          <t>T0114</t>
        </is>
      </c>
      <c r="B115" s="5" t="n"/>
      <c r="C115" s="3" t="n"/>
      <c r="D115">
        <f>IF($C115="","",VLOOKUP($C115,Inventory!$A$2:$V$150,2,FALSE))</f>
        <v/>
      </c>
      <c r="E115">
        <f>IF($C115="","",VLOOKUP($C115,Inventory!$A$2:$V$150,3,FALSE))</f>
        <v/>
      </c>
      <c r="F115" s="3" t="n"/>
      <c r="G115" s="3" t="n"/>
      <c r="H115" s="5" t="n"/>
      <c r="I115" s="5" t="n"/>
      <c r="J115" s="6">
        <f>IF(OR($H115="",$I115=""),"",($I115-$H115)+1)</f>
        <v/>
      </c>
      <c r="K115" s="7">
        <f>IF($C115="","",VLOOKUP($C115,Inventory!$A$2:$V$150,9,FALSE))</f>
        <v/>
      </c>
      <c r="L115" s="4" t="n"/>
      <c r="M115" s="4" t="n"/>
      <c r="N115" s="4" t="n"/>
      <c r="O115" s="4" t="n"/>
      <c r="P115" s="4" t="n"/>
      <c r="Q115" s="7">
        <f>IF($K115="","",$K115-$L115+$M115+$N115+$O115)</f>
        <v/>
      </c>
      <c r="R115" s="7">
        <f>IF($Q115="","",$Q115-$P115)</f>
        <v/>
      </c>
      <c r="S115" s="3" t="n"/>
    </row>
    <row r="116">
      <c r="A116" t="inlineStr">
        <is>
          <t>T0115</t>
        </is>
      </c>
      <c r="B116" s="5" t="n"/>
      <c r="C116" s="3" t="n"/>
      <c r="D116">
        <f>IF($C116="","",VLOOKUP($C116,Inventory!$A$2:$V$150,2,FALSE))</f>
        <v/>
      </c>
      <c r="E116">
        <f>IF($C116="","",VLOOKUP($C116,Inventory!$A$2:$V$150,3,FALSE))</f>
        <v/>
      </c>
      <c r="F116" s="3" t="n"/>
      <c r="G116" s="3" t="n"/>
      <c r="H116" s="5" t="n"/>
      <c r="I116" s="5" t="n"/>
      <c r="J116" s="6">
        <f>IF(OR($H116="",$I116=""),"",($I116-$H116)+1)</f>
        <v/>
      </c>
      <c r="K116" s="7">
        <f>IF($C116="","",VLOOKUP($C116,Inventory!$A$2:$V$150,9,FALSE))</f>
        <v/>
      </c>
      <c r="L116" s="4" t="n"/>
      <c r="M116" s="4" t="n"/>
      <c r="N116" s="4" t="n"/>
      <c r="O116" s="4" t="n"/>
      <c r="P116" s="4" t="n"/>
      <c r="Q116" s="7">
        <f>IF($K116="","",$K116-$L116+$M116+$N116+$O116)</f>
        <v/>
      </c>
      <c r="R116" s="7">
        <f>IF($Q116="","",$Q116-$P116)</f>
        <v/>
      </c>
      <c r="S116" s="3" t="n"/>
    </row>
    <row r="117">
      <c r="A117" t="inlineStr">
        <is>
          <t>T0116</t>
        </is>
      </c>
      <c r="B117" s="5" t="n"/>
      <c r="C117" s="3" t="n"/>
      <c r="D117">
        <f>IF($C117="","",VLOOKUP($C117,Inventory!$A$2:$V$150,2,FALSE))</f>
        <v/>
      </c>
      <c r="E117">
        <f>IF($C117="","",VLOOKUP($C117,Inventory!$A$2:$V$150,3,FALSE))</f>
        <v/>
      </c>
      <c r="F117" s="3" t="n"/>
      <c r="G117" s="3" t="n"/>
      <c r="H117" s="5" t="n"/>
      <c r="I117" s="5" t="n"/>
      <c r="J117" s="6">
        <f>IF(OR($H117="",$I117=""),"",($I117-$H117)+1)</f>
        <v/>
      </c>
      <c r="K117" s="7">
        <f>IF($C117="","",VLOOKUP($C117,Inventory!$A$2:$V$150,9,FALSE))</f>
        <v/>
      </c>
      <c r="L117" s="4" t="n"/>
      <c r="M117" s="4" t="n"/>
      <c r="N117" s="4" t="n"/>
      <c r="O117" s="4" t="n"/>
      <c r="P117" s="4" t="n"/>
      <c r="Q117" s="7">
        <f>IF($K117="","",$K117-$L117+$M117+$N117+$O117)</f>
        <v/>
      </c>
      <c r="R117" s="7">
        <f>IF($Q117="","",$Q117-$P117)</f>
        <v/>
      </c>
      <c r="S117" s="3" t="n"/>
    </row>
    <row r="118">
      <c r="A118" t="inlineStr">
        <is>
          <t>T0117</t>
        </is>
      </c>
      <c r="B118" s="5" t="n"/>
      <c r="C118" s="3" t="n"/>
      <c r="D118">
        <f>IF($C118="","",VLOOKUP($C118,Inventory!$A$2:$V$150,2,FALSE))</f>
        <v/>
      </c>
      <c r="E118">
        <f>IF($C118="","",VLOOKUP($C118,Inventory!$A$2:$V$150,3,FALSE))</f>
        <v/>
      </c>
      <c r="F118" s="3" t="n"/>
      <c r="G118" s="3" t="n"/>
      <c r="H118" s="5" t="n"/>
      <c r="I118" s="5" t="n"/>
      <c r="J118" s="6">
        <f>IF(OR($H118="",$I118=""),"",($I118-$H118)+1)</f>
        <v/>
      </c>
      <c r="K118" s="7">
        <f>IF($C118="","",VLOOKUP($C118,Inventory!$A$2:$V$150,9,FALSE))</f>
        <v/>
      </c>
      <c r="L118" s="4" t="n"/>
      <c r="M118" s="4" t="n"/>
      <c r="N118" s="4" t="n"/>
      <c r="O118" s="4" t="n"/>
      <c r="P118" s="4" t="n"/>
      <c r="Q118" s="7">
        <f>IF($K118="","",$K118-$L118+$M118+$N118+$O118)</f>
        <v/>
      </c>
      <c r="R118" s="7">
        <f>IF($Q118="","",$Q118-$P118)</f>
        <v/>
      </c>
      <c r="S118" s="3" t="n"/>
    </row>
    <row r="119">
      <c r="A119" t="inlineStr">
        <is>
          <t>T0118</t>
        </is>
      </c>
      <c r="B119" s="5" t="n"/>
      <c r="C119" s="3" t="n"/>
      <c r="D119">
        <f>IF($C119="","",VLOOKUP($C119,Inventory!$A$2:$V$150,2,FALSE))</f>
        <v/>
      </c>
      <c r="E119">
        <f>IF($C119="","",VLOOKUP($C119,Inventory!$A$2:$V$150,3,FALSE))</f>
        <v/>
      </c>
      <c r="F119" s="3" t="n"/>
      <c r="G119" s="3" t="n"/>
      <c r="H119" s="5" t="n"/>
      <c r="I119" s="5" t="n"/>
      <c r="J119" s="6">
        <f>IF(OR($H119="",$I119=""),"",($I119-$H119)+1)</f>
        <v/>
      </c>
      <c r="K119" s="7">
        <f>IF($C119="","",VLOOKUP($C119,Inventory!$A$2:$V$150,9,FALSE))</f>
        <v/>
      </c>
      <c r="L119" s="4" t="n"/>
      <c r="M119" s="4" t="n"/>
      <c r="N119" s="4" t="n"/>
      <c r="O119" s="4" t="n"/>
      <c r="P119" s="4" t="n"/>
      <c r="Q119" s="7">
        <f>IF($K119="","",$K119-$L119+$M119+$N119+$O119)</f>
        <v/>
      </c>
      <c r="R119" s="7">
        <f>IF($Q119="","",$Q119-$P119)</f>
        <v/>
      </c>
      <c r="S119" s="3" t="n"/>
    </row>
    <row r="120">
      <c r="A120" t="inlineStr">
        <is>
          <t>T0119</t>
        </is>
      </c>
      <c r="B120" s="5" t="n"/>
      <c r="C120" s="3" t="n"/>
      <c r="D120">
        <f>IF($C120="","",VLOOKUP($C120,Inventory!$A$2:$V$150,2,FALSE))</f>
        <v/>
      </c>
      <c r="E120">
        <f>IF($C120="","",VLOOKUP($C120,Inventory!$A$2:$V$150,3,FALSE))</f>
        <v/>
      </c>
      <c r="F120" s="3" t="n"/>
      <c r="G120" s="3" t="n"/>
      <c r="H120" s="5" t="n"/>
      <c r="I120" s="5" t="n"/>
      <c r="J120" s="6">
        <f>IF(OR($H120="",$I120=""),"",($I120-$H120)+1)</f>
        <v/>
      </c>
      <c r="K120" s="7">
        <f>IF($C120="","",VLOOKUP($C120,Inventory!$A$2:$V$150,9,FALSE))</f>
        <v/>
      </c>
      <c r="L120" s="4" t="n"/>
      <c r="M120" s="4" t="n"/>
      <c r="N120" s="4" t="n"/>
      <c r="O120" s="4" t="n"/>
      <c r="P120" s="4" t="n"/>
      <c r="Q120" s="7">
        <f>IF($K120="","",$K120-$L120+$M120+$N120+$O120)</f>
        <v/>
      </c>
      <c r="R120" s="7">
        <f>IF($Q120="","",$Q120-$P120)</f>
        <v/>
      </c>
      <c r="S120" s="3" t="n"/>
    </row>
    <row r="121">
      <c r="A121" t="inlineStr">
        <is>
          <t>T0120</t>
        </is>
      </c>
      <c r="B121" s="5" t="n"/>
      <c r="C121" s="3" t="n"/>
      <c r="D121">
        <f>IF($C121="","",VLOOKUP($C121,Inventory!$A$2:$V$150,2,FALSE))</f>
        <v/>
      </c>
      <c r="E121">
        <f>IF($C121="","",VLOOKUP($C121,Inventory!$A$2:$V$150,3,FALSE))</f>
        <v/>
      </c>
      <c r="F121" s="3" t="n"/>
      <c r="G121" s="3" t="n"/>
      <c r="H121" s="5" t="n"/>
      <c r="I121" s="5" t="n"/>
      <c r="J121" s="6">
        <f>IF(OR($H121="",$I121=""),"",($I121-$H121)+1)</f>
        <v/>
      </c>
      <c r="K121" s="7">
        <f>IF($C121="","",VLOOKUP($C121,Inventory!$A$2:$V$150,9,FALSE))</f>
        <v/>
      </c>
      <c r="L121" s="4" t="n"/>
      <c r="M121" s="4" t="n"/>
      <c r="N121" s="4" t="n"/>
      <c r="O121" s="4" t="n"/>
      <c r="P121" s="4" t="n"/>
      <c r="Q121" s="7">
        <f>IF($K121="","",$K121-$L121+$M121+$N121+$O121)</f>
        <v/>
      </c>
      <c r="R121" s="7">
        <f>IF($Q121="","",$Q121-$P121)</f>
        <v/>
      </c>
      <c r="S121" s="3" t="n"/>
    </row>
    <row r="122">
      <c r="A122" t="inlineStr">
        <is>
          <t>T0121</t>
        </is>
      </c>
      <c r="B122" s="5" t="n"/>
      <c r="C122" s="3" t="n"/>
      <c r="D122">
        <f>IF($C122="","",VLOOKUP($C122,Inventory!$A$2:$V$150,2,FALSE))</f>
        <v/>
      </c>
      <c r="E122">
        <f>IF($C122="","",VLOOKUP($C122,Inventory!$A$2:$V$150,3,FALSE))</f>
        <v/>
      </c>
      <c r="F122" s="3" t="n"/>
      <c r="G122" s="3" t="n"/>
      <c r="H122" s="5" t="n"/>
      <c r="I122" s="5" t="n"/>
      <c r="J122" s="6">
        <f>IF(OR($H122="",$I122=""),"",($I122-$H122)+1)</f>
        <v/>
      </c>
      <c r="K122" s="7">
        <f>IF($C122="","",VLOOKUP($C122,Inventory!$A$2:$V$150,9,FALSE))</f>
        <v/>
      </c>
      <c r="L122" s="4" t="n"/>
      <c r="M122" s="4" t="n"/>
      <c r="N122" s="4" t="n"/>
      <c r="O122" s="4" t="n"/>
      <c r="P122" s="4" t="n"/>
      <c r="Q122" s="7">
        <f>IF($K122="","",$K122-$L122+$M122+$N122+$O122)</f>
        <v/>
      </c>
      <c r="R122" s="7">
        <f>IF($Q122="","",$Q122-$P122)</f>
        <v/>
      </c>
      <c r="S122" s="3" t="n"/>
    </row>
    <row r="123">
      <c r="A123" t="inlineStr">
        <is>
          <t>T0122</t>
        </is>
      </c>
      <c r="B123" s="5" t="n"/>
      <c r="C123" s="3" t="n"/>
      <c r="D123">
        <f>IF($C123="","",VLOOKUP($C123,Inventory!$A$2:$V$150,2,FALSE))</f>
        <v/>
      </c>
      <c r="E123">
        <f>IF($C123="","",VLOOKUP($C123,Inventory!$A$2:$V$150,3,FALSE))</f>
        <v/>
      </c>
      <c r="F123" s="3" t="n"/>
      <c r="G123" s="3" t="n"/>
      <c r="H123" s="5" t="n"/>
      <c r="I123" s="5" t="n"/>
      <c r="J123" s="6">
        <f>IF(OR($H123="",$I123=""),"",($I123-$H123)+1)</f>
        <v/>
      </c>
      <c r="K123" s="7">
        <f>IF($C123="","",VLOOKUP($C123,Inventory!$A$2:$V$150,9,FALSE))</f>
        <v/>
      </c>
      <c r="L123" s="4" t="n"/>
      <c r="M123" s="4" t="n"/>
      <c r="N123" s="4" t="n"/>
      <c r="O123" s="4" t="n"/>
      <c r="P123" s="4" t="n"/>
      <c r="Q123" s="7">
        <f>IF($K123="","",$K123-$L123+$M123+$N123+$O123)</f>
        <v/>
      </c>
      <c r="R123" s="7">
        <f>IF($Q123="","",$Q123-$P123)</f>
        <v/>
      </c>
      <c r="S123" s="3" t="n"/>
    </row>
    <row r="124">
      <c r="A124" t="inlineStr">
        <is>
          <t>T0123</t>
        </is>
      </c>
      <c r="B124" s="5" t="n"/>
      <c r="C124" s="3" t="n"/>
      <c r="D124">
        <f>IF($C124="","",VLOOKUP($C124,Inventory!$A$2:$V$150,2,FALSE))</f>
        <v/>
      </c>
      <c r="E124">
        <f>IF($C124="","",VLOOKUP($C124,Inventory!$A$2:$V$150,3,FALSE))</f>
        <v/>
      </c>
      <c r="F124" s="3" t="n"/>
      <c r="G124" s="3" t="n"/>
      <c r="H124" s="5" t="n"/>
      <c r="I124" s="5" t="n"/>
      <c r="J124" s="6">
        <f>IF(OR($H124="",$I124=""),"",($I124-$H124)+1)</f>
        <v/>
      </c>
      <c r="K124" s="7">
        <f>IF($C124="","",VLOOKUP($C124,Inventory!$A$2:$V$150,9,FALSE))</f>
        <v/>
      </c>
      <c r="L124" s="4" t="n"/>
      <c r="M124" s="4" t="n"/>
      <c r="N124" s="4" t="n"/>
      <c r="O124" s="4" t="n"/>
      <c r="P124" s="4" t="n"/>
      <c r="Q124" s="7">
        <f>IF($K124="","",$K124-$L124+$M124+$N124+$O124)</f>
        <v/>
      </c>
      <c r="R124" s="7">
        <f>IF($Q124="","",$Q124-$P124)</f>
        <v/>
      </c>
      <c r="S124" s="3" t="n"/>
    </row>
    <row r="125">
      <c r="A125" t="inlineStr">
        <is>
          <t>T0124</t>
        </is>
      </c>
      <c r="B125" s="5" t="n"/>
      <c r="C125" s="3" t="n"/>
      <c r="D125">
        <f>IF($C125="","",VLOOKUP($C125,Inventory!$A$2:$V$150,2,FALSE))</f>
        <v/>
      </c>
      <c r="E125">
        <f>IF($C125="","",VLOOKUP($C125,Inventory!$A$2:$V$150,3,FALSE))</f>
        <v/>
      </c>
      <c r="F125" s="3" t="n"/>
      <c r="G125" s="3" t="n"/>
      <c r="H125" s="5" t="n"/>
      <c r="I125" s="5" t="n"/>
      <c r="J125" s="6">
        <f>IF(OR($H125="",$I125=""),"",($I125-$H125)+1)</f>
        <v/>
      </c>
      <c r="K125" s="7">
        <f>IF($C125="","",VLOOKUP($C125,Inventory!$A$2:$V$150,9,FALSE))</f>
        <v/>
      </c>
      <c r="L125" s="4" t="n"/>
      <c r="M125" s="4" t="n"/>
      <c r="N125" s="4" t="n"/>
      <c r="O125" s="4" t="n"/>
      <c r="P125" s="4" t="n"/>
      <c r="Q125" s="7">
        <f>IF($K125="","",$K125-$L125+$M125+$N125+$O125)</f>
        <v/>
      </c>
      <c r="R125" s="7">
        <f>IF($Q125="","",$Q125-$P125)</f>
        <v/>
      </c>
      <c r="S125" s="3" t="n"/>
    </row>
    <row r="126">
      <c r="A126" t="inlineStr">
        <is>
          <t>T0125</t>
        </is>
      </c>
      <c r="B126" s="5" t="n"/>
      <c r="C126" s="3" t="n"/>
      <c r="D126">
        <f>IF($C126="","",VLOOKUP($C126,Inventory!$A$2:$V$150,2,FALSE))</f>
        <v/>
      </c>
      <c r="E126">
        <f>IF($C126="","",VLOOKUP($C126,Inventory!$A$2:$V$150,3,FALSE))</f>
        <v/>
      </c>
      <c r="F126" s="3" t="n"/>
      <c r="G126" s="3" t="n"/>
      <c r="H126" s="5" t="n"/>
      <c r="I126" s="5" t="n"/>
      <c r="J126" s="6">
        <f>IF(OR($H126="",$I126=""),"",($I126-$H126)+1)</f>
        <v/>
      </c>
      <c r="K126" s="7">
        <f>IF($C126="","",VLOOKUP($C126,Inventory!$A$2:$V$150,9,FALSE))</f>
        <v/>
      </c>
      <c r="L126" s="4" t="n"/>
      <c r="M126" s="4" t="n"/>
      <c r="N126" s="4" t="n"/>
      <c r="O126" s="4" t="n"/>
      <c r="P126" s="4" t="n"/>
      <c r="Q126" s="7">
        <f>IF($K126="","",$K126-$L126+$M126+$N126+$O126)</f>
        <v/>
      </c>
      <c r="R126" s="7">
        <f>IF($Q126="","",$Q126-$P126)</f>
        <v/>
      </c>
      <c r="S126" s="3" t="n"/>
    </row>
    <row r="127">
      <c r="A127" t="inlineStr">
        <is>
          <t>T0126</t>
        </is>
      </c>
      <c r="B127" s="5" t="n"/>
      <c r="C127" s="3" t="n"/>
      <c r="D127">
        <f>IF($C127="","",VLOOKUP($C127,Inventory!$A$2:$V$150,2,FALSE))</f>
        <v/>
      </c>
      <c r="E127">
        <f>IF($C127="","",VLOOKUP($C127,Inventory!$A$2:$V$150,3,FALSE))</f>
        <v/>
      </c>
      <c r="F127" s="3" t="n"/>
      <c r="G127" s="3" t="n"/>
      <c r="H127" s="5" t="n"/>
      <c r="I127" s="5" t="n"/>
      <c r="J127" s="6">
        <f>IF(OR($H127="",$I127=""),"",($I127-$H127)+1)</f>
        <v/>
      </c>
      <c r="K127" s="7">
        <f>IF($C127="","",VLOOKUP($C127,Inventory!$A$2:$V$150,9,FALSE))</f>
        <v/>
      </c>
      <c r="L127" s="4" t="n"/>
      <c r="M127" s="4" t="n"/>
      <c r="N127" s="4" t="n"/>
      <c r="O127" s="4" t="n"/>
      <c r="P127" s="4" t="n"/>
      <c r="Q127" s="7">
        <f>IF($K127="","",$K127-$L127+$M127+$N127+$O127)</f>
        <v/>
      </c>
      <c r="R127" s="7">
        <f>IF($Q127="","",$Q127-$P127)</f>
        <v/>
      </c>
      <c r="S127" s="3" t="n"/>
    </row>
    <row r="128">
      <c r="A128" t="inlineStr">
        <is>
          <t>T0127</t>
        </is>
      </c>
      <c r="B128" s="5" t="n"/>
      <c r="C128" s="3" t="n"/>
      <c r="D128">
        <f>IF($C128="","",VLOOKUP($C128,Inventory!$A$2:$V$150,2,FALSE))</f>
        <v/>
      </c>
      <c r="E128">
        <f>IF($C128="","",VLOOKUP($C128,Inventory!$A$2:$V$150,3,FALSE))</f>
        <v/>
      </c>
      <c r="F128" s="3" t="n"/>
      <c r="G128" s="3" t="n"/>
      <c r="H128" s="5" t="n"/>
      <c r="I128" s="5" t="n"/>
      <c r="J128" s="6">
        <f>IF(OR($H128="",$I128=""),"",($I128-$H128)+1)</f>
        <v/>
      </c>
      <c r="K128" s="7">
        <f>IF($C128="","",VLOOKUP($C128,Inventory!$A$2:$V$150,9,FALSE))</f>
        <v/>
      </c>
      <c r="L128" s="4" t="n"/>
      <c r="M128" s="4" t="n"/>
      <c r="N128" s="4" t="n"/>
      <c r="O128" s="4" t="n"/>
      <c r="P128" s="4" t="n"/>
      <c r="Q128" s="7">
        <f>IF($K128="","",$K128-$L128+$M128+$N128+$O128)</f>
        <v/>
      </c>
      <c r="R128" s="7">
        <f>IF($Q128="","",$Q128-$P128)</f>
        <v/>
      </c>
      <c r="S128" s="3" t="n"/>
    </row>
    <row r="129">
      <c r="A129" t="inlineStr">
        <is>
          <t>T0128</t>
        </is>
      </c>
      <c r="B129" s="5" t="n"/>
      <c r="C129" s="3" t="n"/>
      <c r="D129">
        <f>IF($C129="","",VLOOKUP($C129,Inventory!$A$2:$V$150,2,FALSE))</f>
        <v/>
      </c>
      <c r="E129">
        <f>IF($C129="","",VLOOKUP($C129,Inventory!$A$2:$V$150,3,FALSE))</f>
        <v/>
      </c>
      <c r="F129" s="3" t="n"/>
      <c r="G129" s="3" t="n"/>
      <c r="H129" s="5" t="n"/>
      <c r="I129" s="5" t="n"/>
      <c r="J129" s="6">
        <f>IF(OR($H129="",$I129=""),"",($I129-$H129)+1)</f>
        <v/>
      </c>
      <c r="K129" s="7">
        <f>IF($C129="","",VLOOKUP($C129,Inventory!$A$2:$V$150,9,FALSE))</f>
        <v/>
      </c>
      <c r="L129" s="4" t="n"/>
      <c r="M129" s="4" t="n"/>
      <c r="N129" s="4" t="n"/>
      <c r="O129" s="4" t="n"/>
      <c r="P129" s="4" t="n"/>
      <c r="Q129" s="7">
        <f>IF($K129="","",$K129-$L129+$M129+$N129+$O129)</f>
        <v/>
      </c>
      <c r="R129" s="7">
        <f>IF($Q129="","",$Q129-$P129)</f>
        <v/>
      </c>
      <c r="S129" s="3" t="n"/>
    </row>
    <row r="130">
      <c r="A130" t="inlineStr">
        <is>
          <t>T0129</t>
        </is>
      </c>
      <c r="B130" s="5" t="n"/>
      <c r="C130" s="3" t="n"/>
      <c r="D130">
        <f>IF($C130="","",VLOOKUP($C130,Inventory!$A$2:$V$150,2,FALSE))</f>
        <v/>
      </c>
      <c r="E130">
        <f>IF($C130="","",VLOOKUP($C130,Inventory!$A$2:$V$150,3,FALSE))</f>
        <v/>
      </c>
      <c r="F130" s="3" t="n"/>
      <c r="G130" s="3" t="n"/>
      <c r="H130" s="5" t="n"/>
      <c r="I130" s="5" t="n"/>
      <c r="J130" s="6">
        <f>IF(OR($H130="",$I130=""),"",($I130-$H130)+1)</f>
        <v/>
      </c>
      <c r="K130" s="7">
        <f>IF($C130="","",VLOOKUP($C130,Inventory!$A$2:$V$150,9,FALSE))</f>
        <v/>
      </c>
      <c r="L130" s="4" t="n"/>
      <c r="M130" s="4" t="n"/>
      <c r="N130" s="4" t="n"/>
      <c r="O130" s="4" t="n"/>
      <c r="P130" s="4" t="n"/>
      <c r="Q130" s="7">
        <f>IF($K130="","",$K130-$L130+$M130+$N130+$O130)</f>
        <v/>
      </c>
      <c r="R130" s="7">
        <f>IF($Q130="","",$Q130-$P130)</f>
        <v/>
      </c>
      <c r="S130" s="3" t="n"/>
    </row>
    <row r="131">
      <c r="A131" t="inlineStr">
        <is>
          <t>T0130</t>
        </is>
      </c>
      <c r="B131" s="5" t="n"/>
      <c r="C131" s="3" t="n"/>
      <c r="D131">
        <f>IF($C131="","",VLOOKUP($C131,Inventory!$A$2:$V$150,2,FALSE))</f>
        <v/>
      </c>
      <c r="E131">
        <f>IF($C131="","",VLOOKUP($C131,Inventory!$A$2:$V$150,3,FALSE))</f>
        <v/>
      </c>
      <c r="F131" s="3" t="n"/>
      <c r="G131" s="3" t="n"/>
      <c r="H131" s="5" t="n"/>
      <c r="I131" s="5" t="n"/>
      <c r="J131" s="6">
        <f>IF(OR($H131="",$I131=""),"",($I131-$H131)+1)</f>
        <v/>
      </c>
      <c r="K131" s="7">
        <f>IF($C131="","",VLOOKUP($C131,Inventory!$A$2:$V$150,9,FALSE))</f>
        <v/>
      </c>
      <c r="L131" s="4" t="n"/>
      <c r="M131" s="4" t="n"/>
      <c r="N131" s="4" t="n"/>
      <c r="O131" s="4" t="n"/>
      <c r="P131" s="4" t="n"/>
      <c r="Q131" s="7">
        <f>IF($K131="","",$K131-$L131+$M131+$N131+$O131)</f>
        <v/>
      </c>
      <c r="R131" s="7">
        <f>IF($Q131="","",$Q131-$P131)</f>
        <v/>
      </c>
      <c r="S131" s="3" t="n"/>
    </row>
    <row r="132">
      <c r="A132" t="inlineStr">
        <is>
          <t>T0131</t>
        </is>
      </c>
      <c r="B132" s="5" t="n"/>
      <c r="C132" s="3" t="n"/>
      <c r="D132">
        <f>IF($C132="","",VLOOKUP($C132,Inventory!$A$2:$V$150,2,FALSE))</f>
        <v/>
      </c>
      <c r="E132">
        <f>IF($C132="","",VLOOKUP($C132,Inventory!$A$2:$V$150,3,FALSE))</f>
        <v/>
      </c>
      <c r="F132" s="3" t="n"/>
      <c r="G132" s="3" t="n"/>
      <c r="H132" s="5" t="n"/>
      <c r="I132" s="5" t="n"/>
      <c r="J132" s="6">
        <f>IF(OR($H132="",$I132=""),"",($I132-$H132)+1)</f>
        <v/>
      </c>
      <c r="K132" s="7">
        <f>IF($C132="","",VLOOKUP($C132,Inventory!$A$2:$V$150,9,FALSE))</f>
        <v/>
      </c>
      <c r="L132" s="4" t="n"/>
      <c r="M132" s="4" t="n"/>
      <c r="N132" s="4" t="n"/>
      <c r="O132" s="4" t="n"/>
      <c r="P132" s="4" t="n"/>
      <c r="Q132" s="7">
        <f>IF($K132="","",$K132-$L132+$M132+$N132+$O132)</f>
        <v/>
      </c>
      <c r="R132" s="7">
        <f>IF($Q132="","",$Q132-$P132)</f>
        <v/>
      </c>
      <c r="S132" s="3" t="n"/>
    </row>
    <row r="133">
      <c r="A133" t="inlineStr">
        <is>
          <t>T0132</t>
        </is>
      </c>
      <c r="B133" s="5" t="n"/>
      <c r="C133" s="3" t="n"/>
      <c r="D133">
        <f>IF($C133="","",VLOOKUP($C133,Inventory!$A$2:$V$150,2,FALSE))</f>
        <v/>
      </c>
      <c r="E133">
        <f>IF($C133="","",VLOOKUP($C133,Inventory!$A$2:$V$150,3,FALSE))</f>
        <v/>
      </c>
      <c r="F133" s="3" t="n"/>
      <c r="G133" s="3" t="n"/>
      <c r="H133" s="5" t="n"/>
      <c r="I133" s="5" t="n"/>
      <c r="J133" s="6">
        <f>IF(OR($H133="",$I133=""),"",($I133-$H133)+1)</f>
        <v/>
      </c>
      <c r="K133" s="7">
        <f>IF($C133="","",VLOOKUP($C133,Inventory!$A$2:$V$150,9,FALSE))</f>
        <v/>
      </c>
      <c r="L133" s="4" t="n"/>
      <c r="M133" s="4" t="n"/>
      <c r="N133" s="4" t="n"/>
      <c r="O133" s="4" t="n"/>
      <c r="P133" s="4" t="n"/>
      <c r="Q133" s="7">
        <f>IF($K133="","",$K133-$L133+$M133+$N133+$O133)</f>
        <v/>
      </c>
      <c r="R133" s="7">
        <f>IF($Q133="","",$Q133-$P133)</f>
        <v/>
      </c>
      <c r="S133" s="3" t="n"/>
    </row>
    <row r="134">
      <c r="A134" t="inlineStr">
        <is>
          <t>T0133</t>
        </is>
      </c>
      <c r="B134" s="5" t="n"/>
      <c r="C134" s="3" t="n"/>
      <c r="D134">
        <f>IF($C134="","",VLOOKUP($C134,Inventory!$A$2:$V$150,2,FALSE))</f>
        <v/>
      </c>
      <c r="E134">
        <f>IF($C134="","",VLOOKUP($C134,Inventory!$A$2:$V$150,3,FALSE))</f>
        <v/>
      </c>
      <c r="F134" s="3" t="n"/>
      <c r="G134" s="3" t="n"/>
      <c r="H134" s="5" t="n"/>
      <c r="I134" s="5" t="n"/>
      <c r="J134" s="6">
        <f>IF(OR($H134="",$I134=""),"",($I134-$H134)+1)</f>
        <v/>
      </c>
      <c r="K134" s="7">
        <f>IF($C134="","",VLOOKUP($C134,Inventory!$A$2:$V$150,9,FALSE))</f>
        <v/>
      </c>
      <c r="L134" s="4" t="n"/>
      <c r="M134" s="4" t="n"/>
      <c r="N134" s="4" t="n"/>
      <c r="O134" s="4" t="n"/>
      <c r="P134" s="4" t="n"/>
      <c r="Q134" s="7">
        <f>IF($K134="","",$K134-$L134+$M134+$N134+$O134)</f>
        <v/>
      </c>
      <c r="R134" s="7">
        <f>IF($Q134="","",$Q134-$P134)</f>
        <v/>
      </c>
      <c r="S134" s="3" t="n"/>
    </row>
    <row r="135">
      <c r="A135" t="inlineStr">
        <is>
          <t>T0134</t>
        </is>
      </c>
      <c r="B135" s="5" t="n"/>
      <c r="C135" s="3" t="n"/>
      <c r="D135">
        <f>IF($C135="","",VLOOKUP($C135,Inventory!$A$2:$V$150,2,FALSE))</f>
        <v/>
      </c>
      <c r="E135">
        <f>IF($C135="","",VLOOKUP($C135,Inventory!$A$2:$V$150,3,FALSE))</f>
        <v/>
      </c>
      <c r="F135" s="3" t="n"/>
      <c r="G135" s="3" t="n"/>
      <c r="H135" s="5" t="n"/>
      <c r="I135" s="5" t="n"/>
      <c r="J135" s="6">
        <f>IF(OR($H135="",$I135=""),"",($I135-$H135)+1)</f>
        <v/>
      </c>
      <c r="K135" s="7">
        <f>IF($C135="","",VLOOKUP($C135,Inventory!$A$2:$V$150,9,FALSE))</f>
        <v/>
      </c>
      <c r="L135" s="4" t="n"/>
      <c r="M135" s="4" t="n"/>
      <c r="N135" s="4" t="n"/>
      <c r="O135" s="4" t="n"/>
      <c r="P135" s="4" t="n"/>
      <c r="Q135" s="7">
        <f>IF($K135="","",$K135-$L135+$M135+$N135+$O135)</f>
        <v/>
      </c>
      <c r="R135" s="7">
        <f>IF($Q135="","",$Q135-$P135)</f>
        <v/>
      </c>
      <c r="S135" s="3" t="n"/>
    </row>
    <row r="136">
      <c r="A136" t="inlineStr">
        <is>
          <t>T0135</t>
        </is>
      </c>
      <c r="B136" s="5" t="n"/>
      <c r="C136" s="3" t="n"/>
      <c r="D136">
        <f>IF($C136="","",VLOOKUP($C136,Inventory!$A$2:$V$150,2,FALSE))</f>
        <v/>
      </c>
      <c r="E136">
        <f>IF($C136="","",VLOOKUP($C136,Inventory!$A$2:$V$150,3,FALSE))</f>
        <v/>
      </c>
      <c r="F136" s="3" t="n"/>
      <c r="G136" s="3" t="n"/>
      <c r="H136" s="5" t="n"/>
      <c r="I136" s="5" t="n"/>
      <c r="J136" s="6">
        <f>IF(OR($H136="",$I136=""),"",($I136-$H136)+1)</f>
        <v/>
      </c>
      <c r="K136" s="7">
        <f>IF($C136="","",VLOOKUP($C136,Inventory!$A$2:$V$150,9,FALSE))</f>
        <v/>
      </c>
      <c r="L136" s="4" t="n"/>
      <c r="M136" s="4" t="n"/>
      <c r="N136" s="4" t="n"/>
      <c r="O136" s="4" t="n"/>
      <c r="P136" s="4" t="n"/>
      <c r="Q136" s="7">
        <f>IF($K136="","",$K136-$L136+$M136+$N136+$O136)</f>
        <v/>
      </c>
      <c r="R136" s="7">
        <f>IF($Q136="","",$Q136-$P136)</f>
        <v/>
      </c>
      <c r="S136" s="3" t="n"/>
    </row>
    <row r="137">
      <c r="A137" t="inlineStr">
        <is>
          <t>T0136</t>
        </is>
      </c>
      <c r="B137" s="5" t="n"/>
      <c r="C137" s="3" t="n"/>
      <c r="D137">
        <f>IF($C137="","",VLOOKUP($C137,Inventory!$A$2:$V$150,2,FALSE))</f>
        <v/>
      </c>
      <c r="E137">
        <f>IF($C137="","",VLOOKUP($C137,Inventory!$A$2:$V$150,3,FALSE))</f>
        <v/>
      </c>
      <c r="F137" s="3" t="n"/>
      <c r="G137" s="3" t="n"/>
      <c r="H137" s="5" t="n"/>
      <c r="I137" s="5" t="n"/>
      <c r="J137" s="6">
        <f>IF(OR($H137="",$I137=""),"",($I137-$H137)+1)</f>
        <v/>
      </c>
      <c r="K137" s="7">
        <f>IF($C137="","",VLOOKUP($C137,Inventory!$A$2:$V$150,9,FALSE))</f>
        <v/>
      </c>
      <c r="L137" s="4" t="n"/>
      <c r="M137" s="4" t="n"/>
      <c r="N137" s="4" t="n"/>
      <c r="O137" s="4" t="n"/>
      <c r="P137" s="4" t="n"/>
      <c r="Q137" s="7">
        <f>IF($K137="","",$K137-$L137+$M137+$N137+$O137)</f>
        <v/>
      </c>
      <c r="R137" s="7">
        <f>IF($Q137="","",$Q137-$P137)</f>
        <v/>
      </c>
      <c r="S137" s="3" t="n"/>
    </row>
    <row r="138">
      <c r="A138" t="inlineStr">
        <is>
          <t>T0137</t>
        </is>
      </c>
      <c r="B138" s="5" t="n"/>
      <c r="C138" s="3" t="n"/>
      <c r="D138">
        <f>IF($C138="","",VLOOKUP($C138,Inventory!$A$2:$V$150,2,FALSE))</f>
        <v/>
      </c>
      <c r="E138">
        <f>IF($C138="","",VLOOKUP($C138,Inventory!$A$2:$V$150,3,FALSE))</f>
        <v/>
      </c>
      <c r="F138" s="3" t="n"/>
      <c r="G138" s="3" t="n"/>
      <c r="H138" s="5" t="n"/>
      <c r="I138" s="5" t="n"/>
      <c r="J138" s="6">
        <f>IF(OR($H138="",$I138=""),"",($I138-$H138)+1)</f>
        <v/>
      </c>
      <c r="K138" s="7">
        <f>IF($C138="","",VLOOKUP($C138,Inventory!$A$2:$V$150,9,FALSE))</f>
        <v/>
      </c>
      <c r="L138" s="4" t="n"/>
      <c r="M138" s="4" t="n"/>
      <c r="N138" s="4" t="n"/>
      <c r="O138" s="4" t="n"/>
      <c r="P138" s="4" t="n"/>
      <c r="Q138" s="7">
        <f>IF($K138="","",$K138-$L138+$M138+$N138+$O138)</f>
        <v/>
      </c>
      <c r="R138" s="7">
        <f>IF($Q138="","",$Q138-$P138)</f>
        <v/>
      </c>
      <c r="S138" s="3" t="n"/>
    </row>
    <row r="139">
      <c r="A139" t="inlineStr">
        <is>
          <t>T0138</t>
        </is>
      </c>
      <c r="B139" s="5" t="n"/>
      <c r="C139" s="3" t="n"/>
      <c r="D139">
        <f>IF($C139="","",VLOOKUP($C139,Inventory!$A$2:$V$150,2,FALSE))</f>
        <v/>
      </c>
      <c r="E139">
        <f>IF($C139="","",VLOOKUP($C139,Inventory!$A$2:$V$150,3,FALSE))</f>
        <v/>
      </c>
      <c r="F139" s="3" t="n"/>
      <c r="G139" s="3" t="n"/>
      <c r="H139" s="5" t="n"/>
      <c r="I139" s="5" t="n"/>
      <c r="J139" s="6">
        <f>IF(OR($H139="",$I139=""),"",($I139-$H139)+1)</f>
        <v/>
      </c>
      <c r="K139" s="7">
        <f>IF($C139="","",VLOOKUP($C139,Inventory!$A$2:$V$150,9,FALSE))</f>
        <v/>
      </c>
      <c r="L139" s="4" t="n"/>
      <c r="M139" s="4" t="n"/>
      <c r="N139" s="4" t="n"/>
      <c r="O139" s="4" t="n"/>
      <c r="P139" s="4" t="n"/>
      <c r="Q139" s="7">
        <f>IF($K139="","",$K139-$L139+$M139+$N139+$O139)</f>
        <v/>
      </c>
      <c r="R139" s="7">
        <f>IF($Q139="","",$Q139-$P139)</f>
        <v/>
      </c>
      <c r="S139" s="3" t="n"/>
    </row>
    <row r="140">
      <c r="A140" t="inlineStr">
        <is>
          <t>T0139</t>
        </is>
      </c>
      <c r="B140" s="5" t="n"/>
      <c r="C140" s="3" t="n"/>
      <c r="D140">
        <f>IF($C140="","",VLOOKUP($C140,Inventory!$A$2:$V$150,2,FALSE))</f>
        <v/>
      </c>
      <c r="E140">
        <f>IF($C140="","",VLOOKUP($C140,Inventory!$A$2:$V$150,3,FALSE))</f>
        <v/>
      </c>
      <c r="F140" s="3" t="n"/>
      <c r="G140" s="3" t="n"/>
      <c r="H140" s="5" t="n"/>
      <c r="I140" s="5" t="n"/>
      <c r="J140" s="6">
        <f>IF(OR($H140="",$I140=""),"",($I140-$H140)+1)</f>
        <v/>
      </c>
      <c r="K140" s="7">
        <f>IF($C140="","",VLOOKUP($C140,Inventory!$A$2:$V$150,9,FALSE))</f>
        <v/>
      </c>
      <c r="L140" s="4" t="n"/>
      <c r="M140" s="4" t="n"/>
      <c r="N140" s="4" t="n"/>
      <c r="O140" s="4" t="n"/>
      <c r="P140" s="4" t="n"/>
      <c r="Q140" s="7">
        <f>IF($K140="","",$K140-$L140+$M140+$N140+$O140)</f>
        <v/>
      </c>
      <c r="R140" s="7">
        <f>IF($Q140="","",$Q140-$P140)</f>
        <v/>
      </c>
      <c r="S140" s="3" t="n"/>
    </row>
    <row r="141">
      <c r="A141" t="inlineStr">
        <is>
          <t>T0140</t>
        </is>
      </c>
      <c r="B141" s="5" t="n"/>
      <c r="C141" s="3" t="n"/>
      <c r="D141">
        <f>IF($C141="","",VLOOKUP($C141,Inventory!$A$2:$V$150,2,FALSE))</f>
        <v/>
      </c>
      <c r="E141">
        <f>IF($C141="","",VLOOKUP($C141,Inventory!$A$2:$V$150,3,FALSE))</f>
        <v/>
      </c>
      <c r="F141" s="3" t="n"/>
      <c r="G141" s="3" t="n"/>
      <c r="H141" s="5" t="n"/>
      <c r="I141" s="5" t="n"/>
      <c r="J141" s="6">
        <f>IF(OR($H141="",$I141=""),"",($I141-$H141)+1)</f>
        <v/>
      </c>
      <c r="K141" s="7">
        <f>IF($C141="","",VLOOKUP($C141,Inventory!$A$2:$V$150,9,FALSE))</f>
        <v/>
      </c>
      <c r="L141" s="4" t="n"/>
      <c r="M141" s="4" t="n"/>
      <c r="N141" s="4" t="n"/>
      <c r="O141" s="4" t="n"/>
      <c r="P141" s="4" t="n"/>
      <c r="Q141" s="7">
        <f>IF($K141="","",$K141-$L141+$M141+$N141+$O141)</f>
        <v/>
      </c>
      <c r="R141" s="7">
        <f>IF($Q141="","",$Q141-$P141)</f>
        <v/>
      </c>
      <c r="S141" s="3" t="n"/>
    </row>
    <row r="142">
      <c r="A142" t="inlineStr">
        <is>
          <t>T0141</t>
        </is>
      </c>
      <c r="B142" s="5" t="n"/>
      <c r="C142" s="3" t="n"/>
      <c r="D142">
        <f>IF($C142="","",VLOOKUP($C142,Inventory!$A$2:$V$150,2,FALSE))</f>
        <v/>
      </c>
      <c r="E142">
        <f>IF($C142="","",VLOOKUP($C142,Inventory!$A$2:$V$150,3,FALSE))</f>
        <v/>
      </c>
      <c r="F142" s="3" t="n"/>
      <c r="G142" s="3" t="n"/>
      <c r="H142" s="5" t="n"/>
      <c r="I142" s="5" t="n"/>
      <c r="J142" s="6">
        <f>IF(OR($H142="",$I142=""),"",($I142-$H142)+1)</f>
        <v/>
      </c>
      <c r="K142" s="7">
        <f>IF($C142="","",VLOOKUP($C142,Inventory!$A$2:$V$150,9,FALSE))</f>
        <v/>
      </c>
      <c r="L142" s="4" t="n"/>
      <c r="M142" s="4" t="n"/>
      <c r="N142" s="4" t="n"/>
      <c r="O142" s="4" t="n"/>
      <c r="P142" s="4" t="n"/>
      <c r="Q142" s="7">
        <f>IF($K142="","",$K142-$L142+$M142+$N142+$O142)</f>
        <v/>
      </c>
      <c r="R142" s="7">
        <f>IF($Q142="","",$Q142-$P142)</f>
        <v/>
      </c>
      <c r="S142" s="3" t="n"/>
    </row>
    <row r="143">
      <c r="A143" t="inlineStr">
        <is>
          <t>T0142</t>
        </is>
      </c>
      <c r="B143" s="5" t="n"/>
      <c r="C143" s="3" t="n"/>
      <c r="D143">
        <f>IF($C143="","",VLOOKUP($C143,Inventory!$A$2:$V$150,2,FALSE))</f>
        <v/>
      </c>
      <c r="E143">
        <f>IF($C143="","",VLOOKUP($C143,Inventory!$A$2:$V$150,3,FALSE))</f>
        <v/>
      </c>
      <c r="F143" s="3" t="n"/>
      <c r="G143" s="3" t="n"/>
      <c r="H143" s="5" t="n"/>
      <c r="I143" s="5" t="n"/>
      <c r="J143" s="6">
        <f>IF(OR($H143="",$I143=""),"",($I143-$H143)+1)</f>
        <v/>
      </c>
      <c r="K143" s="7">
        <f>IF($C143="","",VLOOKUP($C143,Inventory!$A$2:$V$150,9,FALSE))</f>
        <v/>
      </c>
      <c r="L143" s="4" t="n"/>
      <c r="M143" s="4" t="n"/>
      <c r="N143" s="4" t="n"/>
      <c r="O143" s="4" t="n"/>
      <c r="P143" s="4" t="n"/>
      <c r="Q143" s="7">
        <f>IF($K143="","",$K143-$L143+$M143+$N143+$O143)</f>
        <v/>
      </c>
      <c r="R143" s="7">
        <f>IF($Q143="","",$Q143-$P143)</f>
        <v/>
      </c>
      <c r="S143" s="3" t="n"/>
    </row>
    <row r="144">
      <c r="A144" t="inlineStr">
        <is>
          <t>T0143</t>
        </is>
      </c>
      <c r="B144" s="5" t="n"/>
      <c r="C144" s="3" t="n"/>
      <c r="D144">
        <f>IF($C144="","",VLOOKUP($C144,Inventory!$A$2:$V$150,2,FALSE))</f>
        <v/>
      </c>
      <c r="E144">
        <f>IF($C144="","",VLOOKUP($C144,Inventory!$A$2:$V$150,3,FALSE))</f>
        <v/>
      </c>
      <c r="F144" s="3" t="n"/>
      <c r="G144" s="3" t="n"/>
      <c r="H144" s="5" t="n"/>
      <c r="I144" s="5" t="n"/>
      <c r="J144" s="6">
        <f>IF(OR($H144="",$I144=""),"",($I144-$H144)+1)</f>
        <v/>
      </c>
      <c r="K144" s="7">
        <f>IF($C144="","",VLOOKUP($C144,Inventory!$A$2:$V$150,9,FALSE))</f>
        <v/>
      </c>
      <c r="L144" s="4" t="n"/>
      <c r="M144" s="4" t="n"/>
      <c r="N144" s="4" t="n"/>
      <c r="O144" s="4" t="n"/>
      <c r="P144" s="4" t="n"/>
      <c r="Q144" s="7">
        <f>IF($K144="","",$K144-$L144+$M144+$N144+$O144)</f>
        <v/>
      </c>
      <c r="R144" s="7">
        <f>IF($Q144="","",$Q144-$P144)</f>
        <v/>
      </c>
      <c r="S144" s="3" t="n"/>
    </row>
    <row r="145">
      <c r="A145" t="inlineStr">
        <is>
          <t>T0144</t>
        </is>
      </c>
      <c r="B145" s="5" t="n"/>
      <c r="C145" s="3" t="n"/>
      <c r="D145">
        <f>IF($C145="","",VLOOKUP($C145,Inventory!$A$2:$V$150,2,FALSE))</f>
        <v/>
      </c>
      <c r="E145">
        <f>IF($C145="","",VLOOKUP($C145,Inventory!$A$2:$V$150,3,FALSE))</f>
        <v/>
      </c>
      <c r="F145" s="3" t="n"/>
      <c r="G145" s="3" t="n"/>
      <c r="H145" s="5" t="n"/>
      <c r="I145" s="5" t="n"/>
      <c r="J145" s="6">
        <f>IF(OR($H145="",$I145=""),"",($I145-$H145)+1)</f>
        <v/>
      </c>
      <c r="K145" s="7">
        <f>IF($C145="","",VLOOKUP($C145,Inventory!$A$2:$V$150,9,FALSE))</f>
        <v/>
      </c>
      <c r="L145" s="4" t="n"/>
      <c r="M145" s="4" t="n"/>
      <c r="N145" s="4" t="n"/>
      <c r="O145" s="4" t="n"/>
      <c r="P145" s="4" t="n"/>
      <c r="Q145" s="7">
        <f>IF($K145="","",$K145-$L145+$M145+$N145+$O145)</f>
        <v/>
      </c>
      <c r="R145" s="7">
        <f>IF($Q145="","",$Q145-$P145)</f>
        <v/>
      </c>
      <c r="S145" s="3" t="n"/>
    </row>
    <row r="146">
      <c r="A146" t="inlineStr">
        <is>
          <t>T0145</t>
        </is>
      </c>
      <c r="B146" s="5" t="n"/>
      <c r="C146" s="3" t="n"/>
      <c r="D146">
        <f>IF($C146="","",VLOOKUP($C146,Inventory!$A$2:$V$150,2,FALSE))</f>
        <v/>
      </c>
      <c r="E146">
        <f>IF($C146="","",VLOOKUP($C146,Inventory!$A$2:$V$150,3,FALSE))</f>
        <v/>
      </c>
      <c r="F146" s="3" t="n"/>
      <c r="G146" s="3" t="n"/>
      <c r="H146" s="5" t="n"/>
      <c r="I146" s="5" t="n"/>
      <c r="J146" s="6">
        <f>IF(OR($H146="",$I146=""),"",($I146-$H146)+1)</f>
        <v/>
      </c>
      <c r="K146" s="7">
        <f>IF($C146="","",VLOOKUP($C146,Inventory!$A$2:$V$150,9,FALSE))</f>
        <v/>
      </c>
      <c r="L146" s="4" t="n"/>
      <c r="M146" s="4" t="n"/>
      <c r="N146" s="4" t="n"/>
      <c r="O146" s="4" t="n"/>
      <c r="P146" s="4" t="n"/>
      <c r="Q146" s="7">
        <f>IF($K146="","",$K146-$L146+$M146+$N146+$O146)</f>
        <v/>
      </c>
      <c r="R146" s="7">
        <f>IF($Q146="","",$Q146-$P146)</f>
        <v/>
      </c>
      <c r="S146" s="3" t="n"/>
    </row>
    <row r="147">
      <c r="A147" t="inlineStr">
        <is>
          <t>T0146</t>
        </is>
      </c>
      <c r="B147" s="5" t="n"/>
      <c r="C147" s="3" t="n"/>
      <c r="D147">
        <f>IF($C147="","",VLOOKUP($C147,Inventory!$A$2:$V$150,2,FALSE))</f>
        <v/>
      </c>
      <c r="E147">
        <f>IF($C147="","",VLOOKUP($C147,Inventory!$A$2:$V$150,3,FALSE))</f>
        <v/>
      </c>
      <c r="F147" s="3" t="n"/>
      <c r="G147" s="3" t="n"/>
      <c r="H147" s="5" t="n"/>
      <c r="I147" s="5" t="n"/>
      <c r="J147" s="6">
        <f>IF(OR($H147="",$I147=""),"",($I147-$H147)+1)</f>
        <v/>
      </c>
      <c r="K147" s="7">
        <f>IF($C147="","",VLOOKUP($C147,Inventory!$A$2:$V$150,9,FALSE))</f>
        <v/>
      </c>
      <c r="L147" s="4" t="n"/>
      <c r="M147" s="4" t="n"/>
      <c r="N147" s="4" t="n"/>
      <c r="O147" s="4" t="n"/>
      <c r="P147" s="4" t="n"/>
      <c r="Q147" s="7">
        <f>IF($K147="","",$K147-$L147+$M147+$N147+$O147)</f>
        <v/>
      </c>
      <c r="R147" s="7">
        <f>IF($Q147="","",$Q147-$P147)</f>
        <v/>
      </c>
      <c r="S147" s="3" t="n"/>
    </row>
    <row r="148">
      <c r="A148" t="inlineStr">
        <is>
          <t>T0147</t>
        </is>
      </c>
      <c r="B148" s="5" t="n"/>
      <c r="C148" s="3" t="n"/>
      <c r="D148">
        <f>IF($C148="","",VLOOKUP($C148,Inventory!$A$2:$V$150,2,FALSE))</f>
        <v/>
      </c>
      <c r="E148">
        <f>IF($C148="","",VLOOKUP($C148,Inventory!$A$2:$V$150,3,FALSE))</f>
        <v/>
      </c>
      <c r="F148" s="3" t="n"/>
      <c r="G148" s="3" t="n"/>
      <c r="H148" s="5" t="n"/>
      <c r="I148" s="5" t="n"/>
      <c r="J148" s="6">
        <f>IF(OR($H148="",$I148=""),"",($I148-$H148)+1)</f>
        <v/>
      </c>
      <c r="K148" s="7">
        <f>IF($C148="","",VLOOKUP($C148,Inventory!$A$2:$V$150,9,FALSE))</f>
        <v/>
      </c>
      <c r="L148" s="4" t="n"/>
      <c r="M148" s="4" t="n"/>
      <c r="N148" s="4" t="n"/>
      <c r="O148" s="4" t="n"/>
      <c r="P148" s="4" t="n"/>
      <c r="Q148" s="7">
        <f>IF($K148="","",$K148-$L148+$M148+$N148+$O148)</f>
        <v/>
      </c>
      <c r="R148" s="7">
        <f>IF($Q148="","",$Q148-$P148)</f>
        <v/>
      </c>
      <c r="S148" s="3" t="n"/>
    </row>
    <row r="149">
      <c r="A149" t="inlineStr">
        <is>
          <t>T0148</t>
        </is>
      </c>
      <c r="B149" s="5" t="n"/>
      <c r="C149" s="3" t="n"/>
      <c r="D149">
        <f>IF($C149="","",VLOOKUP($C149,Inventory!$A$2:$V$150,2,FALSE))</f>
        <v/>
      </c>
      <c r="E149">
        <f>IF($C149="","",VLOOKUP($C149,Inventory!$A$2:$V$150,3,FALSE))</f>
        <v/>
      </c>
      <c r="F149" s="3" t="n"/>
      <c r="G149" s="3" t="n"/>
      <c r="H149" s="5" t="n"/>
      <c r="I149" s="5" t="n"/>
      <c r="J149" s="6">
        <f>IF(OR($H149="",$I149=""),"",($I149-$H149)+1)</f>
        <v/>
      </c>
      <c r="K149" s="7">
        <f>IF($C149="","",VLOOKUP($C149,Inventory!$A$2:$V$150,9,FALSE))</f>
        <v/>
      </c>
      <c r="L149" s="4" t="n"/>
      <c r="M149" s="4" t="n"/>
      <c r="N149" s="4" t="n"/>
      <c r="O149" s="4" t="n"/>
      <c r="P149" s="4" t="n"/>
      <c r="Q149" s="7">
        <f>IF($K149="","",$K149-$L149+$M149+$N149+$O149)</f>
        <v/>
      </c>
      <c r="R149" s="7">
        <f>IF($Q149="","",$Q149-$P149)</f>
        <v/>
      </c>
      <c r="S149" s="3" t="n"/>
    </row>
    <row r="150">
      <c r="A150" t="inlineStr">
        <is>
          <t>T0149</t>
        </is>
      </c>
      <c r="B150" s="5" t="n"/>
      <c r="C150" s="3" t="n"/>
      <c r="D150">
        <f>IF($C150="","",VLOOKUP($C150,Inventory!$A$2:$V$150,2,FALSE))</f>
        <v/>
      </c>
      <c r="E150">
        <f>IF($C150="","",VLOOKUP($C150,Inventory!$A$2:$V$150,3,FALSE))</f>
        <v/>
      </c>
      <c r="F150" s="3" t="n"/>
      <c r="G150" s="3" t="n"/>
      <c r="H150" s="5" t="n"/>
      <c r="I150" s="5" t="n"/>
      <c r="J150" s="6">
        <f>IF(OR($H150="",$I150=""),"",($I150-$H150)+1)</f>
        <v/>
      </c>
      <c r="K150" s="7">
        <f>IF($C150="","",VLOOKUP($C150,Inventory!$A$2:$V$150,9,FALSE))</f>
        <v/>
      </c>
      <c r="L150" s="4" t="n"/>
      <c r="M150" s="4" t="n"/>
      <c r="N150" s="4" t="n"/>
      <c r="O150" s="4" t="n"/>
      <c r="P150" s="4" t="n"/>
      <c r="Q150" s="7">
        <f>IF($K150="","",$K150-$L150+$M150+$N150+$O150)</f>
        <v/>
      </c>
      <c r="R150" s="7">
        <f>IF($Q150="","",$Q150-$P150)</f>
        <v/>
      </c>
      <c r="S150" s="3" t="n"/>
    </row>
  </sheetData>
  <autoFilter ref="A1:S1"/>
  <dataValidations count="2">
    <dataValidation sqref="G2:G150" showDropDown="0" showInputMessage="0" showErrorMessage="0" allowBlank="1" type="list">
      <formula1>=Platforms</formula1>
    </dataValidation>
    <dataValidation sqref="C2:C150" showDropDown="0" showInputMessage="0" showErrorMessage="0" allowBlank="1" type="list">
      <formula1>=Inventory!$A$2:$A$150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4" customWidth="1" min="4" max="4"/>
    <col width="28" customWidth="1" min="5" max="5"/>
    <col width="10" customWidth="1" min="6" max="6"/>
    <col width="30" customWidth="1" min="7" max="7"/>
    <col width="16" customWidth="1" min="8" max="8"/>
    <col width="14" customWidth="1" min="9" max="9"/>
    <col width="14" customWidth="1" min="10" max="10"/>
    <col width="12" customWidth="1" min="11" max="11"/>
    <col width="14" customWidth="1" min="12" max="12"/>
    <col width="16" customWidth="1" min="13" max="13"/>
    <col width="16" customWidth="1" min="14" max="14"/>
    <col width="12" customWidth="1" min="15" max="15"/>
    <col width="12" customWidth="1" min="16" max="16"/>
    <col width="16" customWidth="1" min="17" max="17"/>
    <col width="12" customWidth="1" min="18" max="18"/>
    <col width="18" customWidth="1" min="19" max="19"/>
    <col width="14" customWidth="1" min="20" max="20"/>
    <col width="18" customWidth="1" min="21" max="21"/>
    <col width="24" customWidth="1" min="22" max="22"/>
    <col hidden="1" width="13" customWidth="1" min="24" max="24"/>
  </cols>
  <sheetData>
    <row r="1">
      <c r="A1" s="8" t="inlineStr">
        <is>
          <t>Select wardrobe:</t>
        </is>
      </c>
      <c r="B1" t="inlineStr"/>
    </row>
    <row r="3">
      <c r="A3" s="8" t="inlineStr">
        <is>
          <t>Items in selected wardrobe (auto):</t>
        </is>
      </c>
    </row>
    <row r="5">
      <c r="A5" s="1" t="inlineStr">
        <is>
          <t>Item ID</t>
        </is>
      </c>
      <c r="B5" s="1" t="inlineStr">
        <is>
          <t>Wardrobe Name</t>
        </is>
      </c>
      <c r="C5" s="1" t="inlineStr">
        <is>
          <t>Item Name</t>
        </is>
      </c>
      <c r="D5" s="1" t="inlineStr">
        <is>
          <t>Category</t>
        </is>
      </c>
      <c r="E5" s="1" t="inlineStr">
        <is>
          <t>Image URL</t>
        </is>
      </c>
      <c r="F5" s="1" t="inlineStr">
        <is>
          <t>Image</t>
        </is>
      </c>
      <c r="G5" s="1" t="inlineStr">
        <is>
          <t>Item Link</t>
        </is>
      </c>
      <c r="H5" s="1" t="inlineStr">
        <is>
          <t>Cost of Item ($)</t>
        </is>
      </c>
      <c r="I5" s="1" t="inlineStr">
        <is>
          <t>Rental Fee ($)</t>
        </is>
      </c>
      <c r="J5" s="1" t="inlineStr">
        <is>
          <t>Condition</t>
        </is>
      </c>
      <c r="K5" s="1" t="inlineStr">
        <is>
          <t>Size</t>
        </is>
      </c>
      <c r="L5" s="1" t="inlineStr">
        <is>
          <t>Color</t>
        </is>
      </c>
      <c r="M5" s="1" t="inlineStr">
        <is>
          <t>Brand</t>
        </is>
      </c>
      <c r="N5" s="1" t="inlineStr">
        <is>
          <t>Purchase Status</t>
        </is>
      </c>
      <c r="O5" s="1" t="inlineStr">
        <is>
          <t>Status</t>
        </is>
      </c>
      <c r="P5" s="1" t="inlineStr">
        <is>
          <t>Date Added</t>
        </is>
      </c>
      <c r="Q5" s="1" t="inlineStr">
        <is>
          <t>Extra Costs ($)</t>
        </is>
      </c>
      <c r="R5" s="1" t="inlineStr">
        <is>
          <t>Times Rented</t>
        </is>
      </c>
      <c r="S5" s="1" t="inlineStr">
        <is>
          <t>Total Revenue ($)</t>
        </is>
      </c>
      <c r="T5" s="1" t="inlineStr">
        <is>
          <t>Profit ($)</t>
        </is>
      </c>
      <c r="U5" s="1" t="inlineStr">
        <is>
          <t>Break-even Rentals</t>
        </is>
      </c>
      <c r="V5" s="1" t="inlineStr">
        <is>
          <t>Notes</t>
        </is>
      </c>
      <c r="X5" t="inlineStr">
        <is>
          <t>match_row</t>
        </is>
      </c>
    </row>
    <row r="6">
      <c r="A6">
        <f>IF($X6="","",INDEX(Inventory!$A$2:$V$150,$X6,1))</f>
        <v/>
      </c>
      <c r="B6">
        <f>IF($X6="","",INDEX(Inventory!$A$2:$V$150,$X6,2))</f>
        <v/>
      </c>
      <c r="C6">
        <f>IF($X6="","",INDEX(Inventory!$A$2:$V$150,$X6,3))</f>
        <v/>
      </c>
      <c r="D6">
        <f>IF($X6="","",INDEX(Inventory!$A$2:$V$150,$X6,4))</f>
        <v/>
      </c>
      <c r="E6">
        <f>IF($X6="","",INDEX(Inventory!$A$2:$V$150,$X6,5))</f>
        <v/>
      </c>
      <c r="F6">
        <f>IF($X6="","",INDEX(Inventory!$A$2:$V$150,$X6,6))</f>
        <v/>
      </c>
      <c r="G6">
        <f>IF($X6="","",INDEX(Inventory!$A$2:$V$150,$X6,7))</f>
        <v/>
      </c>
      <c r="H6">
        <f>IF($X6="","",INDEX(Inventory!$A$2:$V$150,$X6,8))</f>
        <v/>
      </c>
      <c r="I6">
        <f>IF($X6="","",INDEX(Inventory!$A$2:$V$150,$X6,9))</f>
        <v/>
      </c>
      <c r="J6">
        <f>IF($X6="","",INDEX(Inventory!$A$2:$V$150,$X6,10))</f>
        <v/>
      </c>
      <c r="K6">
        <f>IF($X6="","",INDEX(Inventory!$A$2:$V$150,$X6,11))</f>
        <v/>
      </c>
      <c r="L6">
        <f>IF($X6="","",INDEX(Inventory!$A$2:$V$150,$X6,12))</f>
        <v/>
      </c>
      <c r="M6">
        <f>IF($X6="","",INDEX(Inventory!$A$2:$V$150,$X6,13))</f>
        <v/>
      </c>
      <c r="N6">
        <f>IF($X6="","",INDEX(Inventory!$A$2:$V$150,$X6,14))</f>
        <v/>
      </c>
      <c r="O6">
        <f>IF($X6="","",INDEX(Inventory!$A$2:$V$150,$X6,15))</f>
        <v/>
      </c>
      <c r="P6">
        <f>IF($X6="","",INDEX(Inventory!$A$2:$V$150,$X6,16))</f>
        <v/>
      </c>
      <c r="Q6">
        <f>IF($X6="","",INDEX(Inventory!$A$2:$V$150,$X6,17))</f>
        <v/>
      </c>
      <c r="R6">
        <f>IF($X6="","",INDEX(Inventory!$A$2:$V$150,$X6,18))</f>
        <v/>
      </c>
      <c r="S6">
        <f>IF($X6="","",INDEX(Inventory!$A$2:$V$150,$X6,19))</f>
        <v/>
      </c>
      <c r="T6">
        <f>IF($X6="","",INDEX(Inventory!$A$2:$V$150,$X6,20))</f>
        <v/>
      </c>
      <c r="U6">
        <f>IF($X6="","",INDEX(Inventory!$A$2:$V$150,$X6,21))</f>
        <v/>
      </c>
      <c r="V6">
        <f>IF($X6="","",INDEX(Inventory!$A$2:$V$150,$X6,22))</f>
        <v/>
      </c>
      <c r="X6">
        <f>IF($B$1="","",IFERROR(AGGREGATE(15,6,(ROW(Inventory!$B$2:$B$150)-ROW(Inventory!$B$2)+1)/(Inventory!$B$2:$B$150=$B$1),ROWS($A$6:A6)), ""))</f>
        <v/>
      </c>
    </row>
    <row r="7">
      <c r="A7">
        <f>IF($X7="","",INDEX(Inventory!$A$2:$V$150,$X7,1))</f>
        <v/>
      </c>
      <c r="B7">
        <f>IF($X7="","",INDEX(Inventory!$A$2:$V$150,$X7,2))</f>
        <v/>
      </c>
      <c r="C7">
        <f>IF($X7="","",INDEX(Inventory!$A$2:$V$150,$X7,3))</f>
        <v/>
      </c>
      <c r="D7">
        <f>IF($X7="","",INDEX(Inventory!$A$2:$V$150,$X7,4))</f>
        <v/>
      </c>
      <c r="E7">
        <f>IF($X7="","",INDEX(Inventory!$A$2:$V$150,$X7,5))</f>
        <v/>
      </c>
      <c r="F7">
        <f>IF($X7="","",INDEX(Inventory!$A$2:$V$150,$X7,6))</f>
        <v/>
      </c>
      <c r="G7">
        <f>IF($X7="","",INDEX(Inventory!$A$2:$V$150,$X7,7))</f>
        <v/>
      </c>
      <c r="H7">
        <f>IF($X7="","",INDEX(Inventory!$A$2:$V$150,$X7,8))</f>
        <v/>
      </c>
      <c r="I7">
        <f>IF($X7="","",INDEX(Inventory!$A$2:$V$150,$X7,9))</f>
        <v/>
      </c>
      <c r="J7">
        <f>IF($X7="","",INDEX(Inventory!$A$2:$V$150,$X7,10))</f>
        <v/>
      </c>
      <c r="K7">
        <f>IF($X7="","",INDEX(Inventory!$A$2:$V$150,$X7,11))</f>
        <v/>
      </c>
      <c r="L7">
        <f>IF($X7="","",INDEX(Inventory!$A$2:$V$150,$X7,12))</f>
        <v/>
      </c>
      <c r="M7">
        <f>IF($X7="","",INDEX(Inventory!$A$2:$V$150,$X7,13))</f>
        <v/>
      </c>
      <c r="N7">
        <f>IF($X7="","",INDEX(Inventory!$A$2:$V$150,$X7,14))</f>
        <v/>
      </c>
      <c r="O7">
        <f>IF($X7="","",INDEX(Inventory!$A$2:$V$150,$X7,15))</f>
        <v/>
      </c>
      <c r="P7">
        <f>IF($X7="","",INDEX(Inventory!$A$2:$V$150,$X7,16))</f>
        <v/>
      </c>
      <c r="Q7">
        <f>IF($X7="","",INDEX(Inventory!$A$2:$V$150,$X7,17))</f>
        <v/>
      </c>
      <c r="R7">
        <f>IF($X7="","",INDEX(Inventory!$A$2:$V$150,$X7,18))</f>
        <v/>
      </c>
      <c r="S7">
        <f>IF($X7="","",INDEX(Inventory!$A$2:$V$150,$X7,19))</f>
        <v/>
      </c>
      <c r="T7">
        <f>IF($X7="","",INDEX(Inventory!$A$2:$V$150,$X7,20))</f>
        <v/>
      </c>
      <c r="U7">
        <f>IF($X7="","",INDEX(Inventory!$A$2:$V$150,$X7,21))</f>
        <v/>
      </c>
      <c r="V7">
        <f>IF($X7="","",INDEX(Inventory!$A$2:$V$150,$X7,22))</f>
        <v/>
      </c>
      <c r="X7">
        <f>IF($B$1="","",IFERROR(AGGREGATE(15,6,(ROW(Inventory!$B$2:$B$150)-ROW(Inventory!$B$2)+1)/(Inventory!$B$2:$B$150=$B$1),ROWS($A$6:A7)), ""))</f>
        <v/>
      </c>
    </row>
    <row r="8">
      <c r="A8">
        <f>IF($X8="","",INDEX(Inventory!$A$2:$V$150,$X8,1))</f>
        <v/>
      </c>
      <c r="B8">
        <f>IF($X8="","",INDEX(Inventory!$A$2:$V$150,$X8,2))</f>
        <v/>
      </c>
      <c r="C8">
        <f>IF($X8="","",INDEX(Inventory!$A$2:$V$150,$X8,3))</f>
        <v/>
      </c>
      <c r="D8">
        <f>IF($X8="","",INDEX(Inventory!$A$2:$V$150,$X8,4))</f>
        <v/>
      </c>
      <c r="E8">
        <f>IF($X8="","",INDEX(Inventory!$A$2:$V$150,$X8,5))</f>
        <v/>
      </c>
      <c r="F8">
        <f>IF($X8="","",INDEX(Inventory!$A$2:$V$150,$X8,6))</f>
        <v/>
      </c>
      <c r="G8">
        <f>IF($X8="","",INDEX(Inventory!$A$2:$V$150,$X8,7))</f>
        <v/>
      </c>
      <c r="H8">
        <f>IF($X8="","",INDEX(Inventory!$A$2:$V$150,$X8,8))</f>
        <v/>
      </c>
      <c r="I8">
        <f>IF($X8="","",INDEX(Inventory!$A$2:$V$150,$X8,9))</f>
        <v/>
      </c>
      <c r="J8">
        <f>IF($X8="","",INDEX(Inventory!$A$2:$V$150,$X8,10))</f>
        <v/>
      </c>
      <c r="K8">
        <f>IF($X8="","",INDEX(Inventory!$A$2:$V$150,$X8,11))</f>
        <v/>
      </c>
      <c r="L8">
        <f>IF($X8="","",INDEX(Inventory!$A$2:$V$150,$X8,12))</f>
        <v/>
      </c>
      <c r="M8">
        <f>IF($X8="","",INDEX(Inventory!$A$2:$V$150,$X8,13))</f>
        <v/>
      </c>
      <c r="N8">
        <f>IF($X8="","",INDEX(Inventory!$A$2:$V$150,$X8,14))</f>
        <v/>
      </c>
      <c r="O8">
        <f>IF($X8="","",INDEX(Inventory!$A$2:$V$150,$X8,15))</f>
        <v/>
      </c>
      <c r="P8">
        <f>IF($X8="","",INDEX(Inventory!$A$2:$V$150,$X8,16))</f>
        <v/>
      </c>
      <c r="Q8">
        <f>IF($X8="","",INDEX(Inventory!$A$2:$V$150,$X8,17))</f>
        <v/>
      </c>
      <c r="R8">
        <f>IF($X8="","",INDEX(Inventory!$A$2:$V$150,$X8,18))</f>
        <v/>
      </c>
      <c r="S8">
        <f>IF($X8="","",INDEX(Inventory!$A$2:$V$150,$X8,19))</f>
        <v/>
      </c>
      <c r="T8">
        <f>IF($X8="","",INDEX(Inventory!$A$2:$V$150,$X8,20))</f>
        <v/>
      </c>
      <c r="U8">
        <f>IF($X8="","",INDEX(Inventory!$A$2:$V$150,$X8,21))</f>
        <v/>
      </c>
      <c r="V8">
        <f>IF($X8="","",INDEX(Inventory!$A$2:$V$150,$X8,22))</f>
        <v/>
      </c>
      <c r="X8">
        <f>IF($B$1="","",IFERROR(AGGREGATE(15,6,(ROW(Inventory!$B$2:$B$150)-ROW(Inventory!$B$2)+1)/(Inventory!$B$2:$B$150=$B$1),ROWS($A$6:A8)), ""))</f>
        <v/>
      </c>
    </row>
    <row r="9">
      <c r="A9">
        <f>IF($X9="","",INDEX(Inventory!$A$2:$V$150,$X9,1))</f>
        <v/>
      </c>
      <c r="B9">
        <f>IF($X9="","",INDEX(Inventory!$A$2:$V$150,$X9,2))</f>
        <v/>
      </c>
      <c r="C9">
        <f>IF($X9="","",INDEX(Inventory!$A$2:$V$150,$X9,3))</f>
        <v/>
      </c>
      <c r="D9">
        <f>IF($X9="","",INDEX(Inventory!$A$2:$V$150,$X9,4))</f>
        <v/>
      </c>
      <c r="E9">
        <f>IF($X9="","",INDEX(Inventory!$A$2:$V$150,$X9,5))</f>
        <v/>
      </c>
      <c r="F9">
        <f>IF($X9="","",INDEX(Inventory!$A$2:$V$150,$X9,6))</f>
        <v/>
      </c>
      <c r="G9">
        <f>IF($X9="","",INDEX(Inventory!$A$2:$V$150,$X9,7))</f>
        <v/>
      </c>
      <c r="H9">
        <f>IF($X9="","",INDEX(Inventory!$A$2:$V$150,$X9,8))</f>
        <v/>
      </c>
      <c r="I9">
        <f>IF($X9="","",INDEX(Inventory!$A$2:$V$150,$X9,9))</f>
        <v/>
      </c>
      <c r="J9">
        <f>IF($X9="","",INDEX(Inventory!$A$2:$V$150,$X9,10))</f>
        <v/>
      </c>
      <c r="K9">
        <f>IF($X9="","",INDEX(Inventory!$A$2:$V$150,$X9,11))</f>
        <v/>
      </c>
      <c r="L9">
        <f>IF($X9="","",INDEX(Inventory!$A$2:$V$150,$X9,12))</f>
        <v/>
      </c>
      <c r="M9">
        <f>IF($X9="","",INDEX(Inventory!$A$2:$V$150,$X9,13))</f>
        <v/>
      </c>
      <c r="N9">
        <f>IF($X9="","",INDEX(Inventory!$A$2:$V$150,$X9,14))</f>
        <v/>
      </c>
      <c r="O9">
        <f>IF($X9="","",INDEX(Inventory!$A$2:$V$150,$X9,15))</f>
        <v/>
      </c>
      <c r="P9">
        <f>IF($X9="","",INDEX(Inventory!$A$2:$V$150,$X9,16))</f>
        <v/>
      </c>
      <c r="Q9">
        <f>IF($X9="","",INDEX(Inventory!$A$2:$V$150,$X9,17))</f>
        <v/>
      </c>
      <c r="R9">
        <f>IF($X9="","",INDEX(Inventory!$A$2:$V$150,$X9,18))</f>
        <v/>
      </c>
      <c r="S9">
        <f>IF($X9="","",INDEX(Inventory!$A$2:$V$150,$X9,19))</f>
        <v/>
      </c>
      <c r="T9">
        <f>IF($X9="","",INDEX(Inventory!$A$2:$V$150,$X9,20))</f>
        <v/>
      </c>
      <c r="U9">
        <f>IF($X9="","",INDEX(Inventory!$A$2:$V$150,$X9,21))</f>
        <v/>
      </c>
      <c r="V9">
        <f>IF($X9="","",INDEX(Inventory!$A$2:$V$150,$X9,22))</f>
        <v/>
      </c>
      <c r="X9">
        <f>IF($B$1="","",IFERROR(AGGREGATE(15,6,(ROW(Inventory!$B$2:$B$150)-ROW(Inventory!$B$2)+1)/(Inventory!$B$2:$B$150=$B$1),ROWS($A$6:A9)), ""))</f>
        <v/>
      </c>
    </row>
    <row r="10">
      <c r="A10">
        <f>IF($X10="","",INDEX(Inventory!$A$2:$V$150,$X10,1))</f>
        <v/>
      </c>
      <c r="B10">
        <f>IF($X10="","",INDEX(Inventory!$A$2:$V$150,$X10,2))</f>
        <v/>
      </c>
      <c r="C10">
        <f>IF($X10="","",INDEX(Inventory!$A$2:$V$150,$X10,3))</f>
        <v/>
      </c>
      <c r="D10">
        <f>IF($X10="","",INDEX(Inventory!$A$2:$V$150,$X10,4))</f>
        <v/>
      </c>
      <c r="E10">
        <f>IF($X10="","",INDEX(Inventory!$A$2:$V$150,$X10,5))</f>
        <v/>
      </c>
      <c r="F10">
        <f>IF($X10="","",INDEX(Inventory!$A$2:$V$150,$X10,6))</f>
        <v/>
      </c>
      <c r="G10">
        <f>IF($X10="","",INDEX(Inventory!$A$2:$V$150,$X10,7))</f>
        <v/>
      </c>
      <c r="H10">
        <f>IF($X10="","",INDEX(Inventory!$A$2:$V$150,$X10,8))</f>
        <v/>
      </c>
      <c r="I10">
        <f>IF($X10="","",INDEX(Inventory!$A$2:$V$150,$X10,9))</f>
        <v/>
      </c>
      <c r="J10">
        <f>IF($X10="","",INDEX(Inventory!$A$2:$V$150,$X10,10))</f>
        <v/>
      </c>
      <c r="K10">
        <f>IF($X10="","",INDEX(Inventory!$A$2:$V$150,$X10,11))</f>
        <v/>
      </c>
      <c r="L10">
        <f>IF($X10="","",INDEX(Inventory!$A$2:$V$150,$X10,12))</f>
        <v/>
      </c>
      <c r="M10">
        <f>IF($X10="","",INDEX(Inventory!$A$2:$V$150,$X10,13))</f>
        <v/>
      </c>
      <c r="N10">
        <f>IF($X10="","",INDEX(Inventory!$A$2:$V$150,$X10,14))</f>
        <v/>
      </c>
      <c r="O10">
        <f>IF($X10="","",INDEX(Inventory!$A$2:$V$150,$X10,15))</f>
        <v/>
      </c>
      <c r="P10">
        <f>IF($X10="","",INDEX(Inventory!$A$2:$V$150,$X10,16))</f>
        <v/>
      </c>
      <c r="Q10">
        <f>IF($X10="","",INDEX(Inventory!$A$2:$V$150,$X10,17))</f>
        <v/>
      </c>
      <c r="R10">
        <f>IF($X10="","",INDEX(Inventory!$A$2:$V$150,$X10,18))</f>
        <v/>
      </c>
      <c r="S10">
        <f>IF($X10="","",INDEX(Inventory!$A$2:$V$150,$X10,19))</f>
        <v/>
      </c>
      <c r="T10">
        <f>IF($X10="","",INDEX(Inventory!$A$2:$V$150,$X10,20))</f>
        <v/>
      </c>
      <c r="U10">
        <f>IF($X10="","",INDEX(Inventory!$A$2:$V$150,$X10,21))</f>
        <v/>
      </c>
      <c r="V10">
        <f>IF($X10="","",INDEX(Inventory!$A$2:$V$150,$X10,22))</f>
        <v/>
      </c>
      <c r="X10">
        <f>IF($B$1="","",IFERROR(AGGREGATE(15,6,(ROW(Inventory!$B$2:$B$150)-ROW(Inventory!$B$2)+1)/(Inventory!$B$2:$B$150=$B$1),ROWS($A$6:A10)), ""))</f>
        <v/>
      </c>
    </row>
    <row r="11">
      <c r="A11">
        <f>IF($X11="","",INDEX(Inventory!$A$2:$V$150,$X11,1))</f>
        <v/>
      </c>
      <c r="B11">
        <f>IF($X11="","",INDEX(Inventory!$A$2:$V$150,$X11,2))</f>
        <v/>
      </c>
      <c r="C11">
        <f>IF($X11="","",INDEX(Inventory!$A$2:$V$150,$X11,3))</f>
        <v/>
      </c>
      <c r="D11">
        <f>IF($X11="","",INDEX(Inventory!$A$2:$V$150,$X11,4))</f>
        <v/>
      </c>
      <c r="E11">
        <f>IF($X11="","",INDEX(Inventory!$A$2:$V$150,$X11,5))</f>
        <v/>
      </c>
      <c r="F11">
        <f>IF($X11="","",INDEX(Inventory!$A$2:$V$150,$X11,6))</f>
        <v/>
      </c>
      <c r="G11">
        <f>IF($X11="","",INDEX(Inventory!$A$2:$V$150,$X11,7))</f>
        <v/>
      </c>
      <c r="H11">
        <f>IF($X11="","",INDEX(Inventory!$A$2:$V$150,$X11,8))</f>
        <v/>
      </c>
      <c r="I11">
        <f>IF($X11="","",INDEX(Inventory!$A$2:$V$150,$X11,9))</f>
        <v/>
      </c>
      <c r="J11">
        <f>IF($X11="","",INDEX(Inventory!$A$2:$V$150,$X11,10))</f>
        <v/>
      </c>
      <c r="K11">
        <f>IF($X11="","",INDEX(Inventory!$A$2:$V$150,$X11,11))</f>
        <v/>
      </c>
      <c r="L11">
        <f>IF($X11="","",INDEX(Inventory!$A$2:$V$150,$X11,12))</f>
        <v/>
      </c>
      <c r="M11">
        <f>IF($X11="","",INDEX(Inventory!$A$2:$V$150,$X11,13))</f>
        <v/>
      </c>
      <c r="N11">
        <f>IF($X11="","",INDEX(Inventory!$A$2:$V$150,$X11,14))</f>
        <v/>
      </c>
      <c r="O11">
        <f>IF($X11="","",INDEX(Inventory!$A$2:$V$150,$X11,15))</f>
        <v/>
      </c>
      <c r="P11">
        <f>IF($X11="","",INDEX(Inventory!$A$2:$V$150,$X11,16))</f>
        <v/>
      </c>
      <c r="Q11">
        <f>IF($X11="","",INDEX(Inventory!$A$2:$V$150,$X11,17))</f>
        <v/>
      </c>
      <c r="R11">
        <f>IF($X11="","",INDEX(Inventory!$A$2:$V$150,$X11,18))</f>
        <v/>
      </c>
      <c r="S11">
        <f>IF($X11="","",INDEX(Inventory!$A$2:$V$150,$X11,19))</f>
        <v/>
      </c>
      <c r="T11">
        <f>IF($X11="","",INDEX(Inventory!$A$2:$V$150,$X11,20))</f>
        <v/>
      </c>
      <c r="U11">
        <f>IF($X11="","",INDEX(Inventory!$A$2:$V$150,$X11,21))</f>
        <v/>
      </c>
      <c r="V11">
        <f>IF($X11="","",INDEX(Inventory!$A$2:$V$150,$X11,22))</f>
        <v/>
      </c>
      <c r="X11">
        <f>IF($B$1="","",IFERROR(AGGREGATE(15,6,(ROW(Inventory!$B$2:$B$150)-ROW(Inventory!$B$2)+1)/(Inventory!$B$2:$B$150=$B$1),ROWS($A$6:A11)), ""))</f>
        <v/>
      </c>
    </row>
    <row r="12">
      <c r="A12">
        <f>IF($X12="","",INDEX(Inventory!$A$2:$V$150,$X12,1))</f>
        <v/>
      </c>
      <c r="B12">
        <f>IF($X12="","",INDEX(Inventory!$A$2:$V$150,$X12,2))</f>
        <v/>
      </c>
      <c r="C12">
        <f>IF($X12="","",INDEX(Inventory!$A$2:$V$150,$X12,3))</f>
        <v/>
      </c>
      <c r="D12">
        <f>IF($X12="","",INDEX(Inventory!$A$2:$V$150,$X12,4))</f>
        <v/>
      </c>
      <c r="E12">
        <f>IF($X12="","",INDEX(Inventory!$A$2:$V$150,$X12,5))</f>
        <v/>
      </c>
      <c r="F12">
        <f>IF($X12="","",INDEX(Inventory!$A$2:$V$150,$X12,6))</f>
        <v/>
      </c>
      <c r="G12">
        <f>IF($X12="","",INDEX(Inventory!$A$2:$V$150,$X12,7))</f>
        <v/>
      </c>
      <c r="H12">
        <f>IF($X12="","",INDEX(Inventory!$A$2:$V$150,$X12,8))</f>
        <v/>
      </c>
      <c r="I12">
        <f>IF($X12="","",INDEX(Inventory!$A$2:$V$150,$X12,9))</f>
        <v/>
      </c>
      <c r="J12">
        <f>IF($X12="","",INDEX(Inventory!$A$2:$V$150,$X12,10))</f>
        <v/>
      </c>
      <c r="K12">
        <f>IF($X12="","",INDEX(Inventory!$A$2:$V$150,$X12,11))</f>
        <v/>
      </c>
      <c r="L12">
        <f>IF($X12="","",INDEX(Inventory!$A$2:$V$150,$X12,12))</f>
        <v/>
      </c>
      <c r="M12">
        <f>IF($X12="","",INDEX(Inventory!$A$2:$V$150,$X12,13))</f>
        <v/>
      </c>
      <c r="N12">
        <f>IF($X12="","",INDEX(Inventory!$A$2:$V$150,$X12,14))</f>
        <v/>
      </c>
      <c r="O12">
        <f>IF($X12="","",INDEX(Inventory!$A$2:$V$150,$X12,15))</f>
        <v/>
      </c>
      <c r="P12">
        <f>IF($X12="","",INDEX(Inventory!$A$2:$V$150,$X12,16))</f>
        <v/>
      </c>
      <c r="Q12">
        <f>IF($X12="","",INDEX(Inventory!$A$2:$V$150,$X12,17))</f>
        <v/>
      </c>
      <c r="R12">
        <f>IF($X12="","",INDEX(Inventory!$A$2:$V$150,$X12,18))</f>
        <v/>
      </c>
      <c r="S12">
        <f>IF($X12="","",INDEX(Inventory!$A$2:$V$150,$X12,19))</f>
        <v/>
      </c>
      <c r="T12">
        <f>IF($X12="","",INDEX(Inventory!$A$2:$V$150,$X12,20))</f>
        <v/>
      </c>
      <c r="U12">
        <f>IF($X12="","",INDEX(Inventory!$A$2:$V$150,$X12,21))</f>
        <v/>
      </c>
      <c r="V12">
        <f>IF($X12="","",INDEX(Inventory!$A$2:$V$150,$X12,22))</f>
        <v/>
      </c>
      <c r="X12">
        <f>IF($B$1="","",IFERROR(AGGREGATE(15,6,(ROW(Inventory!$B$2:$B$150)-ROW(Inventory!$B$2)+1)/(Inventory!$B$2:$B$150=$B$1),ROWS($A$6:A12)), ""))</f>
        <v/>
      </c>
    </row>
    <row r="13">
      <c r="A13">
        <f>IF($X13="","",INDEX(Inventory!$A$2:$V$150,$X13,1))</f>
        <v/>
      </c>
      <c r="B13">
        <f>IF($X13="","",INDEX(Inventory!$A$2:$V$150,$X13,2))</f>
        <v/>
      </c>
      <c r="C13">
        <f>IF($X13="","",INDEX(Inventory!$A$2:$V$150,$X13,3))</f>
        <v/>
      </c>
      <c r="D13">
        <f>IF($X13="","",INDEX(Inventory!$A$2:$V$150,$X13,4))</f>
        <v/>
      </c>
      <c r="E13">
        <f>IF($X13="","",INDEX(Inventory!$A$2:$V$150,$X13,5))</f>
        <v/>
      </c>
      <c r="F13">
        <f>IF($X13="","",INDEX(Inventory!$A$2:$V$150,$X13,6))</f>
        <v/>
      </c>
      <c r="G13">
        <f>IF($X13="","",INDEX(Inventory!$A$2:$V$150,$X13,7))</f>
        <v/>
      </c>
      <c r="H13">
        <f>IF($X13="","",INDEX(Inventory!$A$2:$V$150,$X13,8))</f>
        <v/>
      </c>
      <c r="I13">
        <f>IF($X13="","",INDEX(Inventory!$A$2:$V$150,$X13,9))</f>
        <v/>
      </c>
      <c r="J13">
        <f>IF($X13="","",INDEX(Inventory!$A$2:$V$150,$X13,10))</f>
        <v/>
      </c>
      <c r="K13">
        <f>IF($X13="","",INDEX(Inventory!$A$2:$V$150,$X13,11))</f>
        <v/>
      </c>
      <c r="L13">
        <f>IF($X13="","",INDEX(Inventory!$A$2:$V$150,$X13,12))</f>
        <v/>
      </c>
      <c r="M13">
        <f>IF($X13="","",INDEX(Inventory!$A$2:$V$150,$X13,13))</f>
        <v/>
      </c>
      <c r="N13">
        <f>IF($X13="","",INDEX(Inventory!$A$2:$V$150,$X13,14))</f>
        <v/>
      </c>
      <c r="O13">
        <f>IF($X13="","",INDEX(Inventory!$A$2:$V$150,$X13,15))</f>
        <v/>
      </c>
      <c r="P13">
        <f>IF($X13="","",INDEX(Inventory!$A$2:$V$150,$X13,16))</f>
        <v/>
      </c>
      <c r="Q13">
        <f>IF($X13="","",INDEX(Inventory!$A$2:$V$150,$X13,17))</f>
        <v/>
      </c>
      <c r="R13">
        <f>IF($X13="","",INDEX(Inventory!$A$2:$V$150,$X13,18))</f>
        <v/>
      </c>
      <c r="S13">
        <f>IF($X13="","",INDEX(Inventory!$A$2:$V$150,$X13,19))</f>
        <v/>
      </c>
      <c r="T13">
        <f>IF($X13="","",INDEX(Inventory!$A$2:$V$150,$X13,20))</f>
        <v/>
      </c>
      <c r="U13">
        <f>IF($X13="","",INDEX(Inventory!$A$2:$V$150,$X13,21))</f>
        <v/>
      </c>
      <c r="V13">
        <f>IF($X13="","",INDEX(Inventory!$A$2:$V$150,$X13,22))</f>
        <v/>
      </c>
      <c r="X13">
        <f>IF($B$1="","",IFERROR(AGGREGATE(15,6,(ROW(Inventory!$B$2:$B$150)-ROW(Inventory!$B$2)+1)/(Inventory!$B$2:$B$150=$B$1),ROWS($A$6:A13)), ""))</f>
        <v/>
      </c>
    </row>
    <row r="14">
      <c r="A14">
        <f>IF($X14="","",INDEX(Inventory!$A$2:$V$150,$X14,1))</f>
        <v/>
      </c>
      <c r="B14">
        <f>IF($X14="","",INDEX(Inventory!$A$2:$V$150,$X14,2))</f>
        <v/>
      </c>
      <c r="C14">
        <f>IF($X14="","",INDEX(Inventory!$A$2:$V$150,$X14,3))</f>
        <v/>
      </c>
      <c r="D14">
        <f>IF($X14="","",INDEX(Inventory!$A$2:$V$150,$X14,4))</f>
        <v/>
      </c>
      <c r="E14">
        <f>IF($X14="","",INDEX(Inventory!$A$2:$V$150,$X14,5))</f>
        <v/>
      </c>
      <c r="F14">
        <f>IF($X14="","",INDEX(Inventory!$A$2:$V$150,$X14,6))</f>
        <v/>
      </c>
      <c r="G14">
        <f>IF($X14="","",INDEX(Inventory!$A$2:$V$150,$X14,7))</f>
        <v/>
      </c>
      <c r="H14">
        <f>IF($X14="","",INDEX(Inventory!$A$2:$V$150,$X14,8))</f>
        <v/>
      </c>
      <c r="I14">
        <f>IF($X14="","",INDEX(Inventory!$A$2:$V$150,$X14,9))</f>
        <v/>
      </c>
      <c r="J14">
        <f>IF($X14="","",INDEX(Inventory!$A$2:$V$150,$X14,10))</f>
        <v/>
      </c>
      <c r="K14">
        <f>IF($X14="","",INDEX(Inventory!$A$2:$V$150,$X14,11))</f>
        <v/>
      </c>
      <c r="L14">
        <f>IF($X14="","",INDEX(Inventory!$A$2:$V$150,$X14,12))</f>
        <v/>
      </c>
      <c r="M14">
        <f>IF($X14="","",INDEX(Inventory!$A$2:$V$150,$X14,13))</f>
        <v/>
      </c>
      <c r="N14">
        <f>IF($X14="","",INDEX(Inventory!$A$2:$V$150,$X14,14))</f>
        <v/>
      </c>
      <c r="O14">
        <f>IF($X14="","",INDEX(Inventory!$A$2:$V$150,$X14,15))</f>
        <v/>
      </c>
      <c r="P14">
        <f>IF($X14="","",INDEX(Inventory!$A$2:$V$150,$X14,16))</f>
        <v/>
      </c>
      <c r="Q14">
        <f>IF($X14="","",INDEX(Inventory!$A$2:$V$150,$X14,17))</f>
        <v/>
      </c>
      <c r="R14">
        <f>IF($X14="","",INDEX(Inventory!$A$2:$V$150,$X14,18))</f>
        <v/>
      </c>
      <c r="S14">
        <f>IF($X14="","",INDEX(Inventory!$A$2:$V$150,$X14,19))</f>
        <v/>
      </c>
      <c r="T14">
        <f>IF($X14="","",INDEX(Inventory!$A$2:$V$150,$X14,20))</f>
        <v/>
      </c>
      <c r="U14">
        <f>IF($X14="","",INDEX(Inventory!$A$2:$V$150,$X14,21))</f>
        <v/>
      </c>
      <c r="V14">
        <f>IF($X14="","",INDEX(Inventory!$A$2:$V$150,$X14,22))</f>
        <v/>
      </c>
      <c r="X14">
        <f>IF($B$1="","",IFERROR(AGGREGATE(15,6,(ROW(Inventory!$B$2:$B$150)-ROW(Inventory!$B$2)+1)/(Inventory!$B$2:$B$150=$B$1),ROWS($A$6:A14)), ""))</f>
        <v/>
      </c>
    </row>
    <row r="15">
      <c r="A15">
        <f>IF($X15="","",INDEX(Inventory!$A$2:$V$150,$X15,1))</f>
        <v/>
      </c>
      <c r="B15">
        <f>IF($X15="","",INDEX(Inventory!$A$2:$V$150,$X15,2))</f>
        <v/>
      </c>
      <c r="C15">
        <f>IF($X15="","",INDEX(Inventory!$A$2:$V$150,$X15,3))</f>
        <v/>
      </c>
      <c r="D15">
        <f>IF($X15="","",INDEX(Inventory!$A$2:$V$150,$X15,4))</f>
        <v/>
      </c>
      <c r="E15">
        <f>IF($X15="","",INDEX(Inventory!$A$2:$V$150,$X15,5))</f>
        <v/>
      </c>
      <c r="F15">
        <f>IF($X15="","",INDEX(Inventory!$A$2:$V$150,$X15,6))</f>
        <v/>
      </c>
      <c r="G15">
        <f>IF($X15="","",INDEX(Inventory!$A$2:$V$150,$X15,7))</f>
        <v/>
      </c>
      <c r="H15">
        <f>IF($X15="","",INDEX(Inventory!$A$2:$V$150,$X15,8))</f>
        <v/>
      </c>
      <c r="I15">
        <f>IF($X15="","",INDEX(Inventory!$A$2:$V$150,$X15,9))</f>
        <v/>
      </c>
      <c r="J15">
        <f>IF($X15="","",INDEX(Inventory!$A$2:$V$150,$X15,10))</f>
        <v/>
      </c>
      <c r="K15">
        <f>IF($X15="","",INDEX(Inventory!$A$2:$V$150,$X15,11))</f>
        <v/>
      </c>
      <c r="L15">
        <f>IF($X15="","",INDEX(Inventory!$A$2:$V$150,$X15,12))</f>
        <v/>
      </c>
      <c r="M15">
        <f>IF($X15="","",INDEX(Inventory!$A$2:$V$150,$X15,13))</f>
        <v/>
      </c>
      <c r="N15">
        <f>IF($X15="","",INDEX(Inventory!$A$2:$V$150,$X15,14))</f>
        <v/>
      </c>
      <c r="O15">
        <f>IF($X15="","",INDEX(Inventory!$A$2:$V$150,$X15,15))</f>
        <v/>
      </c>
      <c r="P15">
        <f>IF($X15="","",INDEX(Inventory!$A$2:$V$150,$X15,16))</f>
        <v/>
      </c>
      <c r="Q15">
        <f>IF($X15="","",INDEX(Inventory!$A$2:$V$150,$X15,17))</f>
        <v/>
      </c>
      <c r="R15">
        <f>IF($X15="","",INDEX(Inventory!$A$2:$V$150,$X15,18))</f>
        <v/>
      </c>
      <c r="S15">
        <f>IF($X15="","",INDEX(Inventory!$A$2:$V$150,$X15,19))</f>
        <v/>
      </c>
      <c r="T15">
        <f>IF($X15="","",INDEX(Inventory!$A$2:$V$150,$X15,20))</f>
        <v/>
      </c>
      <c r="U15">
        <f>IF($X15="","",INDEX(Inventory!$A$2:$V$150,$X15,21))</f>
        <v/>
      </c>
      <c r="V15">
        <f>IF($X15="","",INDEX(Inventory!$A$2:$V$150,$X15,22))</f>
        <v/>
      </c>
      <c r="X15">
        <f>IF($B$1="","",IFERROR(AGGREGATE(15,6,(ROW(Inventory!$B$2:$B$150)-ROW(Inventory!$B$2)+1)/(Inventory!$B$2:$B$150=$B$1),ROWS($A$6:A15)), ""))</f>
        <v/>
      </c>
    </row>
    <row r="16">
      <c r="A16">
        <f>IF($X16="","",INDEX(Inventory!$A$2:$V$150,$X16,1))</f>
        <v/>
      </c>
      <c r="B16">
        <f>IF($X16="","",INDEX(Inventory!$A$2:$V$150,$X16,2))</f>
        <v/>
      </c>
      <c r="C16">
        <f>IF($X16="","",INDEX(Inventory!$A$2:$V$150,$X16,3))</f>
        <v/>
      </c>
      <c r="D16">
        <f>IF($X16="","",INDEX(Inventory!$A$2:$V$150,$X16,4))</f>
        <v/>
      </c>
      <c r="E16">
        <f>IF($X16="","",INDEX(Inventory!$A$2:$V$150,$X16,5))</f>
        <v/>
      </c>
      <c r="F16">
        <f>IF($X16="","",INDEX(Inventory!$A$2:$V$150,$X16,6))</f>
        <v/>
      </c>
      <c r="G16">
        <f>IF($X16="","",INDEX(Inventory!$A$2:$V$150,$X16,7))</f>
        <v/>
      </c>
      <c r="H16">
        <f>IF($X16="","",INDEX(Inventory!$A$2:$V$150,$X16,8))</f>
        <v/>
      </c>
      <c r="I16">
        <f>IF($X16="","",INDEX(Inventory!$A$2:$V$150,$X16,9))</f>
        <v/>
      </c>
      <c r="J16">
        <f>IF($X16="","",INDEX(Inventory!$A$2:$V$150,$X16,10))</f>
        <v/>
      </c>
      <c r="K16">
        <f>IF($X16="","",INDEX(Inventory!$A$2:$V$150,$X16,11))</f>
        <v/>
      </c>
      <c r="L16">
        <f>IF($X16="","",INDEX(Inventory!$A$2:$V$150,$X16,12))</f>
        <v/>
      </c>
      <c r="M16">
        <f>IF($X16="","",INDEX(Inventory!$A$2:$V$150,$X16,13))</f>
        <v/>
      </c>
      <c r="N16">
        <f>IF($X16="","",INDEX(Inventory!$A$2:$V$150,$X16,14))</f>
        <v/>
      </c>
      <c r="O16">
        <f>IF($X16="","",INDEX(Inventory!$A$2:$V$150,$X16,15))</f>
        <v/>
      </c>
      <c r="P16">
        <f>IF($X16="","",INDEX(Inventory!$A$2:$V$150,$X16,16))</f>
        <v/>
      </c>
      <c r="Q16">
        <f>IF($X16="","",INDEX(Inventory!$A$2:$V$150,$X16,17))</f>
        <v/>
      </c>
      <c r="R16">
        <f>IF($X16="","",INDEX(Inventory!$A$2:$V$150,$X16,18))</f>
        <v/>
      </c>
      <c r="S16">
        <f>IF($X16="","",INDEX(Inventory!$A$2:$V$150,$X16,19))</f>
        <v/>
      </c>
      <c r="T16">
        <f>IF($X16="","",INDEX(Inventory!$A$2:$V$150,$X16,20))</f>
        <v/>
      </c>
      <c r="U16">
        <f>IF($X16="","",INDEX(Inventory!$A$2:$V$150,$X16,21))</f>
        <v/>
      </c>
      <c r="V16">
        <f>IF($X16="","",INDEX(Inventory!$A$2:$V$150,$X16,22))</f>
        <v/>
      </c>
      <c r="X16">
        <f>IF($B$1="","",IFERROR(AGGREGATE(15,6,(ROW(Inventory!$B$2:$B$150)-ROW(Inventory!$B$2)+1)/(Inventory!$B$2:$B$150=$B$1),ROWS($A$6:A16)), ""))</f>
        <v/>
      </c>
    </row>
    <row r="17">
      <c r="A17">
        <f>IF($X17="","",INDEX(Inventory!$A$2:$V$150,$X17,1))</f>
        <v/>
      </c>
      <c r="B17">
        <f>IF($X17="","",INDEX(Inventory!$A$2:$V$150,$X17,2))</f>
        <v/>
      </c>
      <c r="C17">
        <f>IF($X17="","",INDEX(Inventory!$A$2:$V$150,$X17,3))</f>
        <v/>
      </c>
      <c r="D17">
        <f>IF($X17="","",INDEX(Inventory!$A$2:$V$150,$X17,4))</f>
        <v/>
      </c>
      <c r="E17">
        <f>IF($X17="","",INDEX(Inventory!$A$2:$V$150,$X17,5))</f>
        <v/>
      </c>
      <c r="F17">
        <f>IF($X17="","",INDEX(Inventory!$A$2:$V$150,$X17,6))</f>
        <v/>
      </c>
      <c r="G17">
        <f>IF($X17="","",INDEX(Inventory!$A$2:$V$150,$X17,7))</f>
        <v/>
      </c>
      <c r="H17">
        <f>IF($X17="","",INDEX(Inventory!$A$2:$V$150,$X17,8))</f>
        <v/>
      </c>
      <c r="I17">
        <f>IF($X17="","",INDEX(Inventory!$A$2:$V$150,$X17,9))</f>
        <v/>
      </c>
      <c r="J17">
        <f>IF($X17="","",INDEX(Inventory!$A$2:$V$150,$X17,10))</f>
        <v/>
      </c>
      <c r="K17">
        <f>IF($X17="","",INDEX(Inventory!$A$2:$V$150,$X17,11))</f>
        <v/>
      </c>
      <c r="L17">
        <f>IF($X17="","",INDEX(Inventory!$A$2:$V$150,$X17,12))</f>
        <v/>
      </c>
      <c r="M17">
        <f>IF($X17="","",INDEX(Inventory!$A$2:$V$150,$X17,13))</f>
        <v/>
      </c>
      <c r="N17">
        <f>IF($X17="","",INDEX(Inventory!$A$2:$V$150,$X17,14))</f>
        <v/>
      </c>
      <c r="O17">
        <f>IF($X17="","",INDEX(Inventory!$A$2:$V$150,$X17,15))</f>
        <v/>
      </c>
      <c r="P17">
        <f>IF($X17="","",INDEX(Inventory!$A$2:$V$150,$X17,16))</f>
        <v/>
      </c>
      <c r="Q17">
        <f>IF($X17="","",INDEX(Inventory!$A$2:$V$150,$X17,17))</f>
        <v/>
      </c>
      <c r="R17">
        <f>IF($X17="","",INDEX(Inventory!$A$2:$V$150,$X17,18))</f>
        <v/>
      </c>
      <c r="S17">
        <f>IF($X17="","",INDEX(Inventory!$A$2:$V$150,$X17,19))</f>
        <v/>
      </c>
      <c r="T17">
        <f>IF($X17="","",INDEX(Inventory!$A$2:$V$150,$X17,20))</f>
        <v/>
      </c>
      <c r="U17">
        <f>IF($X17="","",INDEX(Inventory!$A$2:$V$150,$X17,21))</f>
        <v/>
      </c>
      <c r="V17">
        <f>IF($X17="","",INDEX(Inventory!$A$2:$V$150,$X17,22))</f>
        <v/>
      </c>
      <c r="X17">
        <f>IF($B$1="","",IFERROR(AGGREGATE(15,6,(ROW(Inventory!$B$2:$B$150)-ROW(Inventory!$B$2)+1)/(Inventory!$B$2:$B$150=$B$1),ROWS($A$6:A17)), ""))</f>
        <v/>
      </c>
    </row>
    <row r="18">
      <c r="A18">
        <f>IF($X18="","",INDEX(Inventory!$A$2:$V$150,$X18,1))</f>
        <v/>
      </c>
      <c r="B18">
        <f>IF($X18="","",INDEX(Inventory!$A$2:$V$150,$X18,2))</f>
        <v/>
      </c>
      <c r="C18">
        <f>IF($X18="","",INDEX(Inventory!$A$2:$V$150,$X18,3))</f>
        <v/>
      </c>
      <c r="D18">
        <f>IF($X18="","",INDEX(Inventory!$A$2:$V$150,$X18,4))</f>
        <v/>
      </c>
      <c r="E18">
        <f>IF($X18="","",INDEX(Inventory!$A$2:$V$150,$X18,5))</f>
        <v/>
      </c>
      <c r="F18">
        <f>IF($X18="","",INDEX(Inventory!$A$2:$V$150,$X18,6))</f>
        <v/>
      </c>
      <c r="G18">
        <f>IF($X18="","",INDEX(Inventory!$A$2:$V$150,$X18,7))</f>
        <v/>
      </c>
      <c r="H18">
        <f>IF($X18="","",INDEX(Inventory!$A$2:$V$150,$X18,8))</f>
        <v/>
      </c>
      <c r="I18">
        <f>IF($X18="","",INDEX(Inventory!$A$2:$V$150,$X18,9))</f>
        <v/>
      </c>
      <c r="J18">
        <f>IF($X18="","",INDEX(Inventory!$A$2:$V$150,$X18,10))</f>
        <v/>
      </c>
      <c r="K18">
        <f>IF($X18="","",INDEX(Inventory!$A$2:$V$150,$X18,11))</f>
        <v/>
      </c>
      <c r="L18">
        <f>IF($X18="","",INDEX(Inventory!$A$2:$V$150,$X18,12))</f>
        <v/>
      </c>
      <c r="M18">
        <f>IF($X18="","",INDEX(Inventory!$A$2:$V$150,$X18,13))</f>
        <v/>
      </c>
      <c r="N18">
        <f>IF($X18="","",INDEX(Inventory!$A$2:$V$150,$X18,14))</f>
        <v/>
      </c>
      <c r="O18">
        <f>IF($X18="","",INDEX(Inventory!$A$2:$V$150,$X18,15))</f>
        <v/>
      </c>
      <c r="P18">
        <f>IF($X18="","",INDEX(Inventory!$A$2:$V$150,$X18,16))</f>
        <v/>
      </c>
      <c r="Q18">
        <f>IF($X18="","",INDEX(Inventory!$A$2:$V$150,$X18,17))</f>
        <v/>
      </c>
      <c r="R18">
        <f>IF($X18="","",INDEX(Inventory!$A$2:$V$150,$X18,18))</f>
        <v/>
      </c>
      <c r="S18">
        <f>IF($X18="","",INDEX(Inventory!$A$2:$V$150,$X18,19))</f>
        <v/>
      </c>
      <c r="T18">
        <f>IF($X18="","",INDEX(Inventory!$A$2:$V$150,$X18,20))</f>
        <v/>
      </c>
      <c r="U18">
        <f>IF($X18="","",INDEX(Inventory!$A$2:$V$150,$X18,21))</f>
        <v/>
      </c>
      <c r="V18">
        <f>IF($X18="","",INDEX(Inventory!$A$2:$V$150,$X18,22))</f>
        <v/>
      </c>
      <c r="X18">
        <f>IF($B$1="","",IFERROR(AGGREGATE(15,6,(ROW(Inventory!$B$2:$B$150)-ROW(Inventory!$B$2)+1)/(Inventory!$B$2:$B$150=$B$1),ROWS($A$6:A18)), ""))</f>
        <v/>
      </c>
    </row>
    <row r="19">
      <c r="A19">
        <f>IF($X19="","",INDEX(Inventory!$A$2:$V$150,$X19,1))</f>
        <v/>
      </c>
      <c r="B19">
        <f>IF($X19="","",INDEX(Inventory!$A$2:$V$150,$X19,2))</f>
        <v/>
      </c>
      <c r="C19">
        <f>IF($X19="","",INDEX(Inventory!$A$2:$V$150,$X19,3))</f>
        <v/>
      </c>
      <c r="D19">
        <f>IF($X19="","",INDEX(Inventory!$A$2:$V$150,$X19,4))</f>
        <v/>
      </c>
      <c r="E19">
        <f>IF($X19="","",INDEX(Inventory!$A$2:$V$150,$X19,5))</f>
        <v/>
      </c>
      <c r="F19">
        <f>IF($X19="","",INDEX(Inventory!$A$2:$V$150,$X19,6))</f>
        <v/>
      </c>
      <c r="G19">
        <f>IF($X19="","",INDEX(Inventory!$A$2:$V$150,$X19,7))</f>
        <v/>
      </c>
      <c r="H19">
        <f>IF($X19="","",INDEX(Inventory!$A$2:$V$150,$X19,8))</f>
        <v/>
      </c>
      <c r="I19">
        <f>IF($X19="","",INDEX(Inventory!$A$2:$V$150,$X19,9))</f>
        <v/>
      </c>
      <c r="J19">
        <f>IF($X19="","",INDEX(Inventory!$A$2:$V$150,$X19,10))</f>
        <v/>
      </c>
      <c r="K19">
        <f>IF($X19="","",INDEX(Inventory!$A$2:$V$150,$X19,11))</f>
        <v/>
      </c>
      <c r="L19">
        <f>IF($X19="","",INDEX(Inventory!$A$2:$V$150,$X19,12))</f>
        <v/>
      </c>
      <c r="M19">
        <f>IF($X19="","",INDEX(Inventory!$A$2:$V$150,$X19,13))</f>
        <v/>
      </c>
      <c r="N19">
        <f>IF($X19="","",INDEX(Inventory!$A$2:$V$150,$X19,14))</f>
        <v/>
      </c>
      <c r="O19">
        <f>IF($X19="","",INDEX(Inventory!$A$2:$V$150,$X19,15))</f>
        <v/>
      </c>
      <c r="P19">
        <f>IF($X19="","",INDEX(Inventory!$A$2:$V$150,$X19,16))</f>
        <v/>
      </c>
      <c r="Q19">
        <f>IF($X19="","",INDEX(Inventory!$A$2:$V$150,$X19,17))</f>
        <v/>
      </c>
      <c r="R19">
        <f>IF($X19="","",INDEX(Inventory!$A$2:$V$150,$X19,18))</f>
        <v/>
      </c>
      <c r="S19">
        <f>IF($X19="","",INDEX(Inventory!$A$2:$V$150,$X19,19))</f>
        <v/>
      </c>
      <c r="T19">
        <f>IF($X19="","",INDEX(Inventory!$A$2:$V$150,$X19,20))</f>
        <v/>
      </c>
      <c r="U19">
        <f>IF($X19="","",INDEX(Inventory!$A$2:$V$150,$X19,21))</f>
        <v/>
      </c>
      <c r="V19">
        <f>IF($X19="","",INDEX(Inventory!$A$2:$V$150,$X19,22))</f>
        <v/>
      </c>
      <c r="X19">
        <f>IF($B$1="","",IFERROR(AGGREGATE(15,6,(ROW(Inventory!$B$2:$B$150)-ROW(Inventory!$B$2)+1)/(Inventory!$B$2:$B$150=$B$1),ROWS($A$6:A19)), ""))</f>
        <v/>
      </c>
    </row>
    <row r="20">
      <c r="A20">
        <f>IF($X20="","",INDEX(Inventory!$A$2:$V$150,$X20,1))</f>
        <v/>
      </c>
      <c r="B20">
        <f>IF($X20="","",INDEX(Inventory!$A$2:$V$150,$X20,2))</f>
        <v/>
      </c>
      <c r="C20">
        <f>IF($X20="","",INDEX(Inventory!$A$2:$V$150,$X20,3))</f>
        <v/>
      </c>
      <c r="D20">
        <f>IF($X20="","",INDEX(Inventory!$A$2:$V$150,$X20,4))</f>
        <v/>
      </c>
      <c r="E20">
        <f>IF($X20="","",INDEX(Inventory!$A$2:$V$150,$X20,5))</f>
        <v/>
      </c>
      <c r="F20">
        <f>IF($X20="","",INDEX(Inventory!$A$2:$V$150,$X20,6))</f>
        <v/>
      </c>
      <c r="G20">
        <f>IF($X20="","",INDEX(Inventory!$A$2:$V$150,$X20,7))</f>
        <v/>
      </c>
      <c r="H20">
        <f>IF($X20="","",INDEX(Inventory!$A$2:$V$150,$X20,8))</f>
        <v/>
      </c>
      <c r="I20">
        <f>IF($X20="","",INDEX(Inventory!$A$2:$V$150,$X20,9))</f>
        <v/>
      </c>
      <c r="J20">
        <f>IF($X20="","",INDEX(Inventory!$A$2:$V$150,$X20,10))</f>
        <v/>
      </c>
      <c r="K20">
        <f>IF($X20="","",INDEX(Inventory!$A$2:$V$150,$X20,11))</f>
        <v/>
      </c>
      <c r="L20">
        <f>IF($X20="","",INDEX(Inventory!$A$2:$V$150,$X20,12))</f>
        <v/>
      </c>
      <c r="M20">
        <f>IF($X20="","",INDEX(Inventory!$A$2:$V$150,$X20,13))</f>
        <v/>
      </c>
      <c r="N20">
        <f>IF($X20="","",INDEX(Inventory!$A$2:$V$150,$X20,14))</f>
        <v/>
      </c>
      <c r="O20">
        <f>IF($X20="","",INDEX(Inventory!$A$2:$V$150,$X20,15))</f>
        <v/>
      </c>
      <c r="P20">
        <f>IF($X20="","",INDEX(Inventory!$A$2:$V$150,$X20,16))</f>
        <v/>
      </c>
      <c r="Q20">
        <f>IF($X20="","",INDEX(Inventory!$A$2:$V$150,$X20,17))</f>
        <v/>
      </c>
      <c r="R20">
        <f>IF($X20="","",INDEX(Inventory!$A$2:$V$150,$X20,18))</f>
        <v/>
      </c>
      <c r="S20">
        <f>IF($X20="","",INDEX(Inventory!$A$2:$V$150,$X20,19))</f>
        <v/>
      </c>
      <c r="T20">
        <f>IF($X20="","",INDEX(Inventory!$A$2:$V$150,$X20,20))</f>
        <v/>
      </c>
      <c r="U20">
        <f>IF($X20="","",INDEX(Inventory!$A$2:$V$150,$X20,21))</f>
        <v/>
      </c>
      <c r="V20">
        <f>IF($X20="","",INDEX(Inventory!$A$2:$V$150,$X20,22))</f>
        <v/>
      </c>
      <c r="X20">
        <f>IF($B$1="","",IFERROR(AGGREGATE(15,6,(ROW(Inventory!$B$2:$B$150)-ROW(Inventory!$B$2)+1)/(Inventory!$B$2:$B$150=$B$1),ROWS($A$6:A20)), ""))</f>
        <v/>
      </c>
    </row>
    <row r="21">
      <c r="A21">
        <f>IF($X21="","",INDEX(Inventory!$A$2:$V$150,$X21,1))</f>
        <v/>
      </c>
      <c r="B21">
        <f>IF($X21="","",INDEX(Inventory!$A$2:$V$150,$X21,2))</f>
        <v/>
      </c>
      <c r="C21">
        <f>IF($X21="","",INDEX(Inventory!$A$2:$V$150,$X21,3))</f>
        <v/>
      </c>
      <c r="D21">
        <f>IF($X21="","",INDEX(Inventory!$A$2:$V$150,$X21,4))</f>
        <v/>
      </c>
      <c r="E21">
        <f>IF($X21="","",INDEX(Inventory!$A$2:$V$150,$X21,5))</f>
        <v/>
      </c>
      <c r="F21">
        <f>IF($X21="","",INDEX(Inventory!$A$2:$V$150,$X21,6))</f>
        <v/>
      </c>
      <c r="G21">
        <f>IF($X21="","",INDEX(Inventory!$A$2:$V$150,$X21,7))</f>
        <v/>
      </c>
      <c r="H21">
        <f>IF($X21="","",INDEX(Inventory!$A$2:$V$150,$X21,8))</f>
        <v/>
      </c>
      <c r="I21">
        <f>IF($X21="","",INDEX(Inventory!$A$2:$V$150,$X21,9))</f>
        <v/>
      </c>
      <c r="J21">
        <f>IF($X21="","",INDEX(Inventory!$A$2:$V$150,$X21,10))</f>
        <v/>
      </c>
      <c r="K21">
        <f>IF($X21="","",INDEX(Inventory!$A$2:$V$150,$X21,11))</f>
        <v/>
      </c>
      <c r="L21">
        <f>IF($X21="","",INDEX(Inventory!$A$2:$V$150,$X21,12))</f>
        <v/>
      </c>
      <c r="M21">
        <f>IF($X21="","",INDEX(Inventory!$A$2:$V$150,$X21,13))</f>
        <v/>
      </c>
      <c r="N21">
        <f>IF($X21="","",INDEX(Inventory!$A$2:$V$150,$X21,14))</f>
        <v/>
      </c>
      <c r="O21">
        <f>IF($X21="","",INDEX(Inventory!$A$2:$V$150,$X21,15))</f>
        <v/>
      </c>
      <c r="P21">
        <f>IF($X21="","",INDEX(Inventory!$A$2:$V$150,$X21,16))</f>
        <v/>
      </c>
      <c r="Q21">
        <f>IF($X21="","",INDEX(Inventory!$A$2:$V$150,$X21,17))</f>
        <v/>
      </c>
      <c r="R21">
        <f>IF($X21="","",INDEX(Inventory!$A$2:$V$150,$X21,18))</f>
        <v/>
      </c>
      <c r="S21">
        <f>IF($X21="","",INDEX(Inventory!$A$2:$V$150,$X21,19))</f>
        <v/>
      </c>
      <c r="T21">
        <f>IF($X21="","",INDEX(Inventory!$A$2:$V$150,$X21,20))</f>
        <v/>
      </c>
      <c r="U21">
        <f>IF($X21="","",INDEX(Inventory!$A$2:$V$150,$X21,21))</f>
        <v/>
      </c>
      <c r="V21">
        <f>IF($X21="","",INDEX(Inventory!$A$2:$V$150,$X21,22))</f>
        <v/>
      </c>
      <c r="X21">
        <f>IF($B$1="","",IFERROR(AGGREGATE(15,6,(ROW(Inventory!$B$2:$B$150)-ROW(Inventory!$B$2)+1)/(Inventory!$B$2:$B$150=$B$1),ROWS($A$6:A21)), ""))</f>
        <v/>
      </c>
    </row>
    <row r="22">
      <c r="A22">
        <f>IF($X22="","",INDEX(Inventory!$A$2:$V$150,$X22,1))</f>
        <v/>
      </c>
      <c r="B22">
        <f>IF($X22="","",INDEX(Inventory!$A$2:$V$150,$X22,2))</f>
        <v/>
      </c>
      <c r="C22">
        <f>IF($X22="","",INDEX(Inventory!$A$2:$V$150,$X22,3))</f>
        <v/>
      </c>
      <c r="D22">
        <f>IF($X22="","",INDEX(Inventory!$A$2:$V$150,$X22,4))</f>
        <v/>
      </c>
      <c r="E22">
        <f>IF($X22="","",INDEX(Inventory!$A$2:$V$150,$X22,5))</f>
        <v/>
      </c>
      <c r="F22">
        <f>IF($X22="","",INDEX(Inventory!$A$2:$V$150,$X22,6))</f>
        <v/>
      </c>
      <c r="G22">
        <f>IF($X22="","",INDEX(Inventory!$A$2:$V$150,$X22,7))</f>
        <v/>
      </c>
      <c r="H22">
        <f>IF($X22="","",INDEX(Inventory!$A$2:$V$150,$X22,8))</f>
        <v/>
      </c>
      <c r="I22">
        <f>IF($X22="","",INDEX(Inventory!$A$2:$V$150,$X22,9))</f>
        <v/>
      </c>
      <c r="J22">
        <f>IF($X22="","",INDEX(Inventory!$A$2:$V$150,$X22,10))</f>
        <v/>
      </c>
      <c r="K22">
        <f>IF($X22="","",INDEX(Inventory!$A$2:$V$150,$X22,11))</f>
        <v/>
      </c>
      <c r="L22">
        <f>IF($X22="","",INDEX(Inventory!$A$2:$V$150,$X22,12))</f>
        <v/>
      </c>
      <c r="M22">
        <f>IF($X22="","",INDEX(Inventory!$A$2:$V$150,$X22,13))</f>
        <v/>
      </c>
      <c r="N22">
        <f>IF($X22="","",INDEX(Inventory!$A$2:$V$150,$X22,14))</f>
        <v/>
      </c>
      <c r="O22">
        <f>IF($X22="","",INDEX(Inventory!$A$2:$V$150,$X22,15))</f>
        <v/>
      </c>
      <c r="P22">
        <f>IF($X22="","",INDEX(Inventory!$A$2:$V$150,$X22,16))</f>
        <v/>
      </c>
      <c r="Q22">
        <f>IF($X22="","",INDEX(Inventory!$A$2:$V$150,$X22,17))</f>
        <v/>
      </c>
      <c r="R22">
        <f>IF($X22="","",INDEX(Inventory!$A$2:$V$150,$X22,18))</f>
        <v/>
      </c>
      <c r="S22">
        <f>IF($X22="","",INDEX(Inventory!$A$2:$V$150,$X22,19))</f>
        <v/>
      </c>
      <c r="T22">
        <f>IF($X22="","",INDEX(Inventory!$A$2:$V$150,$X22,20))</f>
        <v/>
      </c>
      <c r="U22">
        <f>IF($X22="","",INDEX(Inventory!$A$2:$V$150,$X22,21))</f>
        <v/>
      </c>
      <c r="V22">
        <f>IF($X22="","",INDEX(Inventory!$A$2:$V$150,$X22,22))</f>
        <v/>
      </c>
      <c r="X22">
        <f>IF($B$1="","",IFERROR(AGGREGATE(15,6,(ROW(Inventory!$B$2:$B$150)-ROW(Inventory!$B$2)+1)/(Inventory!$B$2:$B$150=$B$1),ROWS($A$6:A22)), ""))</f>
        <v/>
      </c>
    </row>
    <row r="23">
      <c r="A23">
        <f>IF($X23="","",INDEX(Inventory!$A$2:$V$150,$X23,1))</f>
        <v/>
      </c>
      <c r="B23">
        <f>IF($X23="","",INDEX(Inventory!$A$2:$V$150,$X23,2))</f>
        <v/>
      </c>
      <c r="C23">
        <f>IF($X23="","",INDEX(Inventory!$A$2:$V$150,$X23,3))</f>
        <v/>
      </c>
      <c r="D23">
        <f>IF($X23="","",INDEX(Inventory!$A$2:$V$150,$X23,4))</f>
        <v/>
      </c>
      <c r="E23">
        <f>IF($X23="","",INDEX(Inventory!$A$2:$V$150,$X23,5))</f>
        <v/>
      </c>
      <c r="F23">
        <f>IF($X23="","",INDEX(Inventory!$A$2:$V$150,$X23,6))</f>
        <v/>
      </c>
      <c r="G23">
        <f>IF($X23="","",INDEX(Inventory!$A$2:$V$150,$X23,7))</f>
        <v/>
      </c>
      <c r="H23">
        <f>IF($X23="","",INDEX(Inventory!$A$2:$V$150,$X23,8))</f>
        <v/>
      </c>
      <c r="I23">
        <f>IF($X23="","",INDEX(Inventory!$A$2:$V$150,$X23,9))</f>
        <v/>
      </c>
      <c r="J23">
        <f>IF($X23="","",INDEX(Inventory!$A$2:$V$150,$X23,10))</f>
        <v/>
      </c>
      <c r="K23">
        <f>IF($X23="","",INDEX(Inventory!$A$2:$V$150,$X23,11))</f>
        <v/>
      </c>
      <c r="L23">
        <f>IF($X23="","",INDEX(Inventory!$A$2:$V$150,$X23,12))</f>
        <v/>
      </c>
      <c r="M23">
        <f>IF($X23="","",INDEX(Inventory!$A$2:$V$150,$X23,13))</f>
        <v/>
      </c>
      <c r="N23">
        <f>IF($X23="","",INDEX(Inventory!$A$2:$V$150,$X23,14))</f>
        <v/>
      </c>
      <c r="O23">
        <f>IF($X23="","",INDEX(Inventory!$A$2:$V$150,$X23,15))</f>
        <v/>
      </c>
      <c r="P23">
        <f>IF($X23="","",INDEX(Inventory!$A$2:$V$150,$X23,16))</f>
        <v/>
      </c>
      <c r="Q23">
        <f>IF($X23="","",INDEX(Inventory!$A$2:$V$150,$X23,17))</f>
        <v/>
      </c>
      <c r="R23">
        <f>IF($X23="","",INDEX(Inventory!$A$2:$V$150,$X23,18))</f>
        <v/>
      </c>
      <c r="S23">
        <f>IF($X23="","",INDEX(Inventory!$A$2:$V$150,$X23,19))</f>
        <v/>
      </c>
      <c r="T23">
        <f>IF($X23="","",INDEX(Inventory!$A$2:$V$150,$X23,20))</f>
        <v/>
      </c>
      <c r="U23">
        <f>IF($X23="","",INDEX(Inventory!$A$2:$V$150,$X23,21))</f>
        <v/>
      </c>
      <c r="V23">
        <f>IF($X23="","",INDEX(Inventory!$A$2:$V$150,$X23,22))</f>
        <v/>
      </c>
      <c r="X23">
        <f>IF($B$1="","",IFERROR(AGGREGATE(15,6,(ROW(Inventory!$B$2:$B$150)-ROW(Inventory!$B$2)+1)/(Inventory!$B$2:$B$150=$B$1),ROWS($A$6:A23)), ""))</f>
        <v/>
      </c>
    </row>
    <row r="24">
      <c r="A24">
        <f>IF($X24="","",INDEX(Inventory!$A$2:$V$150,$X24,1))</f>
        <v/>
      </c>
      <c r="B24">
        <f>IF($X24="","",INDEX(Inventory!$A$2:$V$150,$X24,2))</f>
        <v/>
      </c>
      <c r="C24">
        <f>IF($X24="","",INDEX(Inventory!$A$2:$V$150,$X24,3))</f>
        <v/>
      </c>
      <c r="D24">
        <f>IF($X24="","",INDEX(Inventory!$A$2:$V$150,$X24,4))</f>
        <v/>
      </c>
      <c r="E24">
        <f>IF($X24="","",INDEX(Inventory!$A$2:$V$150,$X24,5))</f>
        <v/>
      </c>
      <c r="F24">
        <f>IF($X24="","",INDEX(Inventory!$A$2:$V$150,$X24,6))</f>
        <v/>
      </c>
      <c r="G24">
        <f>IF($X24="","",INDEX(Inventory!$A$2:$V$150,$X24,7))</f>
        <v/>
      </c>
      <c r="H24">
        <f>IF($X24="","",INDEX(Inventory!$A$2:$V$150,$X24,8))</f>
        <v/>
      </c>
      <c r="I24">
        <f>IF($X24="","",INDEX(Inventory!$A$2:$V$150,$X24,9))</f>
        <v/>
      </c>
      <c r="J24">
        <f>IF($X24="","",INDEX(Inventory!$A$2:$V$150,$X24,10))</f>
        <v/>
      </c>
      <c r="K24">
        <f>IF($X24="","",INDEX(Inventory!$A$2:$V$150,$X24,11))</f>
        <v/>
      </c>
      <c r="L24">
        <f>IF($X24="","",INDEX(Inventory!$A$2:$V$150,$X24,12))</f>
        <v/>
      </c>
      <c r="M24">
        <f>IF($X24="","",INDEX(Inventory!$A$2:$V$150,$X24,13))</f>
        <v/>
      </c>
      <c r="N24">
        <f>IF($X24="","",INDEX(Inventory!$A$2:$V$150,$X24,14))</f>
        <v/>
      </c>
      <c r="O24">
        <f>IF($X24="","",INDEX(Inventory!$A$2:$V$150,$X24,15))</f>
        <v/>
      </c>
      <c r="P24">
        <f>IF($X24="","",INDEX(Inventory!$A$2:$V$150,$X24,16))</f>
        <v/>
      </c>
      <c r="Q24">
        <f>IF($X24="","",INDEX(Inventory!$A$2:$V$150,$X24,17))</f>
        <v/>
      </c>
      <c r="R24">
        <f>IF($X24="","",INDEX(Inventory!$A$2:$V$150,$X24,18))</f>
        <v/>
      </c>
      <c r="S24">
        <f>IF($X24="","",INDEX(Inventory!$A$2:$V$150,$X24,19))</f>
        <v/>
      </c>
      <c r="T24">
        <f>IF($X24="","",INDEX(Inventory!$A$2:$V$150,$X24,20))</f>
        <v/>
      </c>
      <c r="U24">
        <f>IF($X24="","",INDEX(Inventory!$A$2:$V$150,$X24,21))</f>
        <v/>
      </c>
      <c r="V24">
        <f>IF($X24="","",INDEX(Inventory!$A$2:$V$150,$X24,22))</f>
        <v/>
      </c>
      <c r="X24">
        <f>IF($B$1="","",IFERROR(AGGREGATE(15,6,(ROW(Inventory!$B$2:$B$150)-ROW(Inventory!$B$2)+1)/(Inventory!$B$2:$B$150=$B$1),ROWS($A$6:A24)), ""))</f>
        <v/>
      </c>
    </row>
    <row r="25">
      <c r="A25">
        <f>IF($X25="","",INDEX(Inventory!$A$2:$V$150,$X25,1))</f>
        <v/>
      </c>
      <c r="B25">
        <f>IF($X25="","",INDEX(Inventory!$A$2:$V$150,$X25,2))</f>
        <v/>
      </c>
      <c r="C25">
        <f>IF($X25="","",INDEX(Inventory!$A$2:$V$150,$X25,3))</f>
        <v/>
      </c>
      <c r="D25">
        <f>IF($X25="","",INDEX(Inventory!$A$2:$V$150,$X25,4))</f>
        <v/>
      </c>
      <c r="E25">
        <f>IF($X25="","",INDEX(Inventory!$A$2:$V$150,$X25,5))</f>
        <v/>
      </c>
      <c r="F25">
        <f>IF($X25="","",INDEX(Inventory!$A$2:$V$150,$X25,6))</f>
        <v/>
      </c>
      <c r="G25">
        <f>IF($X25="","",INDEX(Inventory!$A$2:$V$150,$X25,7))</f>
        <v/>
      </c>
      <c r="H25">
        <f>IF($X25="","",INDEX(Inventory!$A$2:$V$150,$X25,8))</f>
        <v/>
      </c>
      <c r="I25">
        <f>IF($X25="","",INDEX(Inventory!$A$2:$V$150,$X25,9))</f>
        <v/>
      </c>
      <c r="J25">
        <f>IF($X25="","",INDEX(Inventory!$A$2:$V$150,$X25,10))</f>
        <v/>
      </c>
      <c r="K25">
        <f>IF($X25="","",INDEX(Inventory!$A$2:$V$150,$X25,11))</f>
        <v/>
      </c>
      <c r="L25">
        <f>IF($X25="","",INDEX(Inventory!$A$2:$V$150,$X25,12))</f>
        <v/>
      </c>
      <c r="M25">
        <f>IF($X25="","",INDEX(Inventory!$A$2:$V$150,$X25,13))</f>
        <v/>
      </c>
      <c r="N25">
        <f>IF($X25="","",INDEX(Inventory!$A$2:$V$150,$X25,14))</f>
        <v/>
      </c>
      <c r="O25">
        <f>IF($X25="","",INDEX(Inventory!$A$2:$V$150,$X25,15))</f>
        <v/>
      </c>
      <c r="P25">
        <f>IF($X25="","",INDEX(Inventory!$A$2:$V$150,$X25,16))</f>
        <v/>
      </c>
      <c r="Q25">
        <f>IF($X25="","",INDEX(Inventory!$A$2:$V$150,$X25,17))</f>
        <v/>
      </c>
      <c r="R25">
        <f>IF($X25="","",INDEX(Inventory!$A$2:$V$150,$X25,18))</f>
        <v/>
      </c>
      <c r="S25">
        <f>IF($X25="","",INDEX(Inventory!$A$2:$V$150,$X25,19))</f>
        <v/>
      </c>
      <c r="T25">
        <f>IF($X25="","",INDEX(Inventory!$A$2:$V$150,$X25,20))</f>
        <v/>
      </c>
      <c r="U25">
        <f>IF($X25="","",INDEX(Inventory!$A$2:$V$150,$X25,21))</f>
        <v/>
      </c>
      <c r="V25">
        <f>IF($X25="","",INDEX(Inventory!$A$2:$V$150,$X25,22))</f>
        <v/>
      </c>
      <c r="X25">
        <f>IF($B$1="","",IFERROR(AGGREGATE(15,6,(ROW(Inventory!$B$2:$B$150)-ROW(Inventory!$B$2)+1)/(Inventory!$B$2:$B$150=$B$1),ROWS($A$6:A25)), ""))</f>
        <v/>
      </c>
    </row>
    <row r="26">
      <c r="A26">
        <f>IF($X26="","",INDEX(Inventory!$A$2:$V$150,$X26,1))</f>
        <v/>
      </c>
      <c r="B26">
        <f>IF($X26="","",INDEX(Inventory!$A$2:$V$150,$X26,2))</f>
        <v/>
      </c>
      <c r="C26">
        <f>IF($X26="","",INDEX(Inventory!$A$2:$V$150,$X26,3))</f>
        <v/>
      </c>
      <c r="D26">
        <f>IF($X26="","",INDEX(Inventory!$A$2:$V$150,$X26,4))</f>
        <v/>
      </c>
      <c r="E26">
        <f>IF($X26="","",INDEX(Inventory!$A$2:$V$150,$X26,5))</f>
        <v/>
      </c>
      <c r="F26">
        <f>IF($X26="","",INDEX(Inventory!$A$2:$V$150,$X26,6))</f>
        <v/>
      </c>
      <c r="G26">
        <f>IF($X26="","",INDEX(Inventory!$A$2:$V$150,$X26,7))</f>
        <v/>
      </c>
      <c r="H26">
        <f>IF($X26="","",INDEX(Inventory!$A$2:$V$150,$X26,8))</f>
        <v/>
      </c>
      <c r="I26">
        <f>IF($X26="","",INDEX(Inventory!$A$2:$V$150,$X26,9))</f>
        <v/>
      </c>
      <c r="J26">
        <f>IF($X26="","",INDEX(Inventory!$A$2:$V$150,$X26,10))</f>
        <v/>
      </c>
      <c r="K26">
        <f>IF($X26="","",INDEX(Inventory!$A$2:$V$150,$X26,11))</f>
        <v/>
      </c>
      <c r="L26">
        <f>IF($X26="","",INDEX(Inventory!$A$2:$V$150,$X26,12))</f>
        <v/>
      </c>
      <c r="M26">
        <f>IF($X26="","",INDEX(Inventory!$A$2:$V$150,$X26,13))</f>
        <v/>
      </c>
      <c r="N26">
        <f>IF($X26="","",INDEX(Inventory!$A$2:$V$150,$X26,14))</f>
        <v/>
      </c>
      <c r="O26">
        <f>IF($X26="","",INDEX(Inventory!$A$2:$V$150,$X26,15))</f>
        <v/>
      </c>
      <c r="P26">
        <f>IF($X26="","",INDEX(Inventory!$A$2:$V$150,$X26,16))</f>
        <v/>
      </c>
      <c r="Q26">
        <f>IF($X26="","",INDEX(Inventory!$A$2:$V$150,$X26,17))</f>
        <v/>
      </c>
      <c r="R26">
        <f>IF($X26="","",INDEX(Inventory!$A$2:$V$150,$X26,18))</f>
        <v/>
      </c>
      <c r="S26">
        <f>IF($X26="","",INDEX(Inventory!$A$2:$V$150,$X26,19))</f>
        <v/>
      </c>
      <c r="T26">
        <f>IF($X26="","",INDEX(Inventory!$A$2:$V$150,$X26,20))</f>
        <v/>
      </c>
      <c r="U26">
        <f>IF($X26="","",INDEX(Inventory!$A$2:$V$150,$X26,21))</f>
        <v/>
      </c>
      <c r="V26">
        <f>IF($X26="","",INDEX(Inventory!$A$2:$V$150,$X26,22))</f>
        <v/>
      </c>
      <c r="X26">
        <f>IF($B$1="","",IFERROR(AGGREGATE(15,6,(ROW(Inventory!$B$2:$B$150)-ROW(Inventory!$B$2)+1)/(Inventory!$B$2:$B$150=$B$1),ROWS($A$6:A26)), ""))</f>
        <v/>
      </c>
    </row>
    <row r="27">
      <c r="A27">
        <f>IF($X27="","",INDEX(Inventory!$A$2:$V$150,$X27,1))</f>
        <v/>
      </c>
      <c r="B27">
        <f>IF($X27="","",INDEX(Inventory!$A$2:$V$150,$X27,2))</f>
        <v/>
      </c>
      <c r="C27">
        <f>IF($X27="","",INDEX(Inventory!$A$2:$V$150,$X27,3))</f>
        <v/>
      </c>
      <c r="D27">
        <f>IF($X27="","",INDEX(Inventory!$A$2:$V$150,$X27,4))</f>
        <v/>
      </c>
      <c r="E27">
        <f>IF($X27="","",INDEX(Inventory!$A$2:$V$150,$X27,5))</f>
        <v/>
      </c>
      <c r="F27">
        <f>IF($X27="","",INDEX(Inventory!$A$2:$V$150,$X27,6))</f>
        <v/>
      </c>
      <c r="G27">
        <f>IF($X27="","",INDEX(Inventory!$A$2:$V$150,$X27,7))</f>
        <v/>
      </c>
      <c r="H27">
        <f>IF($X27="","",INDEX(Inventory!$A$2:$V$150,$X27,8))</f>
        <v/>
      </c>
      <c r="I27">
        <f>IF($X27="","",INDEX(Inventory!$A$2:$V$150,$X27,9))</f>
        <v/>
      </c>
      <c r="J27">
        <f>IF($X27="","",INDEX(Inventory!$A$2:$V$150,$X27,10))</f>
        <v/>
      </c>
      <c r="K27">
        <f>IF($X27="","",INDEX(Inventory!$A$2:$V$150,$X27,11))</f>
        <v/>
      </c>
      <c r="L27">
        <f>IF($X27="","",INDEX(Inventory!$A$2:$V$150,$X27,12))</f>
        <v/>
      </c>
      <c r="M27">
        <f>IF($X27="","",INDEX(Inventory!$A$2:$V$150,$X27,13))</f>
        <v/>
      </c>
      <c r="N27">
        <f>IF($X27="","",INDEX(Inventory!$A$2:$V$150,$X27,14))</f>
        <v/>
      </c>
      <c r="O27">
        <f>IF($X27="","",INDEX(Inventory!$A$2:$V$150,$X27,15))</f>
        <v/>
      </c>
      <c r="P27">
        <f>IF($X27="","",INDEX(Inventory!$A$2:$V$150,$X27,16))</f>
        <v/>
      </c>
      <c r="Q27">
        <f>IF($X27="","",INDEX(Inventory!$A$2:$V$150,$X27,17))</f>
        <v/>
      </c>
      <c r="R27">
        <f>IF($X27="","",INDEX(Inventory!$A$2:$V$150,$X27,18))</f>
        <v/>
      </c>
      <c r="S27">
        <f>IF($X27="","",INDEX(Inventory!$A$2:$V$150,$X27,19))</f>
        <v/>
      </c>
      <c r="T27">
        <f>IF($X27="","",INDEX(Inventory!$A$2:$V$150,$X27,20))</f>
        <v/>
      </c>
      <c r="U27">
        <f>IF($X27="","",INDEX(Inventory!$A$2:$V$150,$X27,21))</f>
        <v/>
      </c>
      <c r="V27">
        <f>IF($X27="","",INDEX(Inventory!$A$2:$V$150,$X27,22))</f>
        <v/>
      </c>
      <c r="X27">
        <f>IF($B$1="","",IFERROR(AGGREGATE(15,6,(ROW(Inventory!$B$2:$B$150)-ROW(Inventory!$B$2)+1)/(Inventory!$B$2:$B$150=$B$1),ROWS($A$6:A27)), ""))</f>
        <v/>
      </c>
    </row>
    <row r="28">
      <c r="A28">
        <f>IF($X28="","",INDEX(Inventory!$A$2:$V$150,$X28,1))</f>
        <v/>
      </c>
      <c r="B28">
        <f>IF($X28="","",INDEX(Inventory!$A$2:$V$150,$X28,2))</f>
        <v/>
      </c>
      <c r="C28">
        <f>IF($X28="","",INDEX(Inventory!$A$2:$V$150,$X28,3))</f>
        <v/>
      </c>
      <c r="D28">
        <f>IF($X28="","",INDEX(Inventory!$A$2:$V$150,$X28,4))</f>
        <v/>
      </c>
      <c r="E28">
        <f>IF($X28="","",INDEX(Inventory!$A$2:$V$150,$X28,5))</f>
        <v/>
      </c>
      <c r="F28">
        <f>IF($X28="","",INDEX(Inventory!$A$2:$V$150,$X28,6))</f>
        <v/>
      </c>
      <c r="G28">
        <f>IF($X28="","",INDEX(Inventory!$A$2:$V$150,$X28,7))</f>
        <v/>
      </c>
      <c r="H28">
        <f>IF($X28="","",INDEX(Inventory!$A$2:$V$150,$X28,8))</f>
        <v/>
      </c>
      <c r="I28">
        <f>IF($X28="","",INDEX(Inventory!$A$2:$V$150,$X28,9))</f>
        <v/>
      </c>
      <c r="J28">
        <f>IF($X28="","",INDEX(Inventory!$A$2:$V$150,$X28,10))</f>
        <v/>
      </c>
      <c r="K28">
        <f>IF($X28="","",INDEX(Inventory!$A$2:$V$150,$X28,11))</f>
        <v/>
      </c>
      <c r="L28">
        <f>IF($X28="","",INDEX(Inventory!$A$2:$V$150,$X28,12))</f>
        <v/>
      </c>
      <c r="M28">
        <f>IF($X28="","",INDEX(Inventory!$A$2:$V$150,$X28,13))</f>
        <v/>
      </c>
      <c r="N28">
        <f>IF($X28="","",INDEX(Inventory!$A$2:$V$150,$X28,14))</f>
        <v/>
      </c>
      <c r="O28">
        <f>IF($X28="","",INDEX(Inventory!$A$2:$V$150,$X28,15))</f>
        <v/>
      </c>
      <c r="P28">
        <f>IF($X28="","",INDEX(Inventory!$A$2:$V$150,$X28,16))</f>
        <v/>
      </c>
      <c r="Q28">
        <f>IF($X28="","",INDEX(Inventory!$A$2:$V$150,$X28,17))</f>
        <v/>
      </c>
      <c r="R28">
        <f>IF($X28="","",INDEX(Inventory!$A$2:$V$150,$X28,18))</f>
        <v/>
      </c>
      <c r="S28">
        <f>IF($X28="","",INDEX(Inventory!$A$2:$V$150,$X28,19))</f>
        <v/>
      </c>
      <c r="T28">
        <f>IF($X28="","",INDEX(Inventory!$A$2:$V$150,$X28,20))</f>
        <v/>
      </c>
      <c r="U28">
        <f>IF($X28="","",INDEX(Inventory!$A$2:$V$150,$X28,21))</f>
        <v/>
      </c>
      <c r="V28">
        <f>IF($X28="","",INDEX(Inventory!$A$2:$V$150,$X28,22))</f>
        <v/>
      </c>
      <c r="X28">
        <f>IF($B$1="","",IFERROR(AGGREGATE(15,6,(ROW(Inventory!$B$2:$B$150)-ROW(Inventory!$B$2)+1)/(Inventory!$B$2:$B$150=$B$1),ROWS($A$6:A28)), ""))</f>
        <v/>
      </c>
    </row>
    <row r="29">
      <c r="A29">
        <f>IF($X29="","",INDEX(Inventory!$A$2:$V$150,$X29,1))</f>
        <v/>
      </c>
      <c r="B29">
        <f>IF($X29="","",INDEX(Inventory!$A$2:$V$150,$X29,2))</f>
        <v/>
      </c>
      <c r="C29">
        <f>IF($X29="","",INDEX(Inventory!$A$2:$V$150,$X29,3))</f>
        <v/>
      </c>
      <c r="D29">
        <f>IF($X29="","",INDEX(Inventory!$A$2:$V$150,$X29,4))</f>
        <v/>
      </c>
      <c r="E29">
        <f>IF($X29="","",INDEX(Inventory!$A$2:$V$150,$X29,5))</f>
        <v/>
      </c>
      <c r="F29">
        <f>IF($X29="","",INDEX(Inventory!$A$2:$V$150,$X29,6))</f>
        <v/>
      </c>
      <c r="G29">
        <f>IF($X29="","",INDEX(Inventory!$A$2:$V$150,$X29,7))</f>
        <v/>
      </c>
      <c r="H29">
        <f>IF($X29="","",INDEX(Inventory!$A$2:$V$150,$X29,8))</f>
        <v/>
      </c>
      <c r="I29">
        <f>IF($X29="","",INDEX(Inventory!$A$2:$V$150,$X29,9))</f>
        <v/>
      </c>
      <c r="J29">
        <f>IF($X29="","",INDEX(Inventory!$A$2:$V$150,$X29,10))</f>
        <v/>
      </c>
      <c r="K29">
        <f>IF($X29="","",INDEX(Inventory!$A$2:$V$150,$X29,11))</f>
        <v/>
      </c>
      <c r="L29">
        <f>IF($X29="","",INDEX(Inventory!$A$2:$V$150,$X29,12))</f>
        <v/>
      </c>
      <c r="M29">
        <f>IF($X29="","",INDEX(Inventory!$A$2:$V$150,$X29,13))</f>
        <v/>
      </c>
      <c r="N29">
        <f>IF($X29="","",INDEX(Inventory!$A$2:$V$150,$X29,14))</f>
        <v/>
      </c>
      <c r="O29">
        <f>IF($X29="","",INDEX(Inventory!$A$2:$V$150,$X29,15))</f>
        <v/>
      </c>
      <c r="P29">
        <f>IF($X29="","",INDEX(Inventory!$A$2:$V$150,$X29,16))</f>
        <v/>
      </c>
      <c r="Q29">
        <f>IF($X29="","",INDEX(Inventory!$A$2:$V$150,$X29,17))</f>
        <v/>
      </c>
      <c r="R29">
        <f>IF($X29="","",INDEX(Inventory!$A$2:$V$150,$X29,18))</f>
        <v/>
      </c>
      <c r="S29">
        <f>IF($X29="","",INDEX(Inventory!$A$2:$V$150,$X29,19))</f>
        <v/>
      </c>
      <c r="T29">
        <f>IF($X29="","",INDEX(Inventory!$A$2:$V$150,$X29,20))</f>
        <v/>
      </c>
      <c r="U29">
        <f>IF($X29="","",INDEX(Inventory!$A$2:$V$150,$X29,21))</f>
        <v/>
      </c>
      <c r="V29">
        <f>IF($X29="","",INDEX(Inventory!$A$2:$V$150,$X29,22))</f>
        <v/>
      </c>
      <c r="X29">
        <f>IF($B$1="","",IFERROR(AGGREGATE(15,6,(ROW(Inventory!$B$2:$B$150)-ROW(Inventory!$B$2)+1)/(Inventory!$B$2:$B$150=$B$1),ROWS($A$6:A29)), ""))</f>
        <v/>
      </c>
    </row>
    <row r="30">
      <c r="A30">
        <f>IF($X30="","",INDEX(Inventory!$A$2:$V$150,$X30,1))</f>
        <v/>
      </c>
      <c r="B30">
        <f>IF($X30="","",INDEX(Inventory!$A$2:$V$150,$X30,2))</f>
        <v/>
      </c>
      <c r="C30">
        <f>IF($X30="","",INDEX(Inventory!$A$2:$V$150,$X30,3))</f>
        <v/>
      </c>
      <c r="D30">
        <f>IF($X30="","",INDEX(Inventory!$A$2:$V$150,$X30,4))</f>
        <v/>
      </c>
      <c r="E30">
        <f>IF($X30="","",INDEX(Inventory!$A$2:$V$150,$X30,5))</f>
        <v/>
      </c>
      <c r="F30">
        <f>IF($X30="","",INDEX(Inventory!$A$2:$V$150,$X30,6))</f>
        <v/>
      </c>
      <c r="G30">
        <f>IF($X30="","",INDEX(Inventory!$A$2:$V$150,$X30,7))</f>
        <v/>
      </c>
      <c r="H30">
        <f>IF($X30="","",INDEX(Inventory!$A$2:$V$150,$X30,8))</f>
        <v/>
      </c>
      <c r="I30">
        <f>IF($X30="","",INDEX(Inventory!$A$2:$V$150,$X30,9))</f>
        <v/>
      </c>
      <c r="J30">
        <f>IF($X30="","",INDEX(Inventory!$A$2:$V$150,$X30,10))</f>
        <v/>
      </c>
      <c r="K30">
        <f>IF($X30="","",INDEX(Inventory!$A$2:$V$150,$X30,11))</f>
        <v/>
      </c>
      <c r="L30">
        <f>IF($X30="","",INDEX(Inventory!$A$2:$V$150,$X30,12))</f>
        <v/>
      </c>
      <c r="M30">
        <f>IF($X30="","",INDEX(Inventory!$A$2:$V$150,$X30,13))</f>
        <v/>
      </c>
      <c r="N30">
        <f>IF($X30="","",INDEX(Inventory!$A$2:$V$150,$X30,14))</f>
        <v/>
      </c>
      <c r="O30">
        <f>IF($X30="","",INDEX(Inventory!$A$2:$V$150,$X30,15))</f>
        <v/>
      </c>
      <c r="P30">
        <f>IF($X30="","",INDEX(Inventory!$A$2:$V$150,$X30,16))</f>
        <v/>
      </c>
      <c r="Q30">
        <f>IF($X30="","",INDEX(Inventory!$A$2:$V$150,$X30,17))</f>
        <v/>
      </c>
      <c r="R30">
        <f>IF($X30="","",INDEX(Inventory!$A$2:$V$150,$X30,18))</f>
        <v/>
      </c>
      <c r="S30">
        <f>IF($X30="","",INDEX(Inventory!$A$2:$V$150,$X30,19))</f>
        <v/>
      </c>
      <c r="T30">
        <f>IF($X30="","",INDEX(Inventory!$A$2:$V$150,$X30,20))</f>
        <v/>
      </c>
      <c r="U30">
        <f>IF($X30="","",INDEX(Inventory!$A$2:$V$150,$X30,21))</f>
        <v/>
      </c>
      <c r="V30">
        <f>IF($X30="","",INDEX(Inventory!$A$2:$V$150,$X30,22))</f>
        <v/>
      </c>
      <c r="X30">
        <f>IF($B$1="","",IFERROR(AGGREGATE(15,6,(ROW(Inventory!$B$2:$B$150)-ROW(Inventory!$B$2)+1)/(Inventory!$B$2:$B$150=$B$1),ROWS($A$6:A30)), ""))</f>
        <v/>
      </c>
    </row>
    <row r="31">
      <c r="A31">
        <f>IF($X31="","",INDEX(Inventory!$A$2:$V$150,$X31,1))</f>
        <v/>
      </c>
      <c r="B31">
        <f>IF($X31="","",INDEX(Inventory!$A$2:$V$150,$X31,2))</f>
        <v/>
      </c>
      <c r="C31">
        <f>IF($X31="","",INDEX(Inventory!$A$2:$V$150,$X31,3))</f>
        <v/>
      </c>
      <c r="D31">
        <f>IF($X31="","",INDEX(Inventory!$A$2:$V$150,$X31,4))</f>
        <v/>
      </c>
      <c r="E31">
        <f>IF($X31="","",INDEX(Inventory!$A$2:$V$150,$X31,5))</f>
        <v/>
      </c>
      <c r="F31">
        <f>IF($X31="","",INDEX(Inventory!$A$2:$V$150,$X31,6))</f>
        <v/>
      </c>
      <c r="G31">
        <f>IF($X31="","",INDEX(Inventory!$A$2:$V$150,$X31,7))</f>
        <v/>
      </c>
      <c r="H31">
        <f>IF($X31="","",INDEX(Inventory!$A$2:$V$150,$X31,8))</f>
        <v/>
      </c>
      <c r="I31">
        <f>IF($X31="","",INDEX(Inventory!$A$2:$V$150,$X31,9))</f>
        <v/>
      </c>
      <c r="J31">
        <f>IF($X31="","",INDEX(Inventory!$A$2:$V$150,$X31,10))</f>
        <v/>
      </c>
      <c r="K31">
        <f>IF($X31="","",INDEX(Inventory!$A$2:$V$150,$X31,11))</f>
        <v/>
      </c>
      <c r="L31">
        <f>IF($X31="","",INDEX(Inventory!$A$2:$V$150,$X31,12))</f>
        <v/>
      </c>
      <c r="M31">
        <f>IF($X31="","",INDEX(Inventory!$A$2:$V$150,$X31,13))</f>
        <v/>
      </c>
      <c r="N31">
        <f>IF($X31="","",INDEX(Inventory!$A$2:$V$150,$X31,14))</f>
        <v/>
      </c>
      <c r="O31">
        <f>IF($X31="","",INDEX(Inventory!$A$2:$V$150,$X31,15))</f>
        <v/>
      </c>
      <c r="P31">
        <f>IF($X31="","",INDEX(Inventory!$A$2:$V$150,$X31,16))</f>
        <v/>
      </c>
      <c r="Q31">
        <f>IF($X31="","",INDEX(Inventory!$A$2:$V$150,$X31,17))</f>
        <v/>
      </c>
      <c r="R31">
        <f>IF($X31="","",INDEX(Inventory!$A$2:$V$150,$X31,18))</f>
        <v/>
      </c>
      <c r="S31">
        <f>IF($X31="","",INDEX(Inventory!$A$2:$V$150,$X31,19))</f>
        <v/>
      </c>
      <c r="T31">
        <f>IF($X31="","",INDEX(Inventory!$A$2:$V$150,$X31,20))</f>
        <v/>
      </c>
      <c r="U31">
        <f>IF($X31="","",INDEX(Inventory!$A$2:$V$150,$X31,21))</f>
        <v/>
      </c>
      <c r="V31">
        <f>IF($X31="","",INDEX(Inventory!$A$2:$V$150,$X31,22))</f>
        <v/>
      </c>
      <c r="X31">
        <f>IF($B$1="","",IFERROR(AGGREGATE(15,6,(ROW(Inventory!$B$2:$B$150)-ROW(Inventory!$B$2)+1)/(Inventory!$B$2:$B$150=$B$1),ROWS($A$6:A31)), ""))</f>
        <v/>
      </c>
    </row>
    <row r="32">
      <c r="A32">
        <f>IF($X32="","",INDEX(Inventory!$A$2:$V$150,$X32,1))</f>
        <v/>
      </c>
      <c r="B32">
        <f>IF($X32="","",INDEX(Inventory!$A$2:$V$150,$X32,2))</f>
        <v/>
      </c>
      <c r="C32">
        <f>IF($X32="","",INDEX(Inventory!$A$2:$V$150,$X32,3))</f>
        <v/>
      </c>
      <c r="D32">
        <f>IF($X32="","",INDEX(Inventory!$A$2:$V$150,$X32,4))</f>
        <v/>
      </c>
      <c r="E32">
        <f>IF($X32="","",INDEX(Inventory!$A$2:$V$150,$X32,5))</f>
        <v/>
      </c>
      <c r="F32">
        <f>IF($X32="","",INDEX(Inventory!$A$2:$V$150,$X32,6))</f>
        <v/>
      </c>
      <c r="G32">
        <f>IF($X32="","",INDEX(Inventory!$A$2:$V$150,$X32,7))</f>
        <v/>
      </c>
      <c r="H32">
        <f>IF($X32="","",INDEX(Inventory!$A$2:$V$150,$X32,8))</f>
        <v/>
      </c>
      <c r="I32">
        <f>IF($X32="","",INDEX(Inventory!$A$2:$V$150,$X32,9))</f>
        <v/>
      </c>
      <c r="J32">
        <f>IF($X32="","",INDEX(Inventory!$A$2:$V$150,$X32,10))</f>
        <v/>
      </c>
      <c r="K32">
        <f>IF($X32="","",INDEX(Inventory!$A$2:$V$150,$X32,11))</f>
        <v/>
      </c>
      <c r="L32">
        <f>IF($X32="","",INDEX(Inventory!$A$2:$V$150,$X32,12))</f>
        <v/>
      </c>
      <c r="M32">
        <f>IF($X32="","",INDEX(Inventory!$A$2:$V$150,$X32,13))</f>
        <v/>
      </c>
      <c r="N32">
        <f>IF($X32="","",INDEX(Inventory!$A$2:$V$150,$X32,14))</f>
        <v/>
      </c>
      <c r="O32">
        <f>IF($X32="","",INDEX(Inventory!$A$2:$V$150,$X32,15))</f>
        <v/>
      </c>
      <c r="P32">
        <f>IF($X32="","",INDEX(Inventory!$A$2:$V$150,$X32,16))</f>
        <v/>
      </c>
      <c r="Q32">
        <f>IF($X32="","",INDEX(Inventory!$A$2:$V$150,$X32,17))</f>
        <v/>
      </c>
      <c r="R32">
        <f>IF($X32="","",INDEX(Inventory!$A$2:$V$150,$X32,18))</f>
        <v/>
      </c>
      <c r="S32">
        <f>IF($X32="","",INDEX(Inventory!$A$2:$V$150,$X32,19))</f>
        <v/>
      </c>
      <c r="T32">
        <f>IF($X32="","",INDEX(Inventory!$A$2:$V$150,$X32,20))</f>
        <v/>
      </c>
      <c r="U32">
        <f>IF($X32="","",INDEX(Inventory!$A$2:$V$150,$X32,21))</f>
        <v/>
      </c>
      <c r="V32">
        <f>IF($X32="","",INDEX(Inventory!$A$2:$V$150,$X32,22))</f>
        <v/>
      </c>
      <c r="X32">
        <f>IF($B$1="","",IFERROR(AGGREGATE(15,6,(ROW(Inventory!$B$2:$B$150)-ROW(Inventory!$B$2)+1)/(Inventory!$B$2:$B$150=$B$1),ROWS($A$6:A32)), ""))</f>
        <v/>
      </c>
    </row>
    <row r="33">
      <c r="A33">
        <f>IF($X33="","",INDEX(Inventory!$A$2:$V$150,$X33,1))</f>
        <v/>
      </c>
      <c r="B33">
        <f>IF($X33="","",INDEX(Inventory!$A$2:$V$150,$X33,2))</f>
        <v/>
      </c>
      <c r="C33">
        <f>IF($X33="","",INDEX(Inventory!$A$2:$V$150,$X33,3))</f>
        <v/>
      </c>
      <c r="D33">
        <f>IF($X33="","",INDEX(Inventory!$A$2:$V$150,$X33,4))</f>
        <v/>
      </c>
      <c r="E33">
        <f>IF($X33="","",INDEX(Inventory!$A$2:$V$150,$X33,5))</f>
        <v/>
      </c>
      <c r="F33">
        <f>IF($X33="","",INDEX(Inventory!$A$2:$V$150,$X33,6))</f>
        <v/>
      </c>
      <c r="G33">
        <f>IF($X33="","",INDEX(Inventory!$A$2:$V$150,$X33,7))</f>
        <v/>
      </c>
      <c r="H33">
        <f>IF($X33="","",INDEX(Inventory!$A$2:$V$150,$X33,8))</f>
        <v/>
      </c>
      <c r="I33">
        <f>IF($X33="","",INDEX(Inventory!$A$2:$V$150,$X33,9))</f>
        <v/>
      </c>
      <c r="J33">
        <f>IF($X33="","",INDEX(Inventory!$A$2:$V$150,$X33,10))</f>
        <v/>
      </c>
      <c r="K33">
        <f>IF($X33="","",INDEX(Inventory!$A$2:$V$150,$X33,11))</f>
        <v/>
      </c>
      <c r="L33">
        <f>IF($X33="","",INDEX(Inventory!$A$2:$V$150,$X33,12))</f>
        <v/>
      </c>
      <c r="M33">
        <f>IF($X33="","",INDEX(Inventory!$A$2:$V$150,$X33,13))</f>
        <v/>
      </c>
      <c r="N33">
        <f>IF($X33="","",INDEX(Inventory!$A$2:$V$150,$X33,14))</f>
        <v/>
      </c>
      <c r="O33">
        <f>IF($X33="","",INDEX(Inventory!$A$2:$V$150,$X33,15))</f>
        <v/>
      </c>
      <c r="P33">
        <f>IF($X33="","",INDEX(Inventory!$A$2:$V$150,$X33,16))</f>
        <v/>
      </c>
      <c r="Q33">
        <f>IF($X33="","",INDEX(Inventory!$A$2:$V$150,$X33,17))</f>
        <v/>
      </c>
      <c r="R33">
        <f>IF($X33="","",INDEX(Inventory!$A$2:$V$150,$X33,18))</f>
        <v/>
      </c>
      <c r="S33">
        <f>IF($X33="","",INDEX(Inventory!$A$2:$V$150,$X33,19))</f>
        <v/>
      </c>
      <c r="T33">
        <f>IF($X33="","",INDEX(Inventory!$A$2:$V$150,$X33,20))</f>
        <v/>
      </c>
      <c r="U33">
        <f>IF($X33="","",INDEX(Inventory!$A$2:$V$150,$X33,21))</f>
        <v/>
      </c>
      <c r="V33">
        <f>IF($X33="","",INDEX(Inventory!$A$2:$V$150,$X33,22))</f>
        <v/>
      </c>
      <c r="X33">
        <f>IF($B$1="","",IFERROR(AGGREGATE(15,6,(ROW(Inventory!$B$2:$B$150)-ROW(Inventory!$B$2)+1)/(Inventory!$B$2:$B$150=$B$1),ROWS($A$6:A33)), ""))</f>
        <v/>
      </c>
    </row>
    <row r="34">
      <c r="A34">
        <f>IF($X34="","",INDEX(Inventory!$A$2:$V$150,$X34,1))</f>
        <v/>
      </c>
      <c r="B34">
        <f>IF($X34="","",INDEX(Inventory!$A$2:$V$150,$X34,2))</f>
        <v/>
      </c>
      <c r="C34">
        <f>IF($X34="","",INDEX(Inventory!$A$2:$V$150,$X34,3))</f>
        <v/>
      </c>
      <c r="D34">
        <f>IF($X34="","",INDEX(Inventory!$A$2:$V$150,$X34,4))</f>
        <v/>
      </c>
      <c r="E34">
        <f>IF($X34="","",INDEX(Inventory!$A$2:$V$150,$X34,5))</f>
        <v/>
      </c>
      <c r="F34">
        <f>IF($X34="","",INDEX(Inventory!$A$2:$V$150,$X34,6))</f>
        <v/>
      </c>
      <c r="G34">
        <f>IF($X34="","",INDEX(Inventory!$A$2:$V$150,$X34,7))</f>
        <v/>
      </c>
      <c r="H34">
        <f>IF($X34="","",INDEX(Inventory!$A$2:$V$150,$X34,8))</f>
        <v/>
      </c>
      <c r="I34">
        <f>IF($X34="","",INDEX(Inventory!$A$2:$V$150,$X34,9))</f>
        <v/>
      </c>
      <c r="J34">
        <f>IF($X34="","",INDEX(Inventory!$A$2:$V$150,$X34,10))</f>
        <v/>
      </c>
      <c r="K34">
        <f>IF($X34="","",INDEX(Inventory!$A$2:$V$150,$X34,11))</f>
        <v/>
      </c>
      <c r="L34">
        <f>IF($X34="","",INDEX(Inventory!$A$2:$V$150,$X34,12))</f>
        <v/>
      </c>
      <c r="M34">
        <f>IF($X34="","",INDEX(Inventory!$A$2:$V$150,$X34,13))</f>
        <v/>
      </c>
      <c r="N34">
        <f>IF($X34="","",INDEX(Inventory!$A$2:$V$150,$X34,14))</f>
        <v/>
      </c>
      <c r="O34">
        <f>IF($X34="","",INDEX(Inventory!$A$2:$V$150,$X34,15))</f>
        <v/>
      </c>
      <c r="P34">
        <f>IF($X34="","",INDEX(Inventory!$A$2:$V$150,$X34,16))</f>
        <v/>
      </c>
      <c r="Q34">
        <f>IF($X34="","",INDEX(Inventory!$A$2:$V$150,$X34,17))</f>
        <v/>
      </c>
      <c r="R34">
        <f>IF($X34="","",INDEX(Inventory!$A$2:$V$150,$X34,18))</f>
        <v/>
      </c>
      <c r="S34">
        <f>IF($X34="","",INDEX(Inventory!$A$2:$V$150,$X34,19))</f>
        <v/>
      </c>
      <c r="T34">
        <f>IF($X34="","",INDEX(Inventory!$A$2:$V$150,$X34,20))</f>
        <v/>
      </c>
      <c r="U34">
        <f>IF($X34="","",INDEX(Inventory!$A$2:$V$150,$X34,21))</f>
        <v/>
      </c>
      <c r="V34">
        <f>IF($X34="","",INDEX(Inventory!$A$2:$V$150,$X34,22))</f>
        <v/>
      </c>
      <c r="X34">
        <f>IF($B$1="","",IFERROR(AGGREGATE(15,6,(ROW(Inventory!$B$2:$B$150)-ROW(Inventory!$B$2)+1)/(Inventory!$B$2:$B$150=$B$1),ROWS($A$6:A34)), ""))</f>
        <v/>
      </c>
    </row>
    <row r="35">
      <c r="A35">
        <f>IF($X35="","",INDEX(Inventory!$A$2:$V$150,$X35,1))</f>
        <v/>
      </c>
      <c r="B35">
        <f>IF($X35="","",INDEX(Inventory!$A$2:$V$150,$X35,2))</f>
        <v/>
      </c>
      <c r="C35">
        <f>IF($X35="","",INDEX(Inventory!$A$2:$V$150,$X35,3))</f>
        <v/>
      </c>
      <c r="D35">
        <f>IF($X35="","",INDEX(Inventory!$A$2:$V$150,$X35,4))</f>
        <v/>
      </c>
      <c r="E35">
        <f>IF($X35="","",INDEX(Inventory!$A$2:$V$150,$X35,5))</f>
        <v/>
      </c>
      <c r="F35">
        <f>IF($X35="","",INDEX(Inventory!$A$2:$V$150,$X35,6))</f>
        <v/>
      </c>
      <c r="G35">
        <f>IF($X35="","",INDEX(Inventory!$A$2:$V$150,$X35,7))</f>
        <v/>
      </c>
      <c r="H35">
        <f>IF($X35="","",INDEX(Inventory!$A$2:$V$150,$X35,8))</f>
        <v/>
      </c>
      <c r="I35">
        <f>IF($X35="","",INDEX(Inventory!$A$2:$V$150,$X35,9))</f>
        <v/>
      </c>
      <c r="J35">
        <f>IF($X35="","",INDEX(Inventory!$A$2:$V$150,$X35,10))</f>
        <v/>
      </c>
      <c r="K35">
        <f>IF($X35="","",INDEX(Inventory!$A$2:$V$150,$X35,11))</f>
        <v/>
      </c>
      <c r="L35">
        <f>IF($X35="","",INDEX(Inventory!$A$2:$V$150,$X35,12))</f>
        <v/>
      </c>
      <c r="M35">
        <f>IF($X35="","",INDEX(Inventory!$A$2:$V$150,$X35,13))</f>
        <v/>
      </c>
      <c r="N35">
        <f>IF($X35="","",INDEX(Inventory!$A$2:$V$150,$X35,14))</f>
        <v/>
      </c>
      <c r="O35">
        <f>IF($X35="","",INDEX(Inventory!$A$2:$V$150,$X35,15))</f>
        <v/>
      </c>
      <c r="P35">
        <f>IF($X35="","",INDEX(Inventory!$A$2:$V$150,$X35,16))</f>
        <v/>
      </c>
      <c r="Q35">
        <f>IF($X35="","",INDEX(Inventory!$A$2:$V$150,$X35,17))</f>
        <v/>
      </c>
      <c r="R35">
        <f>IF($X35="","",INDEX(Inventory!$A$2:$V$150,$X35,18))</f>
        <v/>
      </c>
      <c r="S35">
        <f>IF($X35="","",INDEX(Inventory!$A$2:$V$150,$X35,19))</f>
        <v/>
      </c>
      <c r="T35">
        <f>IF($X35="","",INDEX(Inventory!$A$2:$V$150,$X35,20))</f>
        <v/>
      </c>
      <c r="U35">
        <f>IF($X35="","",INDEX(Inventory!$A$2:$V$150,$X35,21))</f>
        <v/>
      </c>
      <c r="V35">
        <f>IF($X35="","",INDEX(Inventory!$A$2:$V$150,$X35,22))</f>
        <v/>
      </c>
      <c r="X35">
        <f>IF($B$1="","",IFERROR(AGGREGATE(15,6,(ROW(Inventory!$B$2:$B$150)-ROW(Inventory!$B$2)+1)/(Inventory!$B$2:$B$150=$B$1),ROWS($A$6:A35)), ""))</f>
        <v/>
      </c>
    </row>
    <row r="36">
      <c r="A36">
        <f>IF($X36="","",INDEX(Inventory!$A$2:$V$150,$X36,1))</f>
        <v/>
      </c>
      <c r="B36">
        <f>IF($X36="","",INDEX(Inventory!$A$2:$V$150,$X36,2))</f>
        <v/>
      </c>
      <c r="C36">
        <f>IF($X36="","",INDEX(Inventory!$A$2:$V$150,$X36,3))</f>
        <v/>
      </c>
      <c r="D36">
        <f>IF($X36="","",INDEX(Inventory!$A$2:$V$150,$X36,4))</f>
        <v/>
      </c>
      <c r="E36">
        <f>IF($X36="","",INDEX(Inventory!$A$2:$V$150,$X36,5))</f>
        <v/>
      </c>
      <c r="F36">
        <f>IF($X36="","",INDEX(Inventory!$A$2:$V$150,$X36,6))</f>
        <v/>
      </c>
      <c r="G36">
        <f>IF($X36="","",INDEX(Inventory!$A$2:$V$150,$X36,7))</f>
        <v/>
      </c>
      <c r="H36">
        <f>IF($X36="","",INDEX(Inventory!$A$2:$V$150,$X36,8))</f>
        <v/>
      </c>
      <c r="I36">
        <f>IF($X36="","",INDEX(Inventory!$A$2:$V$150,$X36,9))</f>
        <v/>
      </c>
      <c r="J36">
        <f>IF($X36="","",INDEX(Inventory!$A$2:$V$150,$X36,10))</f>
        <v/>
      </c>
      <c r="K36">
        <f>IF($X36="","",INDEX(Inventory!$A$2:$V$150,$X36,11))</f>
        <v/>
      </c>
      <c r="L36">
        <f>IF($X36="","",INDEX(Inventory!$A$2:$V$150,$X36,12))</f>
        <v/>
      </c>
      <c r="M36">
        <f>IF($X36="","",INDEX(Inventory!$A$2:$V$150,$X36,13))</f>
        <v/>
      </c>
      <c r="N36">
        <f>IF($X36="","",INDEX(Inventory!$A$2:$V$150,$X36,14))</f>
        <v/>
      </c>
      <c r="O36">
        <f>IF($X36="","",INDEX(Inventory!$A$2:$V$150,$X36,15))</f>
        <v/>
      </c>
      <c r="P36">
        <f>IF($X36="","",INDEX(Inventory!$A$2:$V$150,$X36,16))</f>
        <v/>
      </c>
      <c r="Q36">
        <f>IF($X36="","",INDEX(Inventory!$A$2:$V$150,$X36,17))</f>
        <v/>
      </c>
      <c r="R36">
        <f>IF($X36="","",INDEX(Inventory!$A$2:$V$150,$X36,18))</f>
        <v/>
      </c>
      <c r="S36">
        <f>IF($X36="","",INDEX(Inventory!$A$2:$V$150,$X36,19))</f>
        <v/>
      </c>
      <c r="T36">
        <f>IF($X36="","",INDEX(Inventory!$A$2:$V$150,$X36,20))</f>
        <v/>
      </c>
      <c r="U36">
        <f>IF($X36="","",INDEX(Inventory!$A$2:$V$150,$X36,21))</f>
        <v/>
      </c>
      <c r="V36">
        <f>IF($X36="","",INDEX(Inventory!$A$2:$V$150,$X36,22))</f>
        <v/>
      </c>
      <c r="X36">
        <f>IF($B$1="","",IFERROR(AGGREGATE(15,6,(ROW(Inventory!$B$2:$B$150)-ROW(Inventory!$B$2)+1)/(Inventory!$B$2:$B$150=$B$1),ROWS($A$6:A36)), ""))</f>
        <v/>
      </c>
    </row>
    <row r="37">
      <c r="A37">
        <f>IF($X37="","",INDEX(Inventory!$A$2:$V$150,$X37,1))</f>
        <v/>
      </c>
      <c r="B37">
        <f>IF($X37="","",INDEX(Inventory!$A$2:$V$150,$X37,2))</f>
        <v/>
      </c>
      <c r="C37">
        <f>IF($X37="","",INDEX(Inventory!$A$2:$V$150,$X37,3))</f>
        <v/>
      </c>
      <c r="D37">
        <f>IF($X37="","",INDEX(Inventory!$A$2:$V$150,$X37,4))</f>
        <v/>
      </c>
      <c r="E37">
        <f>IF($X37="","",INDEX(Inventory!$A$2:$V$150,$X37,5))</f>
        <v/>
      </c>
      <c r="F37">
        <f>IF($X37="","",INDEX(Inventory!$A$2:$V$150,$X37,6))</f>
        <v/>
      </c>
      <c r="G37">
        <f>IF($X37="","",INDEX(Inventory!$A$2:$V$150,$X37,7))</f>
        <v/>
      </c>
      <c r="H37">
        <f>IF($X37="","",INDEX(Inventory!$A$2:$V$150,$X37,8))</f>
        <v/>
      </c>
      <c r="I37">
        <f>IF($X37="","",INDEX(Inventory!$A$2:$V$150,$X37,9))</f>
        <v/>
      </c>
      <c r="J37">
        <f>IF($X37="","",INDEX(Inventory!$A$2:$V$150,$X37,10))</f>
        <v/>
      </c>
      <c r="K37">
        <f>IF($X37="","",INDEX(Inventory!$A$2:$V$150,$X37,11))</f>
        <v/>
      </c>
      <c r="L37">
        <f>IF($X37="","",INDEX(Inventory!$A$2:$V$150,$X37,12))</f>
        <v/>
      </c>
      <c r="M37">
        <f>IF($X37="","",INDEX(Inventory!$A$2:$V$150,$X37,13))</f>
        <v/>
      </c>
      <c r="N37">
        <f>IF($X37="","",INDEX(Inventory!$A$2:$V$150,$X37,14))</f>
        <v/>
      </c>
      <c r="O37">
        <f>IF($X37="","",INDEX(Inventory!$A$2:$V$150,$X37,15))</f>
        <v/>
      </c>
      <c r="P37">
        <f>IF($X37="","",INDEX(Inventory!$A$2:$V$150,$X37,16))</f>
        <v/>
      </c>
      <c r="Q37">
        <f>IF($X37="","",INDEX(Inventory!$A$2:$V$150,$X37,17))</f>
        <v/>
      </c>
      <c r="R37">
        <f>IF($X37="","",INDEX(Inventory!$A$2:$V$150,$X37,18))</f>
        <v/>
      </c>
      <c r="S37">
        <f>IF($X37="","",INDEX(Inventory!$A$2:$V$150,$X37,19))</f>
        <v/>
      </c>
      <c r="T37">
        <f>IF($X37="","",INDEX(Inventory!$A$2:$V$150,$X37,20))</f>
        <v/>
      </c>
      <c r="U37">
        <f>IF($X37="","",INDEX(Inventory!$A$2:$V$150,$X37,21))</f>
        <v/>
      </c>
      <c r="V37">
        <f>IF($X37="","",INDEX(Inventory!$A$2:$V$150,$X37,22))</f>
        <v/>
      </c>
      <c r="X37">
        <f>IF($B$1="","",IFERROR(AGGREGATE(15,6,(ROW(Inventory!$B$2:$B$150)-ROW(Inventory!$B$2)+1)/(Inventory!$B$2:$B$150=$B$1),ROWS($A$6:A37)), ""))</f>
        <v/>
      </c>
    </row>
    <row r="38">
      <c r="A38">
        <f>IF($X38="","",INDEX(Inventory!$A$2:$V$150,$X38,1))</f>
        <v/>
      </c>
      <c r="B38">
        <f>IF($X38="","",INDEX(Inventory!$A$2:$V$150,$X38,2))</f>
        <v/>
      </c>
      <c r="C38">
        <f>IF($X38="","",INDEX(Inventory!$A$2:$V$150,$X38,3))</f>
        <v/>
      </c>
      <c r="D38">
        <f>IF($X38="","",INDEX(Inventory!$A$2:$V$150,$X38,4))</f>
        <v/>
      </c>
      <c r="E38">
        <f>IF($X38="","",INDEX(Inventory!$A$2:$V$150,$X38,5))</f>
        <v/>
      </c>
      <c r="F38">
        <f>IF($X38="","",INDEX(Inventory!$A$2:$V$150,$X38,6))</f>
        <v/>
      </c>
      <c r="G38">
        <f>IF($X38="","",INDEX(Inventory!$A$2:$V$150,$X38,7))</f>
        <v/>
      </c>
      <c r="H38">
        <f>IF($X38="","",INDEX(Inventory!$A$2:$V$150,$X38,8))</f>
        <v/>
      </c>
      <c r="I38">
        <f>IF($X38="","",INDEX(Inventory!$A$2:$V$150,$X38,9))</f>
        <v/>
      </c>
      <c r="J38">
        <f>IF($X38="","",INDEX(Inventory!$A$2:$V$150,$X38,10))</f>
        <v/>
      </c>
      <c r="K38">
        <f>IF($X38="","",INDEX(Inventory!$A$2:$V$150,$X38,11))</f>
        <v/>
      </c>
      <c r="L38">
        <f>IF($X38="","",INDEX(Inventory!$A$2:$V$150,$X38,12))</f>
        <v/>
      </c>
      <c r="M38">
        <f>IF($X38="","",INDEX(Inventory!$A$2:$V$150,$X38,13))</f>
        <v/>
      </c>
      <c r="N38">
        <f>IF($X38="","",INDEX(Inventory!$A$2:$V$150,$X38,14))</f>
        <v/>
      </c>
      <c r="O38">
        <f>IF($X38="","",INDEX(Inventory!$A$2:$V$150,$X38,15))</f>
        <v/>
      </c>
      <c r="P38">
        <f>IF($X38="","",INDEX(Inventory!$A$2:$V$150,$X38,16))</f>
        <v/>
      </c>
      <c r="Q38">
        <f>IF($X38="","",INDEX(Inventory!$A$2:$V$150,$X38,17))</f>
        <v/>
      </c>
      <c r="R38">
        <f>IF($X38="","",INDEX(Inventory!$A$2:$V$150,$X38,18))</f>
        <v/>
      </c>
      <c r="S38">
        <f>IF($X38="","",INDEX(Inventory!$A$2:$V$150,$X38,19))</f>
        <v/>
      </c>
      <c r="T38">
        <f>IF($X38="","",INDEX(Inventory!$A$2:$V$150,$X38,20))</f>
        <v/>
      </c>
      <c r="U38">
        <f>IF($X38="","",INDEX(Inventory!$A$2:$V$150,$X38,21))</f>
        <v/>
      </c>
      <c r="V38">
        <f>IF($X38="","",INDEX(Inventory!$A$2:$V$150,$X38,22))</f>
        <v/>
      </c>
      <c r="X38">
        <f>IF($B$1="","",IFERROR(AGGREGATE(15,6,(ROW(Inventory!$B$2:$B$150)-ROW(Inventory!$B$2)+1)/(Inventory!$B$2:$B$150=$B$1),ROWS($A$6:A38)), ""))</f>
        <v/>
      </c>
    </row>
    <row r="39">
      <c r="A39">
        <f>IF($X39="","",INDEX(Inventory!$A$2:$V$150,$X39,1))</f>
        <v/>
      </c>
      <c r="B39">
        <f>IF($X39="","",INDEX(Inventory!$A$2:$V$150,$X39,2))</f>
        <v/>
      </c>
      <c r="C39">
        <f>IF($X39="","",INDEX(Inventory!$A$2:$V$150,$X39,3))</f>
        <v/>
      </c>
      <c r="D39">
        <f>IF($X39="","",INDEX(Inventory!$A$2:$V$150,$X39,4))</f>
        <v/>
      </c>
      <c r="E39">
        <f>IF($X39="","",INDEX(Inventory!$A$2:$V$150,$X39,5))</f>
        <v/>
      </c>
      <c r="F39">
        <f>IF($X39="","",INDEX(Inventory!$A$2:$V$150,$X39,6))</f>
        <v/>
      </c>
      <c r="G39">
        <f>IF($X39="","",INDEX(Inventory!$A$2:$V$150,$X39,7))</f>
        <v/>
      </c>
      <c r="H39">
        <f>IF($X39="","",INDEX(Inventory!$A$2:$V$150,$X39,8))</f>
        <v/>
      </c>
      <c r="I39">
        <f>IF($X39="","",INDEX(Inventory!$A$2:$V$150,$X39,9))</f>
        <v/>
      </c>
      <c r="J39">
        <f>IF($X39="","",INDEX(Inventory!$A$2:$V$150,$X39,10))</f>
        <v/>
      </c>
      <c r="K39">
        <f>IF($X39="","",INDEX(Inventory!$A$2:$V$150,$X39,11))</f>
        <v/>
      </c>
      <c r="L39">
        <f>IF($X39="","",INDEX(Inventory!$A$2:$V$150,$X39,12))</f>
        <v/>
      </c>
      <c r="M39">
        <f>IF($X39="","",INDEX(Inventory!$A$2:$V$150,$X39,13))</f>
        <v/>
      </c>
      <c r="N39">
        <f>IF($X39="","",INDEX(Inventory!$A$2:$V$150,$X39,14))</f>
        <v/>
      </c>
      <c r="O39">
        <f>IF($X39="","",INDEX(Inventory!$A$2:$V$150,$X39,15))</f>
        <v/>
      </c>
      <c r="P39">
        <f>IF($X39="","",INDEX(Inventory!$A$2:$V$150,$X39,16))</f>
        <v/>
      </c>
      <c r="Q39">
        <f>IF($X39="","",INDEX(Inventory!$A$2:$V$150,$X39,17))</f>
        <v/>
      </c>
      <c r="R39">
        <f>IF($X39="","",INDEX(Inventory!$A$2:$V$150,$X39,18))</f>
        <v/>
      </c>
      <c r="S39">
        <f>IF($X39="","",INDEX(Inventory!$A$2:$V$150,$X39,19))</f>
        <v/>
      </c>
      <c r="T39">
        <f>IF($X39="","",INDEX(Inventory!$A$2:$V$150,$X39,20))</f>
        <v/>
      </c>
      <c r="U39">
        <f>IF($X39="","",INDEX(Inventory!$A$2:$V$150,$X39,21))</f>
        <v/>
      </c>
      <c r="V39">
        <f>IF($X39="","",INDEX(Inventory!$A$2:$V$150,$X39,22))</f>
        <v/>
      </c>
      <c r="X39">
        <f>IF($B$1="","",IFERROR(AGGREGATE(15,6,(ROW(Inventory!$B$2:$B$150)-ROW(Inventory!$B$2)+1)/(Inventory!$B$2:$B$150=$B$1),ROWS($A$6:A39)), ""))</f>
        <v/>
      </c>
    </row>
    <row r="40">
      <c r="A40">
        <f>IF($X40="","",INDEX(Inventory!$A$2:$V$150,$X40,1))</f>
        <v/>
      </c>
      <c r="B40">
        <f>IF($X40="","",INDEX(Inventory!$A$2:$V$150,$X40,2))</f>
        <v/>
      </c>
      <c r="C40">
        <f>IF($X40="","",INDEX(Inventory!$A$2:$V$150,$X40,3))</f>
        <v/>
      </c>
      <c r="D40">
        <f>IF($X40="","",INDEX(Inventory!$A$2:$V$150,$X40,4))</f>
        <v/>
      </c>
      <c r="E40">
        <f>IF($X40="","",INDEX(Inventory!$A$2:$V$150,$X40,5))</f>
        <v/>
      </c>
      <c r="F40">
        <f>IF($X40="","",INDEX(Inventory!$A$2:$V$150,$X40,6))</f>
        <v/>
      </c>
      <c r="G40">
        <f>IF($X40="","",INDEX(Inventory!$A$2:$V$150,$X40,7))</f>
        <v/>
      </c>
      <c r="H40">
        <f>IF($X40="","",INDEX(Inventory!$A$2:$V$150,$X40,8))</f>
        <v/>
      </c>
      <c r="I40">
        <f>IF($X40="","",INDEX(Inventory!$A$2:$V$150,$X40,9))</f>
        <v/>
      </c>
      <c r="J40">
        <f>IF($X40="","",INDEX(Inventory!$A$2:$V$150,$X40,10))</f>
        <v/>
      </c>
      <c r="K40">
        <f>IF($X40="","",INDEX(Inventory!$A$2:$V$150,$X40,11))</f>
        <v/>
      </c>
      <c r="L40">
        <f>IF($X40="","",INDEX(Inventory!$A$2:$V$150,$X40,12))</f>
        <v/>
      </c>
      <c r="M40">
        <f>IF($X40="","",INDEX(Inventory!$A$2:$V$150,$X40,13))</f>
        <v/>
      </c>
      <c r="N40">
        <f>IF($X40="","",INDEX(Inventory!$A$2:$V$150,$X40,14))</f>
        <v/>
      </c>
      <c r="O40">
        <f>IF($X40="","",INDEX(Inventory!$A$2:$V$150,$X40,15))</f>
        <v/>
      </c>
      <c r="P40">
        <f>IF($X40="","",INDEX(Inventory!$A$2:$V$150,$X40,16))</f>
        <v/>
      </c>
      <c r="Q40">
        <f>IF($X40="","",INDEX(Inventory!$A$2:$V$150,$X40,17))</f>
        <v/>
      </c>
      <c r="R40">
        <f>IF($X40="","",INDEX(Inventory!$A$2:$V$150,$X40,18))</f>
        <v/>
      </c>
      <c r="S40">
        <f>IF($X40="","",INDEX(Inventory!$A$2:$V$150,$X40,19))</f>
        <v/>
      </c>
      <c r="T40">
        <f>IF($X40="","",INDEX(Inventory!$A$2:$V$150,$X40,20))</f>
        <v/>
      </c>
      <c r="U40">
        <f>IF($X40="","",INDEX(Inventory!$A$2:$V$150,$X40,21))</f>
        <v/>
      </c>
      <c r="V40">
        <f>IF($X40="","",INDEX(Inventory!$A$2:$V$150,$X40,22))</f>
        <v/>
      </c>
      <c r="X40">
        <f>IF($B$1="","",IFERROR(AGGREGATE(15,6,(ROW(Inventory!$B$2:$B$150)-ROW(Inventory!$B$2)+1)/(Inventory!$B$2:$B$150=$B$1),ROWS($A$6:A40)), ""))</f>
        <v/>
      </c>
    </row>
    <row r="41">
      <c r="A41">
        <f>IF($X41="","",INDEX(Inventory!$A$2:$V$150,$X41,1))</f>
        <v/>
      </c>
      <c r="B41">
        <f>IF($X41="","",INDEX(Inventory!$A$2:$V$150,$X41,2))</f>
        <v/>
      </c>
      <c r="C41">
        <f>IF($X41="","",INDEX(Inventory!$A$2:$V$150,$X41,3))</f>
        <v/>
      </c>
      <c r="D41">
        <f>IF($X41="","",INDEX(Inventory!$A$2:$V$150,$X41,4))</f>
        <v/>
      </c>
      <c r="E41">
        <f>IF($X41="","",INDEX(Inventory!$A$2:$V$150,$X41,5))</f>
        <v/>
      </c>
      <c r="F41">
        <f>IF($X41="","",INDEX(Inventory!$A$2:$V$150,$X41,6))</f>
        <v/>
      </c>
      <c r="G41">
        <f>IF($X41="","",INDEX(Inventory!$A$2:$V$150,$X41,7))</f>
        <v/>
      </c>
      <c r="H41">
        <f>IF($X41="","",INDEX(Inventory!$A$2:$V$150,$X41,8))</f>
        <v/>
      </c>
      <c r="I41">
        <f>IF($X41="","",INDEX(Inventory!$A$2:$V$150,$X41,9))</f>
        <v/>
      </c>
      <c r="J41">
        <f>IF($X41="","",INDEX(Inventory!$A$2:$V$150,$X41,10))</f>
        <v/>
      </c>
      <c r="K41">
        <f>IF($X41="","",INDEX(Inventory!$A$2:$V$150,$X41,11))</f>
        <v/>
      </c>
      <c r="L41">
        <f>IF($X41="","",INDEX(Inventory!$A$2:$V$150,$X41,12))</f>
        <v/>
      </c>
      <c r="M41">
        <f>IF($X41="","",INDEX(Inventory!$A$2:$V$150,$X41,13))</f>
        <v/>
      </c>
      <c r="N41">
        <f>IF($X41="","",INDEX(Inventory!$A$2:$V$150,$X41,14))</f>
        <v/>
      </c>
      <c r="O41">
        <f>IF($X41="","",INDEX(Inventory!$A$2:$V$150,$X41,15))</f>
        <v/>
      </c>
      <c r="P41">
        <f>IF($X41="","",INDEX(Inventory!$A$2:$V$150,$X41,16))</f>
        <v/>
      </c>
      <c r="Q41">
        <f>IF($X41="","",INDEX(Inventory!$A$2:$V$150,$X41,17))</f>
        <v/>
      </c>
      <c r="R41">
        <f>IF($X41="","",INDEX(Inventory!$A$2:$V$150,$X41,18))</f>
        <v/>
      </c>
      <c r="S41">
        <f>IF($X41="","",INDEX(Inventory!$A$2:$V$150,$X41,19))</f>
        <v/>
      </c>
      <c r="T41">
        <f>IF($X41="","",INDEX(Inventory!$A$2:$V$150,$X41,20))</f>
        <v/>
      </c>
      <c r="U41">
        <f>IF($X41="","",INDEX(Inventory!$A$2:$V$150,$X41,21))</f>
        <v/>
      </c>
      <c r="V41">
        <f>IF($X41="","",INDEX(Inventory!$A$2:$V$150,$X41,22))</f>
        <v/>
      </c>
      <c r="X41">
        <f>IF($B$1="","",IFERROR(AGGREGATE(15,6,(ROW(Inventory!$B$2:$B$150)-ROW(Inventory!$B$2)+1)/(Inventory!$B$2:$B$150=$B$1),ROWS($A$6:A41)), ""))</f>
        <v/>
      </c>
    </row>
    <row r="42">
      <c r="A42">
        <f>IF($X42="","",INDEX(Inventory!$A$2:$V$150,$X42,1))</f>
        <v/>
      </c>
      <c r="B42">
        <f>IF($X42="","",INDEX(Inventory!$A$2:$V$150,$X42,2))</f>
        <v/>
      </c>
      <c r="C42">
        <f>IF($X42="","",INDEX(Inventory!$A$2:$V$150,$X42,3))</f>
        <v/>
      </c>
      <c r="D42">
        <f>IF($X42="","",INDEX(Inventory!$A$2:$V$150,$X42,4))</f>
        <v/>
      </c>
      <c r="E42">
        <f>IF($X42="","",INDEX(Inventory!$A$2:$V$150,$X42,5))</f>
        <v/>
      </c>
      <c r="F42">
        <f>IF($X42="","",INDEX(Inventory!$A$2:$V$150,$X42,6))</f>
        <v/>
      </c>
      <c r="G42">
        <f>IF($X42="","",INDEX(Inventory!$A$2:$V$150,$X42,7))</f>
        <v/>
      </c>
      <c r="H42">
        <f>IF($X42="","",INDEX(Inventory!$A$2:$V$150,$X42,8))</f>
        <v/>
      </c>
      <c r="I42">
        <f>IF($X42="","",INDEX(Inventory!$A$2:$V$150,$X42,9))</f>
        <v/>
      </c>
      <c r="J42">
        <f>IF($X42="","",INDEX(Inventory!$A$2:$V$150,$X42,10))</f>
        <v/>
      </c>
      <c r="K42">
        <f>IF($X42="","",INDEX(Inventory!$A$2:$V$150,$X42,11))</f>
        <v/>
      </c>
      <c r="L42">
        <f>IF($X42="","",INDEX(Inventory!$A$2:$V$150,$X42,12))</f>
        <v/>
      </c>
      <c r="M42">
        <f>IF($X42="","",INDEX(Inventory!$A$2:$V$150,$X42,13))</f>
        <v/>
      </c>
      <c r="N42">
        <f>IF($X42="","",INDEX(Inventory!$A$2:$V$150,$X42,14))</f>
        <v/>
      </c>
      <c r="O42">
        <f>IF($X42="","",INDEX(Inventory!$A$2:$V$150,$X42,15))</f>
        <v/>
      </c>
      <c r="P42">
        <f>IF($X42="","",INDEX(Inventory!$A$2:$V$150,$X42,16))</f>
        <v/>
      </c>
      <c r="Q42">
        <f>IF($X42="","",INDEX(Inventory!$A$2:$V$150,$X42,17))</f>
        <v/>
      </c>
      <c r="R42">
        <f>IF($X42="","",INDEX(Inventory!$A$2:$V$150,$X42,18))</f>
        <v/>
      </c>
      <c r="S42">
        <f>IF($X42="","",INDEX(Inventory!$A$2:$V$150,$X42,19))</f>
        <v/>
      </c>
      <c r="T42">
        <f>IF($X42="","",INDEX(Inventory!$A$2:$V$150,$X42,20))</f>
        <v/>
      </c>
      <c r="U42">
        <f>IF($X42="","",INDEX(Inventory!$A$2:$V$150,$X42,21))</f>
        <v/>
      </c>
      <c r="V42">
        <f>IF($X42="","",INDEX(Inventory!$A$2:$V$150,$X42,22))</f>
        <v/>
      </c>
      <c r="X42">
        <f>IF($B$1="","",IFERROR(AGGREGATE(15,6,(ROW(Inventory!$B$2:$B$150)-ROW(Inventory!$B$2)+1)/(Inventory!$B$2:$B$150=$B$1),ROWS($A$6:A42)), ""))</f>
        <v/>
      </c>
    </row>
    <row r="43">
      <c r="A43">
        <f>IF($X43="","",INDEX(Inventory!$A$2:$V$150,$X43,1))</f>
        <v/>
      </c>
      <c r="B43">
        <f>IF($X43="","",INDEX(Inventory!$A$2:$V$150,$X43,2))</f>
        <v/>
      </c>
      <c r="C43">
        <f>IF($X43="","",INDEX(Inventory!$A$2:$V$150,$X43,3))</f>
        <v/>
      </c>
      <c r="D43">
        <f>IF($X43="","",INDEX(Inventory!$A$2:$V$150,$X43,4))</f>
        <v/>
      </c>
      <c r="E43">
        <f>IF($X43="","",INDEX(Inventory!$A$2:$V$150,$X43,5))</f>
        <v/>
      </c>
      <c r="F43">
        <f>IF($X43="","",INDEX(Inventory!$A$2:$V$150,$X43,6))</f>
        <v/>
      </c>
      <c r="G43">
        <f>IF($X43="","",INDEX(Inventory!$A$2:$V$150,$X43,7))</f>
        <v/>
      </c>
      <c r="H43">
        <f>IF($X43="","",INDEX(Inventory!$A$2:$V$150,$X43,8))</f>
        <v/>
      </c>
      <c r="I43">
        <f>IF($X43="","",INDEX(Inventory!$A$2:$V$150,$X43,9))</f>
        <v/>
      </c>
      <c r="J43">
        <f>IF($X43="","",INDEX(Inventory!$A$2:$V$150,$X43,10))</f>
        <v/>
      </c>
      <c r="K43">
        <f>IF($X43="","",INDEX(Inventory!$A$2:$V$150,$X43,11))</f>
        <v/>
      </c>
      <c r="L43">
        <f>IF($X43="","",INDEX(Inventory!$A$2:$V$150,$X43,12))</f>
        <v/>
      </c>
      <c r="M43">
        <f>IF($X43="","",INDEX(Inventory!$A$2:$V$150,$X43,13))</f>
        <v/>
      </c>
      <c r="N43">
        <f>IF($X43="","",INDEX(Inventory!$A$2:$V$150,$X43,14))</f>
        <v/>
      </c>
      <c r="O43">
        <f>IF($X43="","",INDEX(Inventory!$A$2:$V$150,$X43,15))</f>
        <v/>
      </c>
      <c r="P43">
        <f>IF($X43="","",INDEX(Inventory!$A$2:$V$150,$X43,16))</f>
        <v/>
      </c>
      <c r="Q43">
        <f>IF($X43="","",INDEX(Inventory!$A$2:$V$150,$X43,17))</f>
        <v/>
      </c>
      <c r="R43">
        <f>IF($X43="","",INDEX(Inventory!$A$2:$V$150,$X43,18))</f>
        <v/>
      </c>
      <c r="S43">
        <f>IF($X43="","",INDEX(Inventory!$A$2:$V$150,$X43,19))</f>
        <v/>
      </c>
      <c r="T43">
        <f>IF($X43="","",INDEX(Inventory!$A$2:$V$150,$X43,20))</f>
        <v/>
      </c>
      <c r="U43">
        <f>IF($X43="","",INDEX(Inventory!$A$2:$V$150,$X43,21))</f>
        <v/>
      </c>
      <c r="V43">
        <f>IF($X43="","",INDEX(Inventory!$A$2:$V$150,$X43,22))</f>
        <v/>
      </c>
      <c r="X43">
        <f>IF($B$1="","",IFERROR(AGGREGATE(15,6,(ROW(Inventory!$B$2:$B$150)-ROW(Inventory!$B$2)+1)/(Inventory!$B$2:$B$150=$B$1),ROWS($A$6:A43)), ""))</f>
        <v/>
      </c>
    </row>
    <row r="44">
      <c r="A44">
        <f>IF($X44="","",INDEX(Inventory!$A$2:$V$150,$X44,1))</f>
        <v/>
      </c>
      <c r="B44">
        <f>IF($X44="","",INDEX(Inventory!$A$2:$V$150,$X44,2))</f>
        <v/>
      </c>
      <c r="C44">
        <f>IF($X44="","",INDEX(Inventory!$A$2:$V$150,$X44,3))</f>
        <v/>
      </c>
      <c r="D44">
        <f>IF($X44="","",INDEX(Inventory!$A$2:$V$150,$X44,4))</f>
        <v/>
      </c>
      <c r="E44">
        <f>IF($X44="","",INDEX(Inventory!$A$2:$V$150,$X44,5))</f>
        <v/>
      </c>
      <c r="F44">
        <f>IF($X44="","",INDEX(Inventory!$A$2:$V$150,$X44,6))</f>
        <v/>
      </c>
      <c r="G44">
        <f>IF($X44="","",INDEX(Inventory!$A$2:$V$150,$X44,7))</f>
        <v/>
      </c>
      <c r="H44">
        <f>IF($X44="","",INDEX(Inventory!$A$2:$V$150,$X44,8))</f>
        <v/>
      </c>
      <c r="I44">
        <f>IF($X44="","",INDEX(Inventory!$A$2:$V$150,$X44,9))</f>
        <v/>
      </c>
      <c r="J44">
        <f>IF($X44="","",INDEX(Inventory!$A$2:$V$150,$X44,10))</f>
        <v/>
      </c>
      <c r="K44">
        <f>IF($X44="","",INDEX(Inventory!$A$2:$V$150,$X44,11))</f>
        <v/>
      </c>
      <c r="L44">
        <f>IF($X44="","",INDEX(Inventory!$A$2:$V$150,$X44,12))</f>
        <v/>
      </c>
      <c r="M44">
        <f>IF($X44="","",INDEX(Inventory!$A$2:$V$150,$X44,13))</f>
        <v/>
      </c>
      <c r="N44">
        <f>IF($X44="","",INDEX(Inventory!$A$2:$V$150,$X44,14))</f>
        <v/>
      </c>
      <c r="O44">
        <f>IF($X44="","",INDEX(Inventory!$A$2:$V$150,$X44,15))</f>
        <v/>
      </c>
      <c r="P44">
        <f>IF($X44="","",INDEX(Inventory!$A$2:$V$150,$X44,16))</f>
        <v/>
      </c>
      <c r="Q44">
        <f>IF($X44="","",INDEX(Inventory!$A$2:$V$150,$X44,17))</f>
        <v/>
      </c>
      <c r="R44">
        <f>IF($X44="","",INDEX(Inventory!$A$2:$V$150,$X44,18))</f>
        <v/>
      </c>
      <c r="S44">
        <f>IF($X44="","",INDEX(Inventory!$A$2:$V$150,$X44,19))</f>
        <v/>
      </c>
      <c r="T44">
        <f>IF($X44="","",INDEX(Inventory!$A$2:$V$150,$X44,20))</f>
        <v/>
      </c>
      <c r="U44">
        <f>IF($X44="","",INDEX(Inventory!$A$2:$V$150,$X44,21))</f>
        <v/>
      </c>
      <c r="V44">
        <f>IF($X44="","",INDEX(Inventory!$A$2:$V$150,$X44,22))</f>
        <v/>
      </c>
      <c r="X44">
        <f>IF($B$1="","",IFERROR(AGGREGATE(15,6,(ROW(Inventory!$B$2:$B$150)-ROW(Inventory!$B$2)+1)/(Inventory!$B$2:$B$150=$B$1),ROWS($A$6:A44)), ""))</f>
        <v/>
      </c>
    </row>
    <row r="45">
      <c r="A45">
        <f>IF($X45="","",INDEX(Inventory!$A$2:$V$150,$X45,1))</f>
        <v/>
      </c>
      <c r="B45">
        <f>IF($X45="","",INDEX(Inventory!$A$2:$V$150,$X45,2))</f>
        <v/>
      </c>
      <c r="C45">
        <f>IF($X45="","",INDEX(Inventory!$A$2:$V$150,$X45,3))</f>
        <v/>
      </c>
      <c r="D45">
        <f>IF($X45="","",INDEX(Inventory!$A$2:$V$150,$X45,4))</f>
        <v/>
      </c>
      <c r="E45">
        <f>IF($X45="","",INDEX(Inventory!$A$2:$V$150,$X45,5))</f>
        <v/>
      </c>
      <c r="F45">
        <f>IF($X45="","",INDEX(Inventory!$A$2:$V$150,$X45,6))</f>
        <v/>
      </c>
      <c r="G45">
        <f>IF($X45="","",INDEX(Inventory!$A$2:$V$150,$X45,7))</f>
        <v/>
      </c>
      <c r="H45">
        <f>IF($X45="","",INDEX(Inventory!$A$2:$V$150,$X45,8))</f>
        <v/>
      </c>
      <c r="I45">
        <f>IF($X45="","",INDEX(Inventory!$A$2:$V$150,$X45,9))</f>
        <v/>
      </c>
      <c r="J45">
        <f>IF($X45="","",INDEX(Inventory!$A$2:$V$150,$X45,10))</f>
        <v/>
      </c>
      <c r="K45">
        <f>IF($X45="","",INDEX(Inventory!$A$2:$V$150,$X45,11))</f>
        <v/>
      </c>
      <c r="L45">
        <f>IF($X45="","",INDEX(Inventory!$A$2:$V$150,$X45,12))</f>
        <v/>
      </c>
      <c r="M45">
        <f>IF($X45="","",INDEX(Inventory!$A$2:$V$150,$X45,13))</f>
        <v/>
      </c>
      <c r="N45">
        <f>IF($X45="","",INDEX(Inventory!$A$2:$V$150,$X45,14))</f>
        <v/>
      </c>
      <c r="O45">
        <f>IF($X45="","",INDEX(Inventory!$A$2:$V$150,$X45,15))</f>
        <v/>
      </c>
      <c r="P45">
        <f>IF($X45="","",INDEX(Inventory!$A$2:$V$150,$X45,16))</f>
        <v/>
      </c>
      <c r="Q45">
        <f>IF($X45="","",INDEX(Inventory!$A$2:$V$150,$X45,17))</f>
        <v/>
      </c>
      <c r="R45">
        <f>IF($X45="","",INDEX(Inventory!$A$2:$V$150,$X45,18))</f>
        <v/>
      </c>
      <c r="S45">
        <f>IF($X45="","",INDEX(Inventory!$A$2:$V$150,$X45,19))</f>
        <v/>
      </c>
      <c r="T45">
        <f>IF($X45="","",INDEX(Inventory!$A$2:$V$150,$X45,20))</f>
        <v/>
      </c>
      <c r="U45">
        <f>IF($X45="","",INDEX(Inventory!$A$2:$V$150,$X45,21))</f>
        <v/>
      </c>
      <c r="V45">
        <f>IF($X45="","",INDEX(Inventory!$A$2:$V$150,$X45,22))</f>
        <v/>
      </c>
      <c r="X45">
        <f>IF($B$1="","",IFERROR(AGGREGATE(15,6,(ROW(Inventory!$B$2:$B$150)-ROW(Inventory!$B$2)+1)/(Inventory!$B$2:$B$150=$B$1),ROWS($A$6:A45)), ""))</f>
        <v/>
      </c>
    </row>
    <row r="46">
      <c r="A46">
        <f>IF($X46="","",INDEX(Inventory!$A$2:$V$150,$X46,1))</f>
        <v/>
      </c>
      <c r="B46">
        <f>IF($X46="","",INDEX(Inventory!$A$2:$V$150,$X46,2))</f>
        <v/>
      </c>
      <c r="C46">
        <f>IF($X46="","",INDEX(Inventory!$A$2:$V$150,$X46,3))</f>
        <v/>
      </c>
      <c r="D46">
        <f>IF($X46="","",INDEX(Inventory!$A$2:$V$150,$X46,4))</f>
        <v/>
      </c>
      <c r="E46">
        <f>IF($X46="","",INDEX(Inventory!$A$2:$V$150,$X46,5))</f>
        <v/>
      </c>
      <c r="F46">
        <f>IF($X46="","",INDEX(Inventory!$A$2:$V$150,$X46,6))</f>
        <v/>
      </c>
      <c r="G46">
        <f>IF($X46="","",INDEX(Inventory!$A$2:$V$150,$X46,7))</f>
        <v/>
      </c>
      <c r="H46">
        <f>IF($X46="","",INDEX(Inventory!$A$2:$V$150,$X46,8))</f>
        <v/>
      </c>
      <c r="I46">
        <f>IF($X46="","",INDEX(Inventory!$A$2:$V$150,$X46,9))</f>
        <v/>
      </c>
      <c r="J46">
        <f>IF($X46="","",INDEX(Inventory!$A$2:$V$150,$X46,10))</f>
        <v/>
      </c>
      <c r="K46">
        <f>IF($X46="","",INDEX(Inventory!$A$2:$V$150,$X46,11))</f>
        <v/>
      </c>
      <c r="L46">
        <f>IF($X46="","",INDEX(Inventory!$A$2:$V$150,$X46,12))</f>
        <v/>
      </c>
      <c r="M46">
        <f>IF($X46="","",INDEX(Inventory!$A$2:$V$150,$X46,13))</f>
        <v/>
      </c>
      <c r="N46">
        <f>IF($X46="","",INDEX(Inventory!$A$2:$V$150,$X46,14))</f>
        <v/>
      </c>
      <c r="O46">
        <f>IF($X46="","",INDEX(Inventory!$A$2:$V$150,$X46,15))</f>
        <v/>
      </c>
      <c r="P46">
        <f>IF($X46="","",INDEX(Inventory!$A$2:$V$150,$X46,16))</f>
        <v/>
      </c>
      <c r="Q46">
        <f>IF($X46="","",INDEX(Inventory!$A$2:$V$150,$X46,17))</f>
        <v/>
      </c>
      <c r="R46">
        <f>IF($X46="","",INDEX(Inventory!$A$2:$V$150,$X46,18))</f>
        <v/>
      </c>
      <c r="S46">
        <f>IF($X46="","",INDEX(Inventory!$A$2:$V$150,$X46,19))</f>
        <v/>
      </c>
      <c r="T46">
        <f>IF($X46="","",INDEX(Inventory!$A$2:$V$150,$X46,20))</f>
        <v/>
      </c>
      <c r="U46">
        <f>IF($X46="","",INDEX(Inventory!$A$2:$V$150,$X46,21))</f>
        <v/>
      </c>
      <c r="V46">
        <f>IF($X46="","",INDEX(Inventory!$A$2:$V$150,$X46,22))</f>
        <v/>
      </c>
      <c r="X46">
        <f>IF($B$1="","",IFERROR(AGGREGATE(15,6,(ROW(Inventory!$B$2:$B$150)-ROW(Inventory!$B$2)+1)/(Inventory!$B$2:$B$150=$B$1),ROWS($A$6:A46)), ""))</f>
        <v/>
      </c>
    </row>
    <row r="47">
      <c r="A47">
        <f>IF($X47="","",INDEX(Inventory!$A$2:$V$150,$X47,1))</f>
        <v/>
      </c>
      <c r="B47">
        <f>IF($X47="","",INDEX(Inventory!$A$2:$V$150,$X47,2))</f>
        <v/>
      </c>
      <c r="C47">
        <f>IF($X47="","",INDEX(Inventory!$A$2:$V$150,$X47,3))</f>
        <v/>
      </c>
      <c r="D47">
        <f>IF($X47="","",INDEX(Inventory!$A$2:$V$150,$X47,4))</f>
        <v/>
      </c>
      <c r="E47">
        <f>IF($X47="","",INDEX(Inventory!$A$2:$V$150,$X47,5))</f>
        <v/>
      </c>
      <c r="F47">
        <f>IF($X47="","",INDEX(Inventory!$A$2:$V$150,$X47,6))</f>
        <v/>
      </c>
      <c r="G47">
        <f>IF($X47="","",INDEX(Inventory!$A$2:$V$150,$X47,7))</f>
        <v/>
      </c>
      <c r="H47">
        <f>IF($X47="","",INDEX(Inventory!$A$2:$V$150,$X47,8))</f>
        <v/>
      </c>
      <c r="I47">
        <f>IF($X47="","",INDEX(Inventory!$A$2:$V$150,$X47,9))</f>
        <v/>
      </c>
      <c r="J47">
        <f>IF($X47="","",INDEX(Inventory!$A$2:$V$150,$X47,10))</f>
        <v/>
      </c>
      <c r="K47">
        <f>IF($X47="","",INDEX(Inventory!$A$2:$V$150,$X47,11))</f>
        <v/>
      </c>
      <c r="L47">
        <f>IF($X47="","",INDEX(Inventory!$A$2:$V$150,$X47,12))</f>
        <v/>
      </c>
      <c r="M47">
        <f>IF($X47="","",INDEX(Inventory!$A$2:$V$150,$X47,13))</f>
        <v/>
      </c>
      <c r="N47">
        <f>IF($X47="","",INDEX(Inventory!$A$2:$V$150,$X47,14))</f>
        <v/>
      </c>
      <c r="O47">
        <f>IF($X47="","",INDEX(Inventory!$A$2:$V$150,$X47,15))</f>
        <v/>
      </c>
      <c r="P47">
        <f>IF($X47="","",INDEX(Inventory!$A$2:$V$150,$X47,16))</f>
        <v/>
      </c>
      <c r="Q47">
        <f>IF($X47="","",INDEX(Inventory!$A$2:$V$150,$X47,17))</f>
        <v/>
      </c>
      <c r="R47">
        <f>IF($X47="","",INDEX(Inventory!$A$2:$V$150,$X47,18))</f>
        <v/>
      </c>
      <c r="S47">
        <f>IF($X47="","",INDEX(Inventory!$A$2:$V$150,$X47,19))</f>
        <v/>
      </c>
      <c r="T47">
        <f>IF($X47="","",INDEX(Inventory!$A$2:$V$150,$X47,20))</f>
        <v/>
      </c>
      <c r="U47">
        <f>IF($X47="","",INDEX(Inventory!$A$2:$V$150,$X47,21))</f>
        <v/>
      </c>
      <c r="V47">
        <f>IF($X47="","",INDEX(Inventory!$A$2:$V$150,$X47,22))</f>
        <v/>
      </c>
      <c r="X47">
        <f>IF($B$1="","",IFERROR(AGGREGATE(15,6,(ROW(Inventory!$B$2:$B$150)-ROW(Inventory!$B$2)+1)/(Inventory!$B$2:$B$150=$B$1),ROWS($A$6:A47)), ""))</f>
        <v/>
      </c>
    </row>
    <row r="48">
      <c r="A48">
        <f>IF($X48="","",INDEX(Inventory!$A$2:$V$150,$X48,1))</f>
        <v/>
      </c>
      <c r="B48">
        <f>IF($X48="","",INDEX(Inventory!$A$2:$V$150,$X48,2))</f>
        <v/>
      </c>
      <c r="C48">
        <f>IF($X48="","",INDEX(Inventory!$A$2:$V$150,$X48,3))</f>
        <v/>
      </c>
      <c r="D48">
        <f>IF($X48="","",INDEX(Inventory!$A$2:$V$150,$X48,4))</f>
        <v/>
      </c>
      <c r="E48">
        <f>IF($X48="","",INDEX(Inventory!$A$2:$V$150,$X48,5))</f>
        <v/>
      </c>
      <c r="F48">
        <f>IF($X48="","",INDEX(Inventory!$A$2:$V$150,$X48,6))</f>
        <v/>
      </c>
      <c r="G48">
        <f>IF($X48="","",INDEX(Inventory!$A$2:$V$150,$X48,7))</f>
        <v/>
      </c>
      <c r="H48">
        <f>IF($X48="","",INDEX(Inventory!$A$2:$V$150,$X48,8))</f>
        <v/>
      </c>
      <c r="I48">
        <f>IF($X48="","",INDEX(Inventory!$A$2:$V$150,$X48,9))</f>
        <v/>
      </c>
      <c r="J48">
        <f>IF($X48="","",INDEX(Inventory!$A$2:$V$150,$X48,10))</f>
        <v/>
      </c>
      <c r="K48">
        <f>IF($X48="","",INDEX(Inventory!$A$2:$V$150,$X48,11))</f>
        <v/>
      </c>
      <c r="L48">
        <f>IF($X48="","",INDEX(Inventory!$A$2:$V$150,$X48,12))</f>
        <v/>
      </c>
      <c r="M48">
        <f>IF($X48="","",INDEX(Inventory!$A$2:$V$150,$X48,13))</f>
        <v/>
      </c>
      <c r="N48">
        <f>IF($X48="","",INDEX(Inventory!$A$2:$V$150,$X48,14))</f>
        <v/>
      </c>
      <c r="O48">
        <f>IF($X48="","",INDEX(Inventory!$A$2:$V$150,$X48,15))</f>
        <v/>
      </c>
      <c r="P48">
        <f>IF($X48="","",INDEX(Inventory!$A$2:$V$150,$X48,16))</f>
        <v/>
      </c>
      <c r="Q48">
        <f>IF($X48="","",INDEX(Inventory!$A$2:$V$150,$X48,17))</f>
        <v/>
      </c>
      <c r="R48">
        <f>IF($X48="","",INDEX(Inventory!$A$2:$V$150,$X48,18))</f>
        <v/>
      </c>
      <c r="S48">
        <f>IF($X48="","",INDEX(Inventory!$A$2:$V$150,$X48,19))</f>
        <v/>
      </c>
      <c r="T48">
        <f>IF($X48="","",INDEX(Inventory!$A$2:$V$150,$X48,20))</f>
        <v/>
      </c>
      <c r="U48">
        <f>IF($X48="","",INDEX(Inventory!$A$2:$V$150,$X48,21))</f>
        <v/>
      </c>
      <c r="V48">
        <f>IF($X48="","",INDEX(Inventory!$A$2:$V$150,$X48,22))</f>
        <v/>
      </c>
      <c r="X48">
        <f>IF($B$1="","",IFERROR(AGGREGATE(15,6,(ROW(Inventory!$B$2:$B$150)-ROW(Inventory!$B$2)+1)/(Inventory!$B$2:$B$150=$B$1),ROWS($A$6:A48)), ""))</f>
        <v/>
      </c>
    </row>
    <row r="49">
      <c r="A49">
        <f>IF($X49="","",INDEX(Inventory!$A$2:$V$150,$X49,1))</f>
        <v/>
      </c>
      <c r="B49">
        <f>IF($X49="","",INDEX(Inventory!$A$2:$V$150,$X49,2))</f>
        <v/>
      </c>
      <c r="C49">
        <f>IF($X49="","",INDEX(Inventory!$A$2:$V$150,$X49,3))</f>
        <v/>
      </c>
      <c r="D49">
        <f>IF($X49="","",INDEX(Inventory!$A$2:$V$150,$X49,4))</f>
        <v/>
      </c>
      <c r="E49">
        <f>IF($X49="","",INDEX(Inventory!$A$2:$V$150,$X49,5))</f>
        <v/>
      </c>
      <c r="F49">
        <f>IF($X49="","",INDEX(Inventory!$A$2:$V$150,$X49,6))</f>
        <v/>
      </c>
      <c r="G49">
        <f>IF($X49="","",INDEX(Inventory!$A$2:$V$150,$X49,7))</f>
        <v/>
      </c>
      <c r="H49">
        <f>IF($X49="","",INDEX(Inventory!$A$2:$V$150,$X49,8))</f>
        <v/>
      </c>
      <c r="I49">
        <f>IF($X49="","",INDEX(Inventory!$A$2:$V$150,$X49,9))</f>
        <v/>
      </c>
      <c r="J49">
        <f>IF($X49="","",INDEX(Inventory!$A$2:$V$150,$X49,10))</f>
        <v/>
      </c>
      <c r="K49">
        <f>IF($X49="","",INDEX(Inventory!$A$2:$V$150,$X49,11))</f>
        <v/>
      </c>
      <c r="L49">
        <f>IF($X49="","",INDEX(Inventory!$A$2:$V$150,$X49,12))</f>
        <v/>
      </c>
      <c r="M49">
        <f>IF($X49="","",INDEX(Inventory!$A$2:$V$150,$X49,13))</f>
        <v/>
      </c>
      <c r="N49">
        <f>IF($X49="","",INDEX(Inventory!$A$2:$V$150,$X49,14))</f>
        <v/>
      </c>
      <c r="O49">
        <f>IF($X49="","",INDEX(Inventory!$A$2:$V$150,$X49,15))</f>
        <v/>
      </c>
      <c r="P49">
        <f>IF($X49="","",INDEX(Inventory!$A$2:$V$150,$X49,16))</f>
        <v/>
      </c>
      <c r="Q49">
        <f>IF($X49="","",INDEX(Inventory!$A$2:$V$150,$X49,17))</f>
        <v/>
      </c>
      <c r="R49">
        <f>IF($X49="","",INDEX(Inventory!$A$2:$V$150,$X49,18))</f>
        <v/>
      </c>
      <c r="S49">
        <f>IF($X49="","",INDEX(Inventory!$A$2:$V$150,$X49,19))</f>
        <v/>
      </c>
      <c r="T49">
        <f>IF($X49="","",INDEX(Inventory!$A$2:$V$150,$X49,20))</f>
        <v/>
      </c>
      <c r="U49">
        <f>IF($X49="","",INDEX(Inventory!$A$2:$V$150,$X49,21))</f>
        <v/>
      </c>
      <c r="V49">
        <f>IF($X49="","",INDEX(Inventory!$A$2:$V$150,$X49,22))</f>
        <v/>
      </c>
      <c r="X49">
        <f>IF($B$1="","",IFERROR(AGGREGATE(15,6,(ROW(Inventory!$B$2:$B$150)-ROW(Inventory!$B$2)+1)/(Inventory!$B$2:$B$150=$B$1),ROWS($A$6:A49)), ""))</f>
        <v/>
      </c>
    </row>
    <row r="50">
      <c r="A50">
        <f>IF($X50="","",INDEX(Inventory!$A$2:$V$150,$X50,1))</f>
        <v/>
      </c>
      <c r="B50">
        <f>IF($X50="","",INDEX(Inventory!$A$2:$V$150,$X50,2))</f>
        <v/>
      </c>
      <c r="C50">
        <f>IF($X50="","",INDEX(Inventory!$A$2:$V$150,$X50,3))</f>
        <v/>
      </c>
      <c r="D50">
        <f>IF($X50="","",INDEX(Inventory!$A$2:$V$150,$X50,4))</f>
        <v/>
      </c>
      <c r="E50">
        <f>IF($X50="","",INDEX(Inventory!$A$2:$V$150,$X50,5))</f>
        <v/>
      </c>
      <c r="F50">
        <f>IF($X50="","",INDEX(Inventory!$A$2:$V$150,$X50,6))</f>
        <v/>
      </c>
      <c r="G50">
        <f>IF($X50="","",INDEX(Inventory!$A$2:$V$150,$X50,7))</f>
        <v/>
      </c>
      <c r="H50">
        <f>IF($X50="","",INDEX(Inventory!$A$2:$V$150,$X50,8))</f>
        <v/>
      </c>
      <c r="I50">
        <f>IF($X50="","",INDEX(Inventory!$A$2:$V$150,$X50,9))</f>
        <v/>
      </c>
      <c r="J50">
        <f>IF($X50="","",INDEX(Inventory!$A$2:$V$150,$X50,10))</f>
        <v/>
      </c>
      <c r="K50">
        <f>IF($X50="","",INDEX(Inventory!$A$2:$V$150,$X50,11))</f>
        <v/>
      </c>
      <c r="L50">
        <f>IF($X50="","",INDEX(Inventory!$A$2:$V$150,$X50,12))</f>
        <v/>
      </c>
      <c r="M50">
        <f>IF($X50="","",INDEX(Inventory!$A$2:$V$150,$X50,13))</f>
        <v/>
      </c>
      <c r="N50">
        <f>IF($X50="","",INDEX(Inventory!$A$2:$V$150,$X50,14))</f>
        <v/>
      </c>
      <c r="O50">
        <f>IF($X50="","",INDEX(Inventory!$A$2:$V$150,$X50,15))</f>
        <v/>
      </c>
      <c r="P50">
        <f>IF($X50="","",INDEX(Inventory!$A$2:$V$150,$X50,16))</f>
        <v/>
      </c>
      <c r="Q50">
        <f>IF($X50="","",INDEX(Inventory!$A$2:$V$150,$X50,17))</f>
        <v/>
      </c>
      <c r="R50">
        <f>IF($X50="","",INDEX(Inventory!$A$2:$V$150,$X50,18))</f>
        <v/>
      </c>
      <c r="S50">
        <f>IF($X50="","",INDEX(Inventory!$A$2:$V$150,$X50,19))</f>
        <v/>
      </c>
      <c r="T50">
        <f>IF($X50="","",INDEX(Inventory!$A$2:$V$150,$X50,20))</f>
        <v/>
      </c>
      <c r="U50">
        <f>IF($X50="","",INDEX(Inventory!$A$2:$V$150,$X50,21))</f>
        <v/>
      </c>
      <c r="V50">
        <f>IF($X50="","",INDEX(Inventory!$A$2:$V$150,$X50,22))</f>
        <v/>
      </c>
      <c r="X50">
        <f>IF($B$1="","",IFERROR(AGGREGATE(15,6,(ROW(Inventory!$B$2:$B$150)-ROW(Inventory!$B$2)+1)/(Inventory!$B$2:$B$150=$B$1),ROWS($A$6:A50)), ""))</f>
        <v/>
      </c>
    </row>
    <row r="51">
      <c r="A51">
        <f>IF($X51="","",INDEX(Inventory!$A$2:$V$150,$X51,1))</f>
        <v/>
      </c>
      <c r="B51">
        <f>IF($X51="","",INDEX(Inventory!$A$2:$V$150,$X51,2))</f>
        <v/>
      </c>
      <c r="C51">
        <f>IF($X51="","",INDEX(Inventory!$A$2:$V$150,$X51,3))</f>
        <v/>
      </c>
      <c r="D51">
        <f>IF($X51="","",INDEX(Inventory!$A$2:$V$150,$X51,4))</f>
        <v/>
      </c>
      <c r="E51">
        <f>IF($X51="","",INDEX(Inventory!$A$2:$V$150,$X51,5))</f>
        <v/>
      </c>
      <c r="F51">
        <f>IF($X51="","",INDEX(Inventory!$A$2:$V$150,$X51,6))</f>
        <v/>
      </c>
      <c r="G51">
        <f>IF($X51="","",INDEX(Inventory!$A$2:$V$150,$X51,7))</f>
        <v/>
      </c>
      <c r="H51">
        <f>IF($X51="","",INDEX(Inventory!$A$2:$V$150,$X51,8))</f>
        <v/>
      </c>
      <c r="I51">
        <f>IF($X51="","",INDEX(Inventory!$A$2:$V$150,$X51,9))</f>
        <v/>
      </c>
      <c r="J51">
        <f>IF($X51="","",INDEX(Inventory!$A$2:$V$150,$X51,10))</f>
        <v/>
      </c>
      <c r="K51">
        <f>IF($X51="","",INDEX(Inventory!$A$2:$V$150,$X51,11))</f>
        <v/>
      </c>
      <c r="L51">
        <f>IF($X51="","",INDEX(Inventory!$A$2:$V$150,$X51,12))</f>
        <v/>
      </c>
      <c r="M51">
        <f>IF($X51="","",INDEX(Inventory!$A$2:$V$150,$X51,13))</f>
        <v/>
      </c>
      <c r="N51">
        <f>IF($X51="","",INDEX(Inventory!$A$2:$V$150,$X51,14))</f>
        <v/>
      </c>
      <c r="O51">
        <f>IF($X51="","",INDEX(Inventory!$A$2:$V$150,$X51,15))</f>
        <v/>
      </c>
      <c r="P51">
        <f>IF($X51="","",INDEX(Inventory!$A$2:$V$150,$X51,16))</f>
        <v/>
      </c>
      <c r="Q51">
        <f>IF($X51="","",INDEX(Inventory!$A$2:$V$150,$X51,17))</f>
        <v/>
      </c>
      <c r="R51">
        <f>IF($X51="","",INDEX(Inventory!$A$2:$V$150,$X51,18))</f>
        <v/>
      </c>
      <c r="S51">
        <f>IF($X51="","",INDEX(Inventory!$A$2:$V$150,$X51,19))</f>
        <v/>
      </c>
      <c r="T51">
        <f>IF($X51="","",INDEX(Inventory!$A$2:$V$150,$X51,20))</f>
        <v/>
      </c>
      <c r="U51">
        <f>IF($X51="","",INDEX(Inventory!$A$2:$V$150,$X51,21))</f>
        <v/>
      </c>
      <c r="V51">
        <f>IF($X51="","",INDEX(Inventory!$A$2:$V$150,$X51,22))</f>
        <v/>
      </c>
      <c r="X51">
        <f>IF($B$1="","",IFERROR(AGGREGATE(15,6,(ROW(Inventory!$B$2:$B$150)-ROW(Inventory!$B$2)+1)/(Inventory!$B$2:$B$150=$B$1),ROWS($A$6:A51)), ""))</f>
        <v/>
      </c>
    </row>
    <row r="52">
      <c r="A52">
        <f>IF($X52="","",INDEX(Inventory!$A$2:$V$150,$X52,1))</f>
        <v/>
      </c>
      <c r="B52">
        <f>IF($X52="","",INDEX(Inventory!$A$2:$V$150,$X52,2))</f>
        <v/>
      </c>
      <c r="C52">
        <f>IF($X52="","",INDEX(Inventory!$A$2:$V$150,$X52,3))</f>
        <v/>
      </c>
      <c r="D52">
        <f>IF($X52="","",INDEX(Inventory!$A$2:$V$150,$X52,4))</f>
        <v/>
      </c>
      <c r="E52">
        <f>IF($X52="","",INDEX(Inventory!$A$2:$V$150,$X52,5))</f>
        <v/>
      </c>
      <c r="F52">
        <f>IF($X52="","",INDEX(Inventory!$A$2:$V$150,$X52,6))</f>
        <v/>
      </c>
      <c r="G52">
        <f>IF($X52="","",INDEX(Inventory!$A$2:$V$150,$X52,7))</f>
        <v/>
      </c>
      <c r="H52">
        <f>IF($X52="","",INDEX(Inventory!$A$2:$V$150,$X52,8))</f>
        <v/>
      </c>
      <c r="I52">
        <f>IF($X52="","",INDEX(Inventory!$A$2:$V$150,$X52,9))</f>
        <v/>
      </c>
      <c r="J52">
        <f>IF($X52="","",INDEX(Inventory!$A$2:$V$150,$X52,10))</f>
        <v/>
      </c>
      <c r="K52">
        <f>IF($X52="","",INDEX(Inventory!$A$2:$V$150,$X52,11))</f>
        <v/>
      </c>
      <c r="L52">
        <f>IF($X52="","",INDEX(Inventory!$A$2:$V$150,$X52,12))</f>
        <v/>
      </c>
      <c r="M52">
        <f>IF($X52="","",INDEX(Inventory!$A$2:$V$150,$X52,13))</f>
        <v/>
      </c>
      <c r="N52">
        <f>IF($X52="","",INDEX(Inventory!$A$2:$V$150,$X52,14))</f>
        <v/>
      </c>
      <c r="O52">
        <f>IF($X52="","",INDEX(Inventory!$A$2:$V$150,$X52,15))</f>
        <v/>
      </c>
      <c r="P52">
        <f>IF($X52="","",INDEX(Inventory!$A$2:$V$150,$X52,16))</f>
        <v/>
      </c>
      <c r="Q52">
        <f>IF($X52="","",INDEX(Inventory!$A$2:$V$150,$X52,17))</f>
        <v/>
      </c>
      <c r="R52">
        <f>IF($X52="","",INDEX(Inventory!$A$2:$V$150,$X52,18))</f>
        <v/>
      </c>
      <c r="S52">
        <f>IF($X52="","",INDEX(Inventory!$A$2:$V$150,$X52,19))</f>
        <v/>
      </c>
      <c r="T52">
        <f>IF($X52="","",INDEX(Inventory!$A$2:$V$150,$X52,20))</f>
        <v/>
      </c>
      <c r="U52">
        <f>IF($X52="","",INDEX(Inventory!$A$2:$V$150,$X52,21))</f>
        <v/>
      </c>
      <c r="V52">
        <f>IF($X52="","",INDEX(Inventory!$A$2:$V$150,$X52,22))</f>
        <v/>
      </c>
      <c r="X52">
        <f>IF($B$1="","",IFERROR(AGGREGATE(15,6,(ROW(Inventory!$B$2:$B$150)-ROW(Inventory!$B$2)+1)/(Inventory!$B$2:$B$150=$B$1),ROWS($A$6:A52)), ""))</f>
        <v/>
      </c>
    </row>
    <row r="53">
      <c r="A53">
        <f>IF($X53="","",INDEX(Inventory!$A$2:$V$150,$X53,1))</f>
        <v/>
      </c>
      <c r="B53">
        <f>IF($X53="","",INDEX(Inventory!$A$2:$V$150,$X53,2))</f>
        <v/>
      </c>
      <c r="C53">
        <f>IF($X53="","",INDEX(Inventory!$A$2:$V$150,$X53,3))</f>
        <v/>
      </c>
      <c r="D53">
        <f>IF($X53="","",INDEX(Inventory!$A$2:$V$150,$X53,4))</f>
        <v/>
      </c>
      <c r="E53">
        <f>IF($X53="","",INDEX(Inventory!$A$2:$V$150,$X53,5))</f>
        <v/>
      </c>
      <c r="F53">
        <f>IF($X53="","",INDEX(Inventory!$A$2:$V$150,$X53,6))</f>
        <v/>
      </c>
      <c r="G53">
        <f>IF($X53="","",INDEX(Inventory!$A$2:$V$150,$X53,7))</f>
        <v/>
      </c>
      <c r="H53">
        <f>IF($X53="","",INDEX(Inventory!$A$2:$V$150,$X53,8))</f>
        <v/>
      </c>
      <c r="I53">
        <f>IF($X53="","",INDEX(Inventory!$A$2:$V$150,$X53,9))</f>
        <v/>
      </c>
      <c r="J53">
        <f>IF($X53="","",INDEX(Inventory!$A$2:$V$150,$X53,10))</f>
        <v/>
      </c>
      <c r="K53">
        <f>IF($X53="","",INDEX(Inventory!$A$2:$V$150,$X53,11))</f>
        <v/>
      </c>
      <c r="L53">
        <f>IF($X53="","",INDEX(Inventory!$A$2:$V$150,$X53,12))</f>
        <v/>
      </c>
      <c r="M53">
        <f>IF($X53="","",INDEX(Inventory!$A$2:$V$150,$X53,13))</f>
        <v/>
      </c>
      <c r="N53">
        <f>IF($X53="","",INDEX(Inventory!$A$2:$V$150,$X53,14))</f>
        <v/>
      </c>
      <c r="O53">
        <f>IF($X53="","",INDEX(Inventory!$A$2:$V$150,$X53,15))</f>
        <v/>
      </c>
      <c r="P53">
        <f>IF($X53="","",INDEX(Inventory!$A$2:$V$150,$X53,16))</f>
        <v/>
      </c>
      <c r="Q53">
        <f>IF($X53="","",INDEX(Inventory!$A$2:$V$150,$X53,17))</f>
        <v/>
      </c>
      <c r="R53">
        <f>IF($X53="","",INDEX(Inventory!$A$2:$V$150,$X53,18))</f>
        <v/>
      </c>
      <c r="S53">
        <f>IF($X53="","",INDEX(Inventory!$A$2:$V$150,$X53,19))</f>
        <v/>
      </c>
      <c r="T53">
        <f>IF($X53="","",INDEX(Inventory!$A$2:$V$150,$X53,20))</f>
        <v/>
      </c>
      <c r="U53">
        <f>IF($X53="","",INDEX(Inventory!$A$2:$V$150,$X53,21))</f>
        <v/>
      </c>
      <c r="V53">
        <f>IF($X53="","",INDEX(Inventory!$A$2:$V$150,$X53,22))</f>
        <v/>
      </c>
      <c r="X53">
        <f>IF($B$1="","",IFERROR(AGGREGATE(15,6,(ROW(Inventory!$B$2:$B$150)-ROW(Inventory!$B$2)+1)/(Inventory!$B$2:$B$150=$B$1),ROWS($A$6:A53)), ""))</f>
        <v/>
      </c>
    </row>
    <row r="54">
      <c r="A54">
        <f>IF($X54="","",INDEX(Inventory!$A$2:$V$150,$X54,1))</f>
        <v/>
      </c>
      <c r="B54">
        <f>IF($X54="","",INDEX(Inventory!$A$2:$V$150,$X54,2))</f>
        <v/>
      </c>
      <c r="C54">
        <f>IF($X54="","",INDEX(Inventory!$A$2:$V$150,$X54,3))</f>
        <v/>
      </c>
      <c r="D54">
        <f>IF($X54="","",INDEX(Inventory!$A$2:$V$150,$X54,4))</f>
        <v/>
      </c>
      <c r="E54">
        <f>IF($X54="","",INDEX(Inventory!$A$2:$V$150,$X54,5))</f>
        <v/>
      </c>
      <c r="F54">
        <f>IF($X54="","",INDEX(Inventory!$A$2:$V$150,$X54,6))</f>
        <v/>
      </c>
      <c r="G54">
        <f>IF($X54="","",INDEX(Inventory!$A$2:$V$150,$X54,7))</f>
        <v/>
      </c>
      <c r="H54">
        <f>IF($X54="","",INDEX(Inventory!$A$2:$V$150,$X54,8))</f>
        <v/>
      </c>
      <c r="I54">
        <f>IF($X54="","",INDEX(Inventory!$A$2:$V$150,$X54,9))</f>
        <v/>
      </c>
      <c r="J54">
        <f>IF($X54="","",INDEX(Inventory!$A$2:$V$150,$X54,10))</f>
        <v/>
      </c>
      <c r="K54">
        <f>IF($X54="","",INDEX(Inventory!$A$2:$V$150,$X54,11))</f>
        <v/>
      </c>
      <c r="L54">
        <f>IF($X54="","",INDEX(Inventory!$A$2:$V$150,$X54,12))</f>
        <v/>
      </c>
      <c r="M54">
        <f>IF($X54="","",INDEX(Inventory!$A$2:$V$150,$X54,13))</f>
        <v/>
      </c>
      <c r="N54">
        <f>IF($X54="","",INDEX(Inventory!$A$2:$V$150,$X54,14))</f>
        <v/>
      </c>
      <c r="O54">
        <f>IF($X54="","",INDEX(Inventory!$A$2:$V$150,$X54,15))</f>
        <v/>
      </c>
      <c r="P54">
        <f>IF($X54="","",INDEX(Inventory!$A$2:$V$150,$X54,16))</f>
        <v/>
      </c>
      <c r="Q54">
        <f>IF($X54="","",INDEX(Inventory!$A$2:$V$150,$X54,17))</f>
        <v/>
      </c>
      <c r="R54">
        <f>IF($X54="","",INDEX(Inventory!$A$2:$V$150,$X54,18))</f>
        <v/>
      </c>
      <c r="S54">
        <f>IF($X54="","",INDEX(Inventory!$A$2:$V$150,$X54,19))</f>
        <v/>
      </c>
      <c r="T54">
        <f>IF($X54="","",INDEX(Inventory!$A$2:$V$150,$X54,20))</f>
        <v/>
      </c>
      <c r="U54">
        <f>IF($X54="","",INDEX(Inventory!$A$2:$V$150,$X54,21))</f>
        <v/>
      </c>
      <c r="V54">
        <f>IF($X54="","",INDEX(Inventory!$A$2:$V$150,$X54,22))</f>
        <v/>
      </c>
      <c r="X54">
        <f>IF($B$1="","",IFERROR(AGGREGATE(15,6,(ROW(Inventory!$B$2:$B$150)-ROW(Inventory!$B$2)+1)/(Inventory!$B$2:$B$150=$B$1),ROWS($A$6:A54)), ""))</f>
        <v/>
      </c>
    </row>
    <row r="55">
      <c r="A55">
        <f>IF($X55="","",INDEX(Inventory!$A$2:$V$150,$X55,1))</f>
        <v/>
      </c>
      <c r="B55">
        <f>IF($X55="","",INDEX(Inventory!$A$2:$V$150,$X55,2))</f>
        <v/>
      </c>
      <c r="C55">
        <f>IF($X55="","",INDEX(Inventory!$A$2:$V$150,$X55,3))</f>
        <v/>
      </c>
      <c r="D55">
        <f>IF($X55="","",INDEX(Inventory!$A$2:$V$150,$X55,4))</f>
        <v/>
      </c>
      <c r="E55">
        <f>IF($X55="","",INDEX(Inventory!$A$2:$V$150,$X55,5))</f>
        <v/>
      </c>
      <c r="F55">
        <f>IF($X55="","",INDEX(Inventory!$A$2:$V$150,$X55,6))</f>
        <v/>
      </c>
      <c r="G55">
        <f>IF($X55="","",INDEX(Inventory!$A$2:$V$150,$X55,7))</f>
        <v/>
      </c>
      <c r="H55">
        <f>IF($X55="","",INDEX(Inventory!$A$2:$V$150,$X55,8))</f>
        <v/>
      </c>
      <c r="I55">
        <f>IF($X55="","",INDEX(Inventory!$A$2:$V$150,$X55,9))</f>
        <v/>
      </c>
      <c r="J55">
        <f>IF($X55="","",INDEX(Inventory!$A$2:$V$150,$X55,10))</f>
        <v/>
      </c>
      <c r="K55">
        <f>IF($X55="","",INDEX(Inventory!$A$2:$V$150,$X55,11))</f>
        <v/>
      </c>
      <c r="L55">
        <f>IF($X55="","",INDEX(Inventory!$A$2:$V$150,$X55,12))</f>
        <v/>
      </c>
      <c r="M55">
        <f>IF($X55="","",INDEX(Inventory!$A$2:$V$150,$X55,13))</f>
        <v/>
      </c>
      <c r="N55">
        <f>IF($X55="","",INDEX(Inventory!$A$2:$V$150,$X55,14))</f>
        <v/>
      </c>
      <c r="O55">
        <f>IF($X55="","",INDEX(Inventory!$A$2:$V$150,$X55,15))</f>
        <v/>
      </c>
      <c r="P55">
        <f>IF($X55="","",INDEX(Inventory!$A$2:$V$150,$X55,16))</f>
        <v/>
      </c>
      <c r="Q55">
        <f>IF($X55="","",INDEX(Inventory!$A$2:$V$150,$X55,17))</f>
        <v/>
      </c>
      <c r="R55">
        <f>IF($X55="","",INDEX(Inventory!$A$2:$V$150,$X55,18))</f>
        <v/>
      </c>
      <c r="S55">
        <f>IF($X55="","",INDEX(Inventory!$A$2:$V$150,$X55,19))</f>
        <v/>
      </c>
      <c r="T55">
        <f>IF($X55="","",INDEX(Inventory!$A$2:$V$150,$X55,20))</f>
        <v/>
      </c>
      <c r="U55">
        <f>IF($X55="","",INDEX(Inventory!$A$2:$V$150,$X55,21))</f>
        <v/>
      </c>
      <c r="V55">
        <f>IF($X55="","",INDEX(Inventory!$A$2:$V$150,$X55,22))</f>
        <v/>
      </c>
      <c r="X55">
        <f>IF($B$1="","",IFERROR(AGGREGATE(15,6,(ROW(Inventory!$B$2:$B$150)-ROW(Inventory!$B$2)+1)/(Inventory!$B$2:$B$150=$B$1),ROWS($A$6:A55)), ""))</f>
        <v/>
      </c>
    </row>
    <row r="56">
      <c r="A56">
        <f>IF($X56="","",INDEX(Inventory!$A$2:$V$150,$X56,1))</f>
        <v/>
      </c>
      <c r="B56">
        <f>IF($X56="","",INDEX(Inventory!$A$2:$V$150,$X56,2))</f>
        <v/>
      </c>
      <c r="C56">
        <f>IF($X56="","",INDEX(Inventory!$A$2:$V$150,$X56,3))</f>
        <v/>
      </c>
      <c r="D56">
        <f>IF($X56="","",INDEX(Inventory!$A$2:$V$150,$X56,4))</f>
        <v/>
      </c>
      <c r="E56">
        <f>IF($X56="","",INDEX(Inventory!$A$2:$V$150,$X56,5))</f>
        <v/>
      </c>
      <c r="F56">
        <f>IF($X56="","",INDEX(Inventory!$A$2:$V$150,$X56,6))</f>
        <v/>
      </c>
      <c r="G56">
        <f>IF($X56="","",INDEX(Inventory!$A$2:$V$150,$X56,7))</f>
        <v/>
      </c>
      <c r="H56">
        <f>IF($X56="","",INDEX(Inventory!$A$2:$V$150,$X56,8))</f>
        <v/>
      </c>
      <c r="I56">
        <f>IF($X56="","",INDEX(Inventory!$A$2:$V$150,$X56,9))</f>
        <v/>
      </c>
      <c r="J56">
        <f>IF($X56="","",INDEX(Inventory!$A$2:$V$150,$X56,10))</f>
        <v/>
      </c>
      <c r="K56">
        <f>IF($X56="","",INDEX(Inventory!$A$2:$V$150,$X56,11))</f>
        <v/>
      </c>
      <c r="L56">
        <f>IF($X56="","",INDEX(Inventory!$A$2:$V$150,$X56,12))</f>
        <v/>
      </c>
      <c r="M56">
        <f>IF($X56="","",INDEX(Inventory!$A$2:$V$150,$X56,13))</f>
        <v/>
      </c>
      <c r="N56">
        <f>IF($X56="","",INDEX(Inventory!$A$2:$V$150,$X56,14))</f>
        <v/>
      </c>
      <c r="O56">
        <f>IF($X56="","",INDEX(Inventory!$A$2:$V$150,$X56,15))</f>
        <v/>
      </c>
      <c r="P56">
        <f>IF($X56="","",INDEX(Inventory!$A$2:$V$150,$X56,16))</f>
        <v/>
      </c>
      <c r="Q56">
        <f>IF($X56="","",INDEX(Inventory!$A$2:$V$150,$X56,17))</f>
        <v/>
      </c>
      <c r="R56">
        <f>IF($X56="","",INDEX(Inventory!$A$2:$V$150,$X56,18))</f>
        <v/>
      </c>
      <c r="S56">
        <f>IF($X56="","",INDEX(Inventory!$A$2:$V$150,$X56,19))</f>
        <v/>
      </c>
      <c r="T56">
        <f>IF($X56="","",INDEX(Inventory!$A$2:$V$150,$X56,20))</f>
        <v/>
      </c>
      <c r="U56">
        <f>IF($X56="","",INDEX(Inventory!$A$2:$V$150,$X56,21))</f>
        <v/>
      </c>
      <c r="V56">
        <f>IF($X56="","",INDEX(Inventory!$A$2:$V$150,$X56,22))</f>
        <v/>
      </c>
      <c r="X56">
        <f>IF($B$1="","",IFERROR(AGGREGATE(15,6,(ROW(Inventory!$B$2:$B$150)-ROW(Inventory!$B$2)+1)/(Inventory!$B$2:$B$150=$B$1),ROWS($A$6:A56)), ""))</f>
        <v/>
      </c>
    </row>
    <row r="57">
      <c r="A57">
        <f>IF($X57="","",INDEX(Inventory!$A$2:$V$150,$X57,1))</f>
        <v/>
      </c>
      <c r="B57">
        <f>IF($X57="","",INDEX(Inventory!$A$2:$V$150,$X57,2))</f>
        <v/>
      </c>
      <c r="C57">
        <f>IF($X57="","",INDEX(Inventory!$A$2:$V$150,$X57,3))</f>
        <v/>
      </c>
      <c r="D57">
        <f>IF($X57="","",INDEX(Inventory!$A$2:$V$150,$X57,4))</f>
        <v/>
      </c>
      <c r="E57">
        <f>IF($X57="","",INDEX(Inventory!$A$2:$V$150,$X57,5))</f>
        <v/>
      </c>
      <c r="F57">
        <f>IF($X57="","",INDEX(Inventory!$A$2:$V$150,$X57,6))</f>
        <v/>
      </c>
      <c r="G57">
        <f>IF($X57="","",INDEX(Inventory!$A$2:$V$150,$X57,7))</f>
        <v/>
      </c>
      <c r="H57">
        <f>IF($X57="","",INDEX(Inventory!$A$2:$V$150,$X57,8))</f>
        <v/>
      </c>
      <c r="I57">
        <f>IF($X57="","",INDEX(Inventory!$A$2:$V$150,$X57,9))</f>
        <v/>
      </c>
      <c r="J57">
        <f>IF($X57="","",INDEX(Inventory!$A$2:$V$150,$X57,10))</f>
        <v/>
      </c>
      <c r="K57">
        <f>IF($X57="","",INDEX(Inventory!$A$2:$V$150,$X57,11))</f>
        <v/>
      </c>
      <c r="L57">
        <f>IF($X57="","",INDEX(Inventory!$A$2:$V$150,$X57,12))</f>
        <v/>
      </c>
      <c r="M57">
        <f>IF($X57="","",INDEX(Inventory!$A$2:$V$150,$X57,13))</f>
        <v/>
      </c>
      <c r="N57">
        <f>IF($X57="","",INDEX(Inventory!$A$2:$V$150,$X57,14))</f>
        <v/>
      </c>
      <c r="O57">
        <f>IF($X57="","",INDEX(Inventory!$A$2:$V$150,$X57,15))</f>
        <v/>
      </c>
      <c r="P57">
        <f>IF($X57="","",INDEX(Inventory!$A$2:$V$150,$X57,16))</f>
        <v/>
      </c>
      <c r="Q57">
        <f>IF($X57="","",INDEX(Inventory!$A$2:$V$150,$X57,17))</f>
        <v/>
      </c>
      <c r="R57">
        <f>IF($X57="","",INDEX(Inventory!$A$2:$V$150,$X57,18))</f>
        <v/>
      </c>
      <c r="S57">
        <f>IF($X57="","",INDEX(Inventory!$A$2:$V$150,$X57,19))</f>
        <v/>
      </c>
      <c r="T57">
        <f>IF($X57="","",INDEX(Inventory!$A$2:$V$150,$X57,20))</f>
        <v/>
      </c>
      <c r="U57">
        <f>IF($X57="","",INDEX(Inventory!$A$2:$V$150,$X57,21))</f>
        <v/>
      </c>
      <c r="V57">
        <f>IF($X57="","",INDEX(Inventory!$A$2:$V$150,$X57,22))</f>
        <v/>
      </c>
      <c r="X57">
        <f>IF($B$1="","",IFERROR(AGGREGATE(15,6,(ROW(Inventory!$B$2:$B$150)-ROW(Inventory!$B$2)+1)/(Inventory!$B$2:$B$150=$B$1),ROWS($A$6:A57)), ""))</f>
        <v/>
      </c>
    </row>
    <row r="58">
      <c r="A58">
        <f>IF($X58="","",INDEX(Inventory!$A$2:$V$150,$X58,1))</f>
        <v/>
      </c>
      <c r="B58">
        <f>IF($X58="","",INDEX(Inventory!$A$2:$V$150,$X58,2))</f>
        <v/>
      </c>
      <c r="C58">
        <f>IF($X58="","",INDEX(Inventory!$A$2:$V$150,$X58,3))</f>
        <v/>
      </c>
      <c r="D58">
        <f>IF($X58="","",INDEX(Inventory!$A$2:$V$150,$X58,4))</f>
        <v/>
      </c>
      <c r="E58">
        <f>IF($X58="","",INDEX(Inventory!$A$2:$V$150,$X58,5))</f>
        <v/>
      </c>
      <c r="F58">
        <f>IF($X58="","",INDEX(Inventory!$A$2:$V$150,$X58,6))</f>
        <v/>
      </c>
      <c r="G58">
        <f>IF($X58="","",INDEX(Inventory!$A$2:$V$150,$X58,7))</f>
        <v/>
      </c>
      <c r="H58">
        <f>IF($X58="","",INDEX(Inventory!$A$2:$V$150,$X58,8))</f>
        <v/>
      </c>
      <c r="I58">
        <f>IF($X58="","",INDEX(Inventory!$A$2:$V$150,$X58,9))</f>
        <v/>
      </c>
      <c r="J58">
        <f>IF($X58="","",INDEX(Inventory!$A$2:$V$150,$X58,10))</f>
        <v/>
      </c>
      <c r="K58">
        <f>IF($X58="","",INDEX(Inventory!$A$2:$V$150,$X58,11))</f>
        <v/>
      </c>
      <c r="L58">
        <f>IF($X58="","",INDEX(Inventory!$A$2:$V$150,$X58,12))</f>
        <v/>
      </c>
      <c r="M58">
        <f>IF($X58="","",INDEX(Inventory!$A$2:$V$150,$X58,13))</f>
        <v/>
      </c>
      <c r="N58">
        <f>IF($X58="","",INDEX(Inventory!$A$2:$V$150,$X58,14))</f>
        <v/>
      </c>
      <c r="O58">
        <f>IF($X58="","",INDEX(Inventory!$A$2:$V$150,$X58,15))</f>
        <v/>
      </c>
      <c r="P58">
        <f>IF($X58="","",INDEX(Inventory!$A$2:$V$150,$X58,16))</f>
        <v/>
      </c>
      <c r="Q58">
        <f>IF($X58="","",INDEX(Inventory!$A$2:$V$150,$X58,17))</f>
        <v/>
      </c>
      <c r="R58">
        <f>IF($X58="","",INDEX(Inventory!$A$2:$V$150,$X58,18))</f>
        <v/>
      </c>
      <c r="S58">
        <f>IF($X58="","",INDEX(Inventory!$A$2:$V$150,$X58,19))</f>
        <v/>
      </c>
      <c r="T58">
        <f>IF($X58="","",INDEX(Inventory!$A$2:$V$150,$X58,20))</f>
        <v/>
      </c>
      <c r="U58">
        <f>IF($X58="","",INDEX(Inventory!$A$2:$V$150,$X58,21))</f>
        <v/>
      </c>
      <c r="V58">
        <f>IF($X58="","",INDEX(Inventory!$A$2:$V$150,$X58,22))</f>
        <v/>
      </c>
      <c r="X58">
        <f>IF($B$1="","",IFERROR(AGGREGATE(15,6,(ROW(Inventory!$B$2:$B$150)-ROW(Inventory!$B$2)+1)/(Inventory!$B$2:$B$150=$B$1),ROWS($A$6:A58)), ""))</f>
        <v/>
      </c>
    </row>
    <row r="59">
      <c r="A59">
        <f>IF($X59="","",INDEX(Inventory!$A$2:$V$150,$X59,1))</f>
        <v/>
      </c>
      <c r="B59">
        <f>IF($X59="","",INDEX(Inventory!$A$2:$V$150,$X59,2))</f>
        <v/>
      </c>
      <c r="C59">
        <f>IF($X59="","",INDEX(Inventory!$A$2:$V$150,$X59,3))</f>
        <v/>
      </c>
      <c r="D59">
        <f>IF($X59="","",INDEX(Inventory!$A$2:$V$150,$X59,4))</f>
        <v/>
      </c>
      <c r="E59">
        <f>IF($X59="","",INDEX(Inventory!$A$2:$V$150,$X59,5))</f>
        <v/>
      </c>
      <c r="F59">
        <f>IF($X59="","",INDEX(Inventory!$A$2:$V$150,$X59,6))</f>
        <v/>
      </c>
      <c r="G59">
        <f>IF($X59="","",INDEX(Inventory!$A$2:$V$150,$X59,7))</f>
        <v/>
      </c>
      <c r="H59">
        <f>IF($X59="","",INDEX(Inventory!$A$2:$V$150,$X59,8))</f>
        <v/>
      </c>
      <c r="I59">
        <f>IF($X59="","",INDEX(Inventory!$A$2:$V$150,$X59,9))</f>
        <v/>
      </c>
      <c r="J59">
        <f>IF($X59="","",INDEX(Inventory!$A$2:$V$150,$X59,10))</f>
        <v/>
      </c>
      <c r="K59">
        <f>IF($X59="","",INDEX(Inventory!$A$2:$V$150,$X59,11))</f>
        <v/>
      </c>
      <c r="L59">
        <f>IF($X59="","",INDEX(Inventory!$A$2:$V$150,$X59,12))</f>
        <v/>
      </c>
      <c r="M59">
        <f>IF($X59="","",INDEX(Inventory!$A$2:$V$150,$X59,13))</f>
        <v/>
      </c>
      <c r="N59">
        <f>IF($X59="","",INDEX(Inventory!$A$2:$V$150,$X59,14))</f>
        <v/>
      </c>
      <c r="O59">
        <f>IF($X59="","",INDEX(Inventory!$A$2:$V$150,$X59,15))</f>
        <v/>
      </c>
      <c r="P59">
        <f>IF($X59="","",INDEX(Inventory!$A$2:$V$150,$X59,16))</f>
        <v/>
      </c>
      <c r="Q59">
        <f>IF($X59="","",INDEX(Inventory!$A$2:$V$150,$X59,17))</f>
        <v/>
      </c>
      <c r="R59">
        <f>IF($X59="","",INDEX(Inventory!$A$2:$V$150,$X59,18))</f>
        <v/>
      </c>
      <c r="S59">
        <f>IF($X59="","",INDEX(Inventory!$A$2:$V$150,$X59,19))</f>
        <v/>
      </c>
      <c r="T59">
        <f>IF($X59="","",INDEX(Inventory!$A$2:$V$150,$X59,20))</f>
        <v/>
      </c>
      <c r="U59">
        <f>IF($X59="","",INDEX(Inventory!$A$2:$V$150,$X59,21))</f>
        <v/>
      </c>
      <c r="V59">
        <f>IF($X59="","",INDEX(Inventory!$A$2:$V$150,$X59,22))</f>
        <v/>
      </c>
      <c r="X59">
        <f>IF($B$1="","",IFERROR(AGGREGATE(15,6,(ROW(Inventory!$B$2:$B$150)-ROW(Inventory!$B$2)+1)/(Inventory!$B$2:$B$150=$B$1),ROWS($A$6:A59)), ""))</f>
        <v/>
      </c>
    </row>
    <row r="60">
      <c r="A60">
        <f>IF($X60="","",INDEX(Inventory!$A$2:$V$150,$X60,1))</f>
        <v/>
      </c>
      <c r="B60">
        <f>IF($X60="","",INDEX(Inventory!$A$2:$V$150,$X60,2))</f>
        <v/>
      </c>
      <c r="C60">
        <f>IF($X60="","",INDEX(Inventory!$A$2:$V$150,$X60,3))</f>
        <v/>
      </c>
      <c r="D60">
        <f>IF($X60="","",INDEX(Inventory!$A$2:$V$150,$X60,4))</f>
        <v/>
      </c>
      <c r="E60">
        <f>IF($X60="","",INDEX(Inventory!$A$2:$V$150,$X60,5))</f>
        <v/>
      </c>
      <c r="F60">
        <f>IF($X60="","",INDEX(Inventory!$A$2:$V$150,$X60,6))</f>
        <v/>
      </c>
      <c r="G60">
        <f>IF($X60="","",INDEX(Inventory!$A$2:$V$150,$X60,7))</f>
        <v/>
      </c>
      <c r="H60">
        <f>IF($X60="","",INDEX(Inventory!$A$2:$V$150,$X60,8))</f>
        <v/>
      </c>
      <c r="I60">
        <f>IF($X60="","",INDEX(Inventory!$A$2:$V$150,$X60,9))</f>
        <v/>
      </c>
      <c r="J60">
        <f>IF($X60="","",INDEX(Inventory!$A$2:$V$150,$X60,10))</f>
        <v/>
      </c>
      <c r="K60">
        <f>IF($X60="","",INDEX(Inventory!$A$2:$V$150,$X60,11))</f>
        <v/>
      </c>
      <c r="L60">
        <f>IF($X60="","",INDEX(Inventory!$A$2:$V$150,$X60,12))</f>
        <v/>
      </c>
      <c r="M60">
        <f>IF($X60="","",INDEX(Inventory!$A$2:$V$150,$X60,13))</f>
        <v/>
      </c>
      <c r="N60">
        <f>IF($X60="","",INDEX(Inventory!$A$2:$V$150,$X60,14))</f>
        <v/>
      </c>
      <c r="O60">
        <f>IF($X60="","",INDEX(Inventory!$A$2:$V$150,$X60,15))</f>
        <v/>
      </c>
      <c r="P60">
        <f>IF($X60="","",INDEX(Inventory!$A$2:$V$150,$X60,16))</f>
        <v/>
      </c>
      <c r="Q60">
        <f>IF($X60="","",INDEX(Inventory!$A$2:$V$150,$X60,17))</f>
        <v/>
      </c>
      <c r="R60">
        <f>IF($X60="","",INDEX(Inventory!$A$2:$V$150,$X60,18))</f>
        <v/>
      </c>
      <c r="S60">
        <f>IF($X60="","",INDEX(Inventory!$A$2:$V$150,$X60,19))</f>
        <v/>
      </c>
      <c r="T60">
        <f>IF($X60="","",INDEX(Inventory!$A$2:$V$150,$X60,20))</f>
        <v/>
      </c>
      <c r="U60">
        <f>IF($X60="","",INDEX(Inventory!$A$2:$V$150,$X60,21))</f>
        <v/>
      </c>
      <c r="V60">
        <f>IF($X60="","",INDEX(Inventory!$A$2:$V$150,$X60,22))</f>
        <v/>
      </c>
      <c r="X60">
        <f>IF($B$1="","",IFERROR(AGGREGATE(15,6,(ROW(Inventory!$B$2:$B$150)-ROW(Inventory!$B$2)+1)/(Inventory!$B$2:$B$150=$B$1),ROWS($A$6:A60)), ""))</f>
        <v/>
      </c>
    </row>
    <row r="61">
      <c r="A61">
        <f>IF($X61="","",INDEX(Inventory!$A$2:$V$150,$X61,1))</f>
        <v/>
      </c>
      <c r="B61">
        <f>IF($X61="","",INDEX(Inventory!$A$2:$V$150,$X61,2))</f>
        <v/>
      </c>
      <c r="C61">
        <f>IF($X61="","",INDEX(Inventory!$A$2:$V$150,$X61,3))</f>
        <v/>
      </c>
      <c r="D61">
        <f>IF($X61="","",INDEX(Inventory!$A$2:$V$150,$X61,4))</f>
        <v/>
      </c>
      <c r="E61">
        <f>IF($X61="","",INDEX(Inventory!$A$2:$V$150,$X61,5))</f>
        <v/>
      </c>
      <c r="F61">
        <f>IF($X61="","",INDEX(Inventory!$A$2:$V$150,$X61,6))</f>
        <v/>
      </c>
      <c r="G61">
        <f>IF($X61="","",INDEX(Inventory!$A$2:$V$150,$X61,7))</f>
        <v/>
      </c>
      <c r="H61">
        <f>IF($X61="","",INDEX(Inventory!$A$2:$V$150,$X61,8))</f>
        <v/>
      </c>
      <c r="I61">
        <f>IF($X61="","",INDEX(Inventory!$A$2:$V$150,$X61,9))</f>
        <v/>
      </c>
      <c r="J61">
        <f>IF($X61="","",INDEX(Inventory!$A$2:$V$150,$X61,10))</f>
        <v/>
      </c>
      <c r="K61">
        <f>IF($X61="","",INDEX(Inventory!$A$2:$V$150,$X61,11))</f>
        <v/>
      </c>
      <c r="L61">
        <f>IF($X61="","",INDEX(Inventory!$A$2:$V$150,$X61,12))</f>
        <v/>
      </c>
      <c r="M61">
        <f>IF($X61="","",INDEX(Inventory!$A$2:$V$150,$X61,13))</f>
        <v/>
      </c>
      <c r="N61">
        <f>IF($X61="","",INDEX(Inventory!$A$2:$V$150,$X61,14))</f>
        <v/>
      </c>
      <c r="O61">
        <f>IF($X61="","",INDEX(Inventory!$A$2:$V$150,$X61,15))</f>
        <v/>
      </c>
      <c r="P61">
        <f>IF($X61="","",INDEX(Inventory!$A$2:$V$150,$X61,16))</f>
        <v/>
      </c>
      <c r="Q61">
        <f>IF($X61="","",INDEX(Inventory!$A$2:$V$150,$X61,17))</f>
        <v/>
      </c>
      <c r="R61">
        <f>IF($X61="","",INDEX(Inventory!$A$2:$V$150,$X61,18))</f>
        <v/>
      </c>
      <c r="S61">
        <f>IF($X61="","",INDEX(Inventory!$A$2:$V$150,$X61,19))</f>
        <v/>
      </c>
      <c r="T61">
        <f>IF($X61="","",INDEX(Inventory!$A$2:$V$150,$X61,20))</f>
        <v/>
      </c>
      <c r="U61">
        <f>IF($X61="","",INDEX(Inventory!$A$2:$V$150,$X61,21))</f>
        <v/>
      </c>
      <c r="V61">
        <f>IF($X61="","",INDEX(Inventory!$A$2:$V$150,$X61,22))</f>
        <v/>
      </c>
      <c r="X61">
        <f>IF($B$1="","",IFERROR(AGGREGATE(15,6,(ROW(Inventory!$B$2:$B$150)-ROW(Inventory!$B$2)+1)/(Inventory!$B$2:$B$150=$B$1),ROWS($A$6:A61)), ""))</f>
        <v/>
      </c>
    </row>
    <row r="62">
      <c r="A62">
        <f>IF($X62="","",INDEX(Inventory!$A$2:$V$150,$X62,1))</f>
        <v/>
      </c>
      <c r="B62">
        <f>IF($X62="","",INDEX(Inventory!$A$2:$V$150,$X62,2))</f>
        <v/>
      </c>
      <c r="C62">
        <f>IF($X62="","",INDEX(Inventory!$A$2:$V$150,$X62,3))</f>
        <v/>
      </c>
      <c r="D62">
        <f>IF($X62="","",INDEX(Inventory!$A$2:$V$150,$X62,4))</f>
        <v/>
      </c>
      <c r="E62">
        <f>IF($X62="","",INDEX(Inventory!$A$2:$V$150,$X62,5))</f>
        <v/>
      </c>
      <c r="F62">
        <f>IF($X62="","",INDEX(Inventory!$A$2:$V$150,$X62,6))</f>
        <v/>
      </c>
      <c r="G62">
        <f>IF($X62="","",INDEX(Inventory!$A$2:$V$150,$X62,7))</f>
        <v/>
      </c>
      <c r="H62">
        <f>IF($X62="","",INDEX(Inventory!$A$2:$V$150,$X62,8))</f>
        <v/>
      </c>
      <c r="I62">
        <f>IF($X62="","",INDEX(Inventory!$A$2:$V$150,$X62,9))</f>
        <v/>
      </c>
      <c r="J62">
        <f>IF($X62="","",INDEX(Inventory!$A$2:$V$150,$X62,10))</f>
        <v/>
      </c>
      <c r="K62">
        <f>IF($X62="","",INDEX(Inventory!$A$2:$V$150,$X62,11))</f>
        <v/>
      </c>
      <c r="L62">
        <f>IF($X62="","",INDEX(Inventory!$A$2:$V$150,$X62,12))</f>
        <v/>
      </c>
      <c r="M62">
        <f>IF($X62="","",INDEX(Inventory!$A$2:$V$150,$X62,13))</f>
        <v/>
      </c>
      <c r="N62">
        <f>IF($X62="","",INDEX(Inventory!$A$2:$V$150,$X62,14))</f>
        <v/>
      </c>
      <c r="O62">
        <f>IF($X62="","",INDEX(Inventory!$A$2:$V$150,$X62,15))</f>
        <v/>
      </c>
      <c r="P62">
        <f>IF($X62="","",INDEX(Inventory!$A$2:$V$150,$X62,16))</f>
        <v/>
      </c>
      <c r="Q62">
        <f>IF($X62="","",INDEX(Inventory!$A$2:$V$150,$X62,17))</f>
        <v/>
      </c>
      <c r="R62">
        <f>IF($X62="","",INDEX(Inventory!$A$2:$V$150,$X62,18))</f>
        <v/>
      </c>
      <c r="S62">
        <f>IF($X62="","",INDEX(Inventory!$A$2:$V$150,$X62,19))</f>
        <v/>
      </c>
      <c r="T62">
        <f>IF($X62="","",INDEX(Inventory!$A$2:$V$150,$X62,20))</f>
        <v/>
      </c>
      <c r="U62">
        <f>IF($X62="","",INDEX(Inventory!$A$2:$V$150,$X62,21))</f>
        <v/>
      </c>
      <c r="V62">
        <f>IF($X62="","",INDEX(Inventory!$A$2:$V$150,$X62,22))</f>
        <v/>
      </c>
      <c r="X62">
        <f>IF($B$1="","",IFERROR(AGGREGATE(15,6,(ROW(Inventory!$B$2:$B$150)-ROW(Inventory!$B$2)+1)/(Inventory!$B$2:$B$150=$B$1),ROWS($A$6:A62)), ""))</f>
        <v/>
      </c>
    </row>
    <row r="63">
      <c r="A63">
        <f>IF($X63="","",INDEX(Inventory!$A$2:$V$150,$X63,1))</f>
        <v/>
      </c>
      <c r="B63">
        <f>IF($X63="","",INDEX(Inventory!$A$2:$V$150,$X63,2))</f>
        <v/>
      </c>
      <c r="C63">
        <f>IF($X63="","",INDEX(Inventory!$A$2:$V$150,$X63,3))</f>
        <v/>
      </c>
      <c r="D63">
        <f>IF($X63="","",INDEX(Inventory!$A$2:$V$150,$X63,4))</f>
        <v/>
      </c>
      <c r="E63">
        <f>IF($X63="","",INDEX(Inventory!$A$2:$V$150,$X63,5))</f>
        <v/>
      </c>
      <c r="F63">
        <f>IF($X63="","",INDEX(Inventory!$A$2:$V$150,$X63,6))</f>
        <v/>
      </c>
      <c r="G63">
        <f>IF($X63="","",INDEX(Inventory!$A$2:$V$150,$X63,7))</f>
        <v/>
      </c>
      <c r="H63">
        <f>IF($X63="","",INDEX(Inventory!$A$2:$V$150,$X63,8))</f>
        <v/>
      </c>
      <c r="I63">
        <f>IF($X63="","",INDEX(Inventory!$A$2:$V$150,$X63,9))</f>
        <v/>
      </c>
      <c r="J63">
        <f>IF($X63="","",INDEX(Inventory!$A$2:$V$150,$X63,10))</f>
        <v/>
      </c>
      <c r="K63">
        <f>IF($X63="","",INDEX(Inventory!$A$2:$V$150,$X63,11))</f>
        <v/>
      </c>
      <c r="L63">
        <f>IF($X63="","",INDEX(Inventory!$A$2:$V$150,$X63,12))</f>
        <v/>
      </c>
      <c r="M63">
        <f>IF($X63="","",INDEX(Inventory!$A$2:$V$150,$X63,13))</f>
        <v/>
      </c>
      <c r="N63">
        <f>IF($X63="","",INDEX(Inventory!$A$2:$V$150,$X63,14))</f>
        <v/>
      </c>
      <c r="O63">
        <f>IF($X63="","",INDEX(Inventory!$A$2:$V$150,$X63,15))</f>
        <v/>
      </c>
      <c r="P63">
        <f>IF($X63="","",INDEX(Inventory!$A$2:$V$150,$X63,16))</f>
        <v/>
      </c>
      <c r="Q63">
        <f>IF($X63="","",INDEX(Inventory!$A$2:$V$150,$X63,17))</f>
        <v/>
      </c>
      <c r="R63">
        <f>IF($X63="","",INDEX(Inventory!$A$2:$V$150,$X63,18))</f>
        <v/>
      </c>
      <c r="S63">
        <f>IF($X63="","",INDEX(Inventory!$A$2:$V$150,$X63,19))</f>
        <v/>
      </c>
      <c r="T63">
        <f>IF($X63="","",INDEX(Inventory!$A$2:$V$150,$X63,20))</f>
        <v/>
      </c>
      <c r="U63">
        <f>IF($X63="","",INDEX(Inventory!$A$2:$V$150,$X63,21))</f>
        <v/>
      </c>
      <c r="V63">
        <f>IF($X63="","",INDEX(Inventory!$A$2:$V$150,$X63,22))</f>
        <v/>
      </c>
      <c r="X63">
        <f>IF($B$1="","",IFERROR(AGGREGATE(15,6,(ROW(Inventory!$B$2:$B$150)-ROW(Inventory!$B$2)+1)/(Inventory!$B$2:$B$150=$B$1),ROWS($A$6:A63)), ""))</f>
        <v/>
      </c>
    </row>
    <row r="64">
      <c r="A64">
        <f>IF($X64="","",INDEX(Inventory!$A$2:$V$150,$X64,1))</f>
        <v/>
      </c>
      <c r="B64">
        <f>IF($X64="","",INDEX(Inventory!$A$2:$V$150,$X64,2))</f>
        <v/>
      </c>
      <c r="C64">
        <f>IF($X64="","",INDEX(Inventory!$A$2:$V$150,$X64,3))</f>
        <v/>
      </c>
      <c r="D64">
        <f>IF($X64="","",INDEX(Inventory!$A$2:$V$150,$X64,4))</f>
        <v/>
      </c>
      <c r="E64">
        <f>IF($X64="","",INDEX(Inventory!$A$2:$V$150,$X64,5))</f>
        <v/>
      </c>
      <c r="F64">
        <f>IF($X64="","",INDEX(Inventory!$A$2:$V$150,$X64,6))</f>
        <v/>
      </c>
      <c r="G64">
        <f>IF($X64="","",INDEX(Inventory!$A$2:$V$150,$X64,7))</f>
        <v/>
      </c>
      <c r="H64">
        <f>IF($X64="","",INDEX(Inventory!$A$2:$V$150,$X64,8))</f>
        <v/>
      </c>
      <c r="I64">
        <f>IF($X64="","",INDEX(Inventory!$A$2:$V$150,$X64,9))</f>
        <v/>
      </c>
      <c r="J64">
        <f>IF($X64="","",INDEX(Inventory!$A$2:$V$150,$X64,10))</f>
        <v/>
      </c>
      <c r="K64">
        <f>IF($X64="","",INDEX(Inventory!$A$2:$V$150,$X64,11))</f>
        <v/>
      </c>
      <c r="L64">
        <f>IF($X64="","",INDEX(Inventory!$A$2:$V$150,$X64,12))</f>
        <v/>
      </c>
      <c r="M64">
        <f>IF($X64="","",INDEX(Inventory!$A$2:$V$150,$X64,13))</f>
        <v/>
      </c>
      <c r="N64">
        <f>IF($X64="","",INDEX(Inventory!$A$2:$V$150,$X64,14))</f>
        <v/>
      </c>
      <c r="O64">
        <f>IF($X64="","",INDEX(Inventory!$A$2:$V$150,$X64,15))</f>
        <v/>
      </c>
      <c r="P64">
        <f>IF($X64="","",INDEX(Inventory!$A$2:$V$150,$X64,16))</f>
        <v/>
      </c>
      <c r="Q64">
        <f>IF($X64="","",INDEX(Inventory!$A$2:$V$150,$X64,17))</f>
        <v/>
      </c>
      <c r="R64">
        <f>IF($X64="","",INDEX(Inventory!$A$2:$V$150,$X64,18))</f>
        <v/>
      </c>
      <c r="S64">
        <f>IF($X64="","",INDEX(Inventory!$A$2:$V$150,$X64,19))</f>
        <v/>
      </c>
      <c r="T64">
        <f>IF($X64="","",INDEX(Inventory!$A$2:$V$150,$X64,20))</f>
        <v/>
      </c>
      <c r="U64">
        <f>IF($X64="","",INDEX(Inventory!$A$2:$V$150,$X64,21))</f>
        <v/>
      </c>
      <c r="V64">
        <f>IF($X64="","",INDEX(Inventory!$A$2:$V$150,$X64,22))</f>
        <v/>
      </c>
      <c r="X64">
        <f>IF($B$1="","",IFERROR(AGGREGATE(15,6,(ROW(Inventory!$B$2:$B$150)-ROW(Inventory!$B$2)+1)/(Inventory!$B$2:$B$150=$B$1),ROWS($A$6:A64)), ""))</f>
        <v/>
      </c>
    </row>
    <row r="65">
      <c r="A65">
        <f>IF($X65="","",INDEX(Inventory!$A$2:$V$150,$X65,1))</f>
        <v/>
      </c>
      <c r="B65">
        <f>IF($X65="","",INDEX(Inventory!$A$2:$V$150,$X65,2))</f>
        <v/>
      </c>
      <c r="C65">
        <f>IF($X65="","",INDEX(Inventory!$A$2:$V$150,$X65,3))</f>
        <v/>
      </c>
      <c r="D65">
        <f>IF($X65="","",INDEX(Inventory!$A$2:$V$150,$X65,4))</f>
        <v/>
      </c>
      <c r="E65">
        <f>IF($X65="","",INDEX(Inventory!$A$2:$V$150,$X65,5))</f>
        <v/>
      </c>
      <c r="F65">
        <f>IF($X65="","",INDEX(Inventory!$A$2:$V$150,$X65,6))</f>
        <v/>
      </c>
      <c r="G65">
        <f>IF($X65="","",INDEX(Inventory!$A$2:$V$150,$X65,7))</f>
        <v/>
      </c>
      <c r="H65">
        <f>IF($X65="","",INDEX(Inventory!$A$2:$V$150,$X65,8))</f>
        <v/>
      </c>
      <c r="I65">
        <f>IF($X65="","",INDEX(Inventory!$A$2:$V$150,$X65,9))</f>
        <v/>
      </c>
      <c r="J65">
        <f>IF($X65="","",INDEX(Inventory!$A$2:$V$150,$X65,10))</f>
        <v/>
      </c>
      <c r="K65">
        <f>IF($X65="","",INDEX(Inventory!$A$2:$V$150,$X65,11))</f>
        <v/>
      </c>
      <c r="L65">
        <f>IF($X65="","",INDEX(Inventory!$A$2:$V$150,$X65,12))</f>
        <v/>
      </c>
      <c r="M65">
        <f>IF($X65="","",INDEX(Inventory!$A$2:$V$150,$X65,13))</f>
        <v/>
      </c>
      <c r="N65">
        <f>IF($X65="","",INDEX(Inventory!$A$2:$V$150,$X65,14))</f>
        <v/>
      </c>
      <c r="O65">
        <f>IF($X65="","",INDEX(Inventory!$A$2:$V$150,$X65,15))</f>
        <v/>
      </c>
      <c r="P65">
        <f>IF($X65="","",INDEX(Inventory!$A$2:$V$150,$X65,16))</f>
        <v/>
      </c>
      <c r="Q65">
        <f>IF($X65="","",INDEX(Inventory!$A$2:$V$150,$X65,17))</f>
        <v/>
      </c>
      <c r="R65">
        <f>IF($X65="","",INDEX(Inventory!$A$2:$V$150,$X65,18))</f>
        <v/>
      </c>
      <c r="S65">
        <f>IF($X65="","",INDEX(Inventory!$A$2:$V$150,$X65,19))</f>
        <v/>
      </c>
      <c r="T65">
        <f>IF($X65="","",INDEX(Inventory!$A$2:$V$150,$X65,20))</f>
        <v/>
      </c>
      <c r="U65">
        <f>IF($X65="","",INDEX(Inventory!$A$2:$V$150,$X65,21))</f>
        <v/>
      </c>
      <c r="V65">
        <f>IF($X65="","",INDEX(Inventory!$A$2:$V$150,$X65,22))</f>
        <v/>
      </c>
      <c r="X65">
        <f>IF($B$1="","",IFERROR(AGGREGATE(15,6,(ROW(Inventory!$B$2:$B$150)-ROW(Inventory!$B$2)+1)/(Inventory!$B$2:$B$150=$B$1),ROWS($A$6:A65)), ""))</f>
        <v/>
      </c>
    </row>
    <row r="66">
      <c r="A66">
        <f>IF($X66="","",INDEX(Inventory!$A$2:$V$150,$X66,1))</f>
        <v/>
      </c>
      <c r="B66">
        <f>IF($X66="","",INDEX(Inventory!$A$2:$V$150,$X66,2))</f>
        <v/>
      </c>
      <c r="C66">
        <f>IF($X66="","",INDEX(Inventory!$A$2:$V$150,$X66,3))</f>
        <v/>
      </c>
      <c r="D66">
        <f>IF($X66="","",INDEX(Inventory!$A$2:$V$150,$X66,4))</f>
        <v/>
      </c>
      <c r="E66">
        <f>IF($X66="","",INDEX(Inventory!$A$2:$V$150,$X66,5))</f>
        <v/>
      </c>
      <c r="F66">
        <f>IF($X66="","",INDEX(Inventory!$A$2:$V$150,$X66,6))</f>
        <v/>
      </c>
      <c r="G66">
        <f>IF($X66="","",INDEX(Inventory!$A$2:$V$150,$X66,7))</f>
        <v/>
      </c>
      <c r="H66">
        <f>IF($X66="","",INDEX(Inventory!$A$2:$V$150,$X66,8))</f>
        <v/>
      </c>
      <c r="I66">
        <f>IF($X66="","",INDEX(Inventory!$A$2:$V$150,$X66,9))</f>
        <v/>
      </c>
      <c r="J66">
        <f>IF($X66="","",INDEX(Inventory!$A$2:$V$150,$X66,10))</f>
        <v/>
      </c>
      <c r="K66">
        <f>IF($X66="","",INDEX(Inventory!$A$2:$V$150,$X66,11))</f>
        <v/>
      </c>
      <c r="L66">
        <f>IF($X66="","",INDEX(Inventory!$A$2:$V$150,$X66,12))</f>
        <v/>
      </c>
      <c r="M66">
        <f>IF($X66="","",INDEX(Inventory!$A$2:$V$150,$X66,13))</f>
        <v/>
      </c>
      <c r="N66">
        <f>IF($X66="","",INDEX(Inventory!$A$2:$V$150,$X66,14))</f>
        <v/>
      </c>
      <c r="O66">
        <f>IF($X66="","",INDEX(Inventory!$A$2:$V$150,$X66,15))</f>
        <v/>
      </c>
      <c r="P66">
        <f>IF($X66="","",INDEX(Inventory!$A$2:$V$150,$X66,16))</f>
        <v/>
      </c>
      <c r="Q66">
        <f>IF($X66="","",INDEX(Inventory!$A$2:$V$150,$X66,17))</f>
        <v/>
      </c>
      <c r="R66">
        <f>IF($X66="","",INDEX(Inventory!$A$2:$V$150,$X66,18))</f>
        <v/>
      </c>
      <c r="S66">
        <f>IF($X66="","",INDEX(Inventory!$A$2:$V$150,$X66,19))</f>
        <v/>
      </c>
      <c r="T66">
        <f>IF($X66="","",INDEX(Inventory!$A$2:$V$150,$X66,20))</f>
        <v/>
      </c>
      <c r="U66">
        <f>IF($X66="","",INDEX(Inventory!$A$2:$V$150,$X66,21))</f>
        <v/>
      </c>
      <c r="V66">
        <f>IF($X66="","",INDEX(Inventory!$A$2:$V$150,$X66,22))</f>
        <v/>
      </c>
      <c r="X66">
        <f>IF($B$1="","",IFERROR(AGGREGATE(15,6,(ROW(Inventory!$B$2:$B$150)-ROW(Inventory!$B$2)+1)/(Inventory!$B$2:$B$150=$B$1),ROWS($A$6:A66)), ""))</f>
        <v/>
      </c>
    </row>
    <row r="67">
      <c r="A67">
        <f>IF($X67="","",INDEX(Inventory!$A$2:$V$150,$X67,1))</f>
        <v/>
      </c>
      <c r="B67">
        <f>IF($X67="","",INDEX(Inventory!$A$2:$V$150,$X67,2))</f>
        <v/>
      </c>
      <c r="C67">
        <f>IF($X67="","",INDEX(Inventory!$A$2:$V$150,$X67,3))</f>
        <v/>
      </c>
      <c r="D67">
        <f>IF($X67="","",INDEX(Inventory!$A$2:$V$150,$X67,4))</f>
        <v/>
      </c>
      <c r="E67">
        <f>IF($X67="","",INDEX(Inventory!$A$2:$V$150,$X67,5))</f>
        <v/>
      </c>
      <c r="F67">
        <f>IF($X67="","",INDEX(Inventory!$A$2:$V$150,$X67,6))</f>
        <v/>
      </c>
      <c r="G67">
        <f>IF($X67="","",INDEX(Inventory!$A$2:$V$150,$X67,7))</f>
        <v/>
      </c>
      <c r="H67">
        <f>IF($X67="","",INDEX(Inventory!$A$2:$V$150,$X67,8))</f>
        <v/>
      </c>
      <c r="I67">
        <f>IF($X67="","",INDEX(Inventory!$A$2:$V$150,$X67,9))</f>
        <v/>
      </c>
      <c r="J67">
        <f>IF($X67="","",INDEX(Inventory!$A$2:$V$150,$X67,10))</f>
        <v/>
      </c>
      <c r="K67">
        <f>IF($X67="","",INDEX(Inventory!$A$2:$V$150,$X67,11))</f>
        <v/>
      </c>
      <c r="L67">
        <f>IF($X67="","",INDEX(Inventory!$A$2:$V$150,$X67,12))</f>
        <v/>
      </c>
      <c r="M67">
        <f>IF($X67="","",INDEX(Inventory!$A$2:$V$150,$X67,13))</f>
        <v/>
      </c>
      <c r="N67">
        <f>IF($X67="","",INDEX(Inventory!$A$2:$V$150,$X67,14))</f>
        <v/>
      </c>
      <c r="O67">
        <f>IF($X67="","",INDEX(Inventory!$A$2:$V$150,$X67,15))</f>
        <v/>
      </c>
      <c r="P67">
        <f>IF($X67="","",INDEX(Inventory!$A$2:$V$150,$X67,16))</f>
        <v/>
      </c>
      <c r="Q67">
        <f>IF($X67="","",INDEX(Inventory!$A$2:$V$150,$X67,17))</f>
        <v/>
      </c>
      <c r="R67">
        <f>IF($X67="","",INDEX(Inventory!$A$2:$V$150,$X67,18))</f>
        <v/>
      </c>
      <c r="S67">
        <f>IF($X67="","",INDEX(Inventory!$A$2:$V$150,$X67,19))</f>
        <v/>
      </c>
      <c r="T67">
        <f>IF($X67="","",INDEX(Inventory!$A$2:$V$150,$X67,20))</f>
        <v/>
      </c>
      <c r="U67">
        <f>IF($X67="","",INDEX(Inventory!$A$2:$V$150,$X67,21))</f>
        <v/>
      </c>
      <c r="V67">
        <f>IF($X67="","",INDEX(Inventory!$A$2:$V$150,$X67,22))</f>
        <v/>
      </c>
      <c r="X67">
        <f>IF($B$1="","",IFERROR(AGGREGATE(15,6,(ROW(Inventory!$B$2:$B$150)-ROW(Inventory!$B$2)+1)/(Inventory!$B$2:$B$150=$B$1),ROWS($A$6:A67)), ""))</f>
        <v/>
      </c>
    </row>
    <row r="68">
      <c r="A68">
        <f>IF($X68="","",INDEX(Inventory!$A$2:$V$150,$X68,1))</f>
        <v/>
      </c>
      <c r="B68">
        <f>IF($X68="","",INDEX(Inventory!$A$2:$V$150,$X68,2))</f>
        <v/>
      </c>
      <c r="C68">
        <f>IF($X68="","",INDEX(Inventory!$A$2:$V$150,$X68,3))</f>
        <v/>
      </c>
      <c r="D68">
        <f>IF($X68="","",INDEX(Inventory!$A$2:$V$150,$X68,4))</f>
        <v/>
      </c>
      <c r="E68">
        <f>IF($X68="","",INDEX(Inventory!$A$2:$V$150,$X68,5))</f>
        <v/>
      </c>
      <c r="F68">
        <f>IF($X68="","",INDEX(Inventory!$A$2:$V$150,$X68,6))</f>
        <v/>
      </c>
      <c r="G68">
        <f>IF($X68="","",INDEX(Inventory!$A$2:$V$150,$X68,7))</f>
        <v/>
      </c>
      <c r="H68">
        <f>IF($X68="","",INDEX(Inventory!$A$2:$V$150,$X68,8))</f>
        <v/>
      </c>
      <c r="I68">
        <f>IF($X68="","",INDEX(Inventory!$A$2:$V$150,$X68,9))</f>
        <v/>
      </c>
      <c r="J68">
        <f>IF($X68="","",INDEX(Inventory!$A$2:$V$150,$X68,10))</f>
        <v/>
      </c>
      <c r="K68">
        <f>IF($X68="","",INDEX(Inventory!$A$2:$V$150,$X68,11))</f>
        <v/>
      </c>
      <c r="L68">
        <f>IF($X68="","",INDEX(Inventory!$A$2:$V$150,$X68,12))</f>
        <v/>
      </c>
      <c r="M68">
        <f>IF($X68="","",INDEX(Inventory!$A$2:$V$150,$X68,13))</f>
        <v/>
      </c>
      <c r="N68">
        <f>IF($X68="","",INDEX(Inventory!$A$2:$V$150,$X68,14))</f>
        <v/>
      </c>
      <c r="O68">
        <f>IF($X68="","",INDEX(Inventory!$A$2:$V$150,$X68,15))</f>
        <v/>
      </c>
      <c r="P68">
        <f>IF($X68="","",INDEX(Inventory!$A$2:$V$150,$X68,16))</f>
        <v/>
      </c>
      <c r="Q68">
        <f>IF($X68="","",INDEX(Inventory!$A$2:$V$150,$X68,17))</f>
        <v/>
      </c>
      <c r="R68">
        <f>IF($X68="","",INDEX(Inventory!$A$2:$V$150,$X68,18))</f>
        <v/>
      </c>
      <c r="S68">
        <f>IF($X68="","",INDEX(Inventory!$A$2:$V$150,$X68,19))</f>
        <v/>
      </c>
      <c r="T68">
        <f>IF($X68="","",INDEX(Inventory!$A$2:$V$150,$X68,20))</f>
        <v/>
      </c>
      <c r="U68">
        <f>IF($X68="","",INDEX(Inventory!$A$2:$V$150,$X68,21))</f>
        <v/>
      </c>
      <c r="V68">
        <f>IF($X68="","",INDEX(Inventory!$A$2:$V$150,$X68,22))</f>
        <v/>
      </c>
      <c r="X68">
        <f>IF($B$1="","",IFERROR(AGGREGATE(15,6,(ROW(Inventory!$B$2:$B$150)-ROW(Inventory!$B$2)+1)/(Inventory!$B$2:$B$150=$B$1),ROWS($A$6:A68)), ""))</f>
        <v/>
      </c>
    </row>
    <row r="69">
      <c r="A69">
        <f>IF($X69="","",INDEX(Inventory!$A$2:$V$150,$X69,1))</f>
        <v/>
      </c>
      <c r="B69">
        <f>IF($X69="","",INDEX(Inventory!$A$2:$V$150,$X69,2))</f>
        <v/>
      </c>
      <c r="C69">
        <f>IF($X69="","",INDEX(Inventory!$A$2:$V$150,$X69,3))</f>
        <v/>
      </c>
      <c r="D69">
        <f>IF($X69="","",INDEX(Inventory!$A$2:$V$150,$X69,4))</f>
        <v/>
      </c>
      <c r="E69">
        <f>IF($X69="","",INDEX(Inventory!$A$2:$V$150,$X69,5))</f>
        <v/>
      </c>
      <c r="F69">
        <f>IF($X69="","",INDEX(Inventory!$A$2:$V$150,$X69,6))</f>
        <v/>
      </c>
      <c r="G69">
        <f>IF($X69="","",INDEX(Inventory!$A$2:$V$150,$X69,7))</f>
        <v/>
      </c>
      <c r="H69">
        <f>IF($X69="","",INDEX(Inventory!$A$2:$V$150,$X69,8))</f>
        <v/>
      </c>
      <c r="I69">
        <f>IF($X69="","",INDEX(Inventory!$A$2:$V$150,$X69,9))</f>
        <v/>
      </c>
      <c r="J69">
        <f>IF($X69="","",INDEX(Inventory!$A$2:$V$150,$X69,10))</f>
        <v/>
      </c>
      <c r="K69">
        <f>IF($X69="","",INDEX(Inventory!$A$2:$V$150,$X69,11))</f>
        <v/>
      </c>
      <c r="L69">
        <f>IF($X69="","",INDEX(Inventory!$A$2:$V$150,$X69,12))</f>
        <v/>
      </c>
      <c r="M69">
        <f>IF($X69="","",INDEX(Inventory!$A$2:$V$150,$X69,13))</f>
        <v/>
      </c>
      <c r="N69">
        <f>IF($X69="","",INDEX(Inventory!$A$2:$V$150,$X69,14))</f>
        <v/>
      </c>
      <c r="O69">
        <f>IF($X69="","",INDEX(Inventory!$A$2:$V$150,$X69,15))</f>
        <v/>
      </c>
      <c r="P69">
        <f>IF($X69="","",INDEX(Inventory!$A$2:$V$150,$X69,16))</f>
        <v/>
      </c>
      <c r="Q69">
        <f>IF($X69="","",INDEX(Inventory!$A$2:$V$150,$X69,17))</f>
        <v/>
      </c>
      <c r="R69">
        <f>IF($X69="","",INDEX(Inventory!$A$2:$V$150,$X69,18))</f>
        <v/>
      </c>
      <c r="S69">
        <f>IF($X69="","",INDEX(Inventory!$A$2:$V$150,$X69,19))</f>
        <v/>
      </c>
      <c r="T69">
        <f>IF($X69="","",INDEX(Inventory!$A$2:$V$150,$X69,20))</f>
        <v/>
      </c>
      <c r="U69">
        <f>IF($X69="","",INDEX(Inventory!$A$2:$V$150,$X69,21))</f>
        <v/>
      </c>
      <c r="V69">
        <f>IF($X69="","",INDEX(Inventory!$A$2:$V$150,$X69,22))</f>
        <v/>
      </c>
      <c r="X69">
        <f>IF($B$1="","",IFERROR(AGGREGATE(15,6,(ROW(Inventory!$B$2:$B$150)-ROW(Inventory!$B$2)+1)/(Inventory!$B$2:$B$150=$B$1),ROWS($A$6:A69)), ""))</f>
        <v/>
      </c>
    </row>
    <row r="70">
      <c r="A70">
        <f>IF($X70="","",INDEX(Inventory!$A$2:$V$150,$X70,1))</f>
        <v/>
      </c>
      <c r="B70">
        <f>IF($X70="","",INDEX(Inventory!$A$2:$V$150,$X70,2))</f>
        <v/>
      </c>
      <c r="C70">
        <f>IF($X70="","",INDEX(Inventory!$A$2:$V$150,$X70,3))</f>
        <v/>
      </c>
      <c r="D70">
        <f>IF($X70="","",INDEX(Inventory!$A$2:$V$150,$X70,4))</f>
        <v/>
      </c>
      <c r="E70">
        <f>IF($X70="","",INDEX(Inventory!$A$2:$V$150,$X70,5))</f>
        <v/>
      </c>
      <c r="F70">
        <f>IF($X70="","",INDEX(Inventory!$A$2:$V$150,$X70,6))</f>
        <v/>
      </c>
      <c r="G70">
        <f>IF($X70="","",INDEX(Inventory!$A$2:$V$150,$X70,7))</f>
        <v/>
      </c>
      <c r="H70">
        <f>IF($X70="","",INDEX(Inventory!$A$2:$V$150,$X70,8))</f>
        <v/>
      </c>
      <c r="I70">
        <f>IF($X70="","",INDEX(Inventory!$A$2:$V$150,$X70,9))</f>
        <v/>
      </c>
      <c r="J70">
        <f>IF($X70="","",INDEX(Inventory!$A$2:$V$150,$X70,10))</f>
        <v/>
      </c>
      <c r="K70">
        <f>IF($X70="","",INDEX(Inventory!$A$2:$V$150,$X70,11))</f>
        <v/>
      </c>
      <c r="L70">
        <f>IF($X70="","",INDEX(Inventory!$A$2:$V$150,$X70,12))</f>
        <v/>
      </c>
      <c r="M70">
        <f>IF($X70="","",INDEX(Inventory!$A$2:$V$150,$X70,13))</f>
        <v/>
      </c>
      <c r="N70">
        <f>IF($X70="","",INDEX(Inventory!$A$2:$V$150,$X70,14))</f>
        <v/>
      </c>
      <c r="O70">
        <f>IF($X70="","",INDEX(Inventory!$A$2:$V$150,$X70,15))</f>
        <v/>
      </c>
      <c r="P70">
        <f>IF($X70="","",INDEX(Inventory!$A$2:$V$150,$X70,16))</f>
        <v/>
      </c>
      <c r="Q70">
        <f>IF($X70="","",INDEX(Inventory!$A$2:$V$150,$X70,17))</f>
        <v/>
      </c>
      <c r="R70">
        <f>IF($X70="","",INDEX(Inventory!$A$2:$V$150,$X70,18))</f>
        <v/>
      </c>
      <c r="S70">
        <f>IF($X70="","",INDEX(Inventory!$A$2:$V$150,$X70,19))</f>
        <v/>
      </c>
      <c r="T70">
        <f>IF($X70="","",INDEX(Inventory!$A$2:$V$150,$X70,20))</f>
        <v/>
      </c>
      <c r="U70">
        <f>IF($X70="","",INDEX(Inventory!$A$2:$V$150,$X70,21))</f>
        <v/>
      </c>
      <c r="V70">
        <f>IF($X70="","",INDEX(Inventory!$A$2:$V$150,$X70,22))</f>
        <v/>
      </c>
      <c r="X70">
        <f>IF($B$1="","",IFERROR(AGGREGATE(15,6,(ROW(Inventory!$B$2:$B$150)-ROW(Inventory!$B$2)+1)/(Inventory!$B$2:$B$150=$B$1),ROWS($A$6:A70)), ""))</f>
        <v/>
      </c>
    </row>
    <row r="71">
      <c r="A71">
        <f>IF($X71="","",INDEX(Inventory!$A$2:$V$150,$X71,1))</f>
        <v/>
      </c>
      <c r="B71">
        <f>IF($X71="","",INDEX(Inventory!$A$2:$V$150,$X71,2))</f>
        <v/>
      </c>
      <c r="C71">
        <f>IF($X71="","",INDEX(Inventory!$A$2:$V$150,$X71,3))</f>
        <v/>
      </c>
      <c r="D71">
        <f>IF($X71="","",INDEX(Inventory!$A$2:$V$150,$X71,4))</f>
        <v/>
      </c>
      <c r="E71">
        <f>IF($X71="","",INDEX(Inventory!$A$2:$V$150,$X71,5))</f>
        <v/>
      </c>
      <c r="F71">
        <f>IF($X71="","",INDEX(Inventory!$A$2:$V$150,$X71,6))</f>
        <v/>
      </c>
      <c r="G71">
        <f>IF($X71="","",INDEX(Inventory!$A$2:$V$150,$X71,7))</f>
        <v/>
      </c>
      <c r="H71">
        <f>IF($X71="","",INDEX(Inventory!$A$2:$V$150,$X71,8))</f>
        <v/>
      </c>
      <c r="I71">
        <f>IF($X71="","",INDEX(Inventory!$A$2:$V$150,$X71,9))</f>
        <v/>
      </c>
      <c r="J71">
        <f>IF($X71="","",INDEX(Inventory!$A$2:$V$150,$X71,10))</f>
        <v/>
      </c>
      <c r="K71">
        <f>IF($X71="","",INDEX(Inventory!$A$2:$V$150,$X71,11))</f>
        <v/>
      </c>
      <c r="L71">
        <f>IF($X71="","",INDEX(Inventory!$A$2:$V$150,$X71,12))</f>
        <v/>
      </c>
      <c r="M71">
        <f>IF($X71="","",INDEX(Inventory!$A$2:$V$150,$X71,13))</f>
        <v/>
      </c>
      <c r="N71">
        <f>IF($X71="","",INDEX(Inventory!$A$2:$V$150,$X71,14))</f>
        <v/>
      </c>
      <c r="O71">
        <f>IF($X71="","",INDEX(Inventory!$A$2:$V$150,$X71,15))</f>
        <v/>
      </c>
      <c r="P71">
        <f>IF($X71="","",INDEX(Inventory!$A$2:$V$150,$X71,16))</f>
        <v/>
      </c>
      <c r="Q71">
        <f>IF($X71="","",INDEX(Inventory!$A$2:$V$150,$X71,17))</f>
        <v/>
      </c>
      <c r="R71">
        <f>IF($X71="","",INDEX(Inventory!$A$2:$V$150,$X71,18))</f>
        <v/>
      </c>
      <c r="S71">
        <f>IF($X71="","",INDEX(Inventory!$A$2:$V$150,$X71,19))</f>
        <v/>
      </c>
      <c r="T71">
        <f>IF($X71="","",INDEX(Inventory!$A$2:$V$150,$X71,20))</f>
        <v/>
      </c>
      <c r="U71">
        <f>IF($X71="","",INDEX(Inventory!$A$2:$V$150,$X71,21))</f>
        <v/>
      </c>
      <c r="V71">
        <f>IF($X71="","",INDEX(Inventory!$A$2:$V$150,$X71,22))</f>
        <v/>
      </c>
      <c r="X71">
        <f>IF($B$1="","",IFERROR(AGGREGATE(15,6,(ROW(Inventory!$B$2:$B$150)-ROW(Inventory!$B$2)+1)/(Inventory!$B$2:$B$150=$B$1),ROWS($A$6:A71)), ""))</f>
        <v/>
      </c>
    </row>
    <row r="72">
      <c r="A72">
        <f>IF($X72="","",INDEX(Inventory!$A$2:$V$150,$X72,1))</f>
        <v/>
      </c>
      <c r="B72">
        <f>IF($X72="","",INDEX(Inventory!$A$2:$V$150,$X72,2))</f>
        <v/>
      </c>
      <c r="C72">
        <f>IF($X72="","",INDEX(Inventory!$A$2:$V$150,$X72,3))</f>
        <v/>
      </c>
      <c r="D72">
        <f>IF($X72="","",INDEX(Inventory!$A$2:$V$150,$X72,4))</f>
        <v/>
      </c>
      <c r="E72">
        <f>IF($X72="","",INDEX(Inventory!$A$2:$V$150,$X72,5))</f>
        <v/>
      </c>
      <c r="F72">
        <f>IF($X72="","",INDEX(Inventory!$A$2:$V$150,$X72,6))</f>
        <v/>
      </c>
      <c r="G72">
        <f>IF($X72="","",INDEX(Inventory!$A$2:$V$150,$X72,7))</f>
        <v/>
      </c>
      <c r="H72">
        <f>IF($X72="","",INDEX(Inventory!$A$2:$V$150,$X72,8))</f>
        <v/>
      </c>
      <c r="I72">
        <f>IF($X72="","",INDEX(Inventory!$A$2:$V$150,$X72,9))</f>
        <v/>
      </c>
      <c r="J72">
        <f>IF($X72="","",INDEX(Inventory!$A$2:$V$150,$X72,10))</f>
        <v/>
      </c>
      <c r="K72">
        <f>IF($X72="","",INDEX(Inventory!$A$2:$V$150,$X72,11))</f>
        <v/>
      </c>
      <c r="L72">
        <f>IF($X72="","",INDEX(Inventory!$A$2:$V$150,$X72,12))</f>
        <v/>
      </c>
      <c r="M72">
        <f>IF($X72="","",INDEX(Inventory!$A$2:$V$150,$X72,13))</f>
        <v/>
      </c>
      <c r="N72">
        <f>IF($X72="","",INDEX(Inventory!$A$2:$V$150,$X72,14))</f>
        <v/>
      </c>
      <c r="O72">
        <f>IF($X72="","",INDEX(Inventory!$A$2:$V$150,$X72,15))</f>
        <v/>
      </c>
      <c r="P72">
        <f>IF($X72="","",INDEX(Inventory!$A$2:$V$150,$X72,16))</f>
        <v/>
      </c>
      <c r="Q72">
        <f>IF($X72="","",INDEX(Inventory!$A$2:$V$150,$X72,17))</f>
        <v/>
      </c>
      <c r="R72">
        <f>IF($X72="","",INDEX(Inventory!$A$2:$V$150,$X72,18))</f>
        <v/>
      </c>
      <c r="S72">
        <f>IF($X72="","",INDEX(Inventory!$A$2:$V$150,$X72,19))</f>
        <v/>
      </c>
      <c r="T72">
        <f>IF($X72="","",INDEX(Inventory!$A$2:$V$150,$X72,20))</f>
        <v/>
      </c>
      <c r="U72">
        <f>IF($X72="","",INDEX(Inventory!$A$2:$V$150,$X72,21))</f>
        <v/>
      </c>
      <c r="V72">
        <f>IF($X72="","",INDEX(Inventory!$A$2:$V$150,$X72,22))</f>
        <v/>
      </c>
      <c r="X72">
        <f>IF($B$1="","",IFERROR(AGGREGATE(15,6,(ROW(Inventory!$B$2:$B$150)-ROW(Inventory!$B$2)+1)/(Inventory!$B$2:$B$150=$B$1),ROWS($A$6:A72)), ""))</f>
        <v/>
      </c>
    </row>
    <row r="73">
      <c r="A73">
        <f>IF($X73="","",INDEX(Inventory!$A$2:$V$150,$X73,1))</f>
        <v/>
      </c>
      <c r="B73">
        <f>IF($X73="","",INDEX(Inventory!$A$2:$V$150,$X73,2))</f>
        <v/>
      </c>
      <c r="C73">
        <f>IF($X73="","",INDEX(Inventory!$A$2:$V$150,$X73,3))</f>
        <v/>
      </c>
      <c r="D73">
        <f>IF($X73="","",INDEX(Inventory!$A$2:$V$150,$X73,4))</f>
        <v/>
      </c>
      <c r="E73">
        <f>IF($X73="","",INDEX(Inventory!$A$2:$V$150,$X73,5))</f>
        <v/>
      </c>
      <c r="F73">
        <f>IF($X73="","",INDEX(Inventory!$A$2:$V$150,$X73,6))</f>
        <v/>
      </c>
      <c r="G73">
        <f>IF($X73="","",INDEX(Inventory!$A$2:$V$150,$X73,7))</f>
        <v/>
      </c>
      <c r="H73">
        <f>IF($X73="","",INDEX(Inventory!$A$2:$V$150,$X73,8))</f>
        <v/>
      </c>
      <c r="I73">
        <f>IF($X73="","",INDEX(Inventory!$A$2:$V$150,$X73,9))</f>
        <v/>
      </c>
      <c r="J73">
        <f>IF($X73="","",INDEX(Inventory!$A$2:$V$150,$X73,10))</f>
        <v/>
      </c>
      <c r="K73">
        <f>IF($X73="","",INDEX(Inventory!$A$2:$V$150,$X73,11))</f>
        <v/>
      </c>
      <c r="L73">
        <f>IF($X73="","",INDEX(Inventory!$A$2:$V$150,$X73,12))</f>
        <v/>
      </c>
      <c r="M73">
        <f>IF($X73="","",INDEX(Inventory!$A$2:$V$150,$X73,13))</f>
        <v/>
      </c>
      <c r="N73">
        <f>IF($X73="","",INDEX(Inventory!$A$2:$V$150,$X73,14))</f>
        <v/>
      </c>
      <c r="O73">
        <f>IF($X73="","",INDEX(Inventory!$A$2:$V$150,$X73,15))</f>
        <v/>
      </c>
      <c r="P73">
        <f>IF($X73="","",INDEX(Inventory!$A$2:$V$150,$X73,16))</f>
        <v/>
      </c>
      <c r="Q73">
        <f>IF($X73="","",INDEX(Inventory!$A$2:$V$150,$X73,17))</f>
        <v/>
      </c>
      <c r="R73">
        <f>IF($X73="","",INDEX(Inventory!$A$2:$V$150,$X73,18))</f>
        <v/>
      </c>
      <c r="S73">
        <f>IF($X73="","",INDEX(Inventory!$A$2:$V$150,$X73,19))</f>
        <v/>
      </c>
      <c r="T73">
        <f>IF($X73="","",INDEX(Inventory!$A$2:$V$150,$X73,20))</f>
        <v/>
      </c>
      <c r="U73">
        <f>IF($X73="","",INDEX(Inventory!$A$2:$V$150,$X73,21))</f>
        <v/>
      </c>
      <c r="V73">
        <f>IF($X73="","",INDEX(Inventory!$A$2:$V$150,$X73,22))</f>
        <v/>
      </c>
      <c r="X73">
        <f>IF($B$1="","",IFERROR(AGGREGATE(15,6,(ROW(Inventory!$B$2:$B$150)-ROW(Inventory!$B$2)+1)/(Inventory!$B$2:$B$150=$B$1),ROWS($A$6:A73)), ""))</f>
        <v/>
      </c>
    </row>
    <row r="74">
      <c r="A74">
        <f>IF($X74="","",INDEX(Inventory!$A$2:$V$150,$X74,1))</f>
        <v/>
      </c>
      <c r="B74">
        <f>IF($X74="","",INDEX(Inventory!$A$2:$V$150,$X74,2))</f>
        <v/>
      </c>
      <c r="C74">
        <f>IF($X74="","",INDEX(Inventory!$A$2:$V$150,$X74,3))</f>
        <v/>
      </c>
      <c r="D74">
        <f>IF($X74="","",INDEX(Inventory!$A$2:$V$150,$X74,4))</f>
        <v/>
      </c>
      <c r="E74">
        <f>IF($X74="","",INDEX(Inventory!$A$2:$V$150,$X74,5))</f>
        <v/>
      </c>
      <c r="F74">
        <f>IF($X74="","",INDEX(Inventory!$A$2:$V$150,$X74,6))</f>
        <v/>
      </c>
      <c r="G74">
        <f>IF($X74="","",INDEX(Inventory!$A$2:$V$150,$X74,7))</f>
        <v/>
      </c>
      <c r="H74">
        <f>IF($X74="","",INDEX(Inventory!$A$2:$V$150,$X74,8))</f>
        <v/>
      </c>
      <c r="I74">
        <f>IF($X74="","",INDEX(Inventory!$A$2:$V$150,$X74,9))</f>
        <v/>
      </c>
      <c r="J74">
        <f>IF($X74="","",INDEX(Inventory!$A$2:$V$150,$X74,10))</f>
        <v/>
      </c>
      <c r="K74">
        <f>IF($X74="","",INDEX(Inventory!$A$2:$V$150,$X74,11))</f>
        <v/>
      </c>
      <c r="L74">
        <f>IF($X74="","",INDEX(Inventory!$A$2:$V$150,$X74,12))</f>
        <v/>
      </c>
      <c r="M74">
        <f>IF($X74="","",INDEX(Inventory!$A$2:$V$150,$X74,13))</f>
        <v/>
      </c>
      <c r="N74">
        <f>IF($X74="","",INDEX(Inventory!$A$2:$V$150,$X74,14))</f>
        <v/>
      </c>
      <c r="O74">
        <f>IF($X74="","",INDEX(Inventory!$A$2:$V$150,$X74,15))</f>
        <v/>
      </c>
      <c r="P74">
        <f>IF($X74="","",INDEX(Inventory!$A$2:$V$150,$X74,16))</f>
        <v/>
      </c>
      <c r="Q74">
        <f>IF($X74="","",INDEX(Inventory!$A$2:$V$150,$X74,17))</f>
        <v/>
      </c>
      <c r="R74">
        <f>IF($X74="","",INDEX(Inventory!$A$2:$V$150,$X74,18))</f>
        <v/>
      </c>
      <c r="S74">
        <f>IF($X74="","",INDEX(Inventory!$A$2:$V$150,$X74,19))</f>
        <v/>
      </c>
      <c r="T74">
        <f>IF($X74="","",INDEX(Inventory!$A$2:$V$150,$X74,20))</f>
        <v/>
      </c>
      <c r="U74">
        <f>IF($X74="","",INDEX(Inventory!$A$2:$V$150,$X74,21))</f>
        <v/>
      </c>
      <c r="V74">
        <f>IF($X74="","",INDEX(Inventory!$A$2:$V$150,$X74,22))</f>
        <v/>
      </c>
      <c r="X74">
        <f>IF($B$1="","",IFERROR(AGGREGATE(15,6,(ROW(Inventory!$B$2:$B$150)-ROW(Inventory!$B$2)+1)/(Inventory!$B$2:$B$150=$B$1),ROWS($A$6:A74)), ""))</f>
        <v/>
      </c>
    </row>
    <row r="75">
      <c r="A75">
        <f>IF($X75="","",INDEX(Inventory!$A$2:$V$150,$X75,1))</f>
        <v/>
      </c>
      <c r="B75">
        <f>IF($X75="","",INDEX(Inventory!$A$2:$V$150,$X75,2))</f>
        <v/>
      </c>
      <c r="C75">
        <f>IF($X75="","",INDEX(Inventory!$A$2:$V$150,$X75,3))</f>
        <v/>
      </c>
      <c r="D75">
        <f>IF($X75="","",INDEX(Inventory!$A$2:$V$150,$X75,4))</f>
        <v/>
      </c>
      <c r="E75">
        <f>IF($X75="","",INDEX(Inventory!$A$2:$V$150,$X75,5))</f>
        <v/>
      </c>
      <c r="F75">
        <f>IF($X75="","",INDEX(Inventory!$A$2:$V$150,$X75,6))</f>
        <v/>
      </c>
      <c r="G75">
        <f>IF($X75="","",INDEX(Inventory!$A$2:$V$150,$X75,7))</f>
        <v/>
      </c>
      <c r="H75">
        <f>IF($X75="","",INDEX(Inventory!$A$2:$V$150,$X75,8))</f>
        <v/>
      </c>
      <c r="I75">
        <f>IF($X75="","",INDEX(Inventory!$A$2:$V$150,$X75,9))</f>
        <v/>
      </c>
      <c r="J75">
        <f>IF($X75="","",INDEX(Inventory!$A$2:$V$150,$X75,10))</f>
        <v/>
      </c>
      <c r="K75">
        <f>IF($X75="","",INDEX(Inventory!$A$2:$V$150,$X75,11))</f>
        <v/>
      </c>
      <c r="L75">
        <f>IF($X75="","",INDEX(Inventory!$A$2:$V$150,$X75,12))</f>
        <v/>
      </c>
      <c r="M75">
        <f>IF($X75="","",INDEX(Inventory!$A$2:$V$150,$X75,13))</f>
        <v/>
      </c>
      <c r="N75">
        <f>IF($X75="","",INDEX(Inventory!$A$2:$V$150,$X75,14))</f>
        <v/>
      </c>
      <c r="O75">
        <f>IF($X75="","",INDEX(Inventory!$A$2:$V$150,$X75,15))</f>
        <v/>
      </c>
      <c r="P75">
        <f>IF($X75="","",INDEX(Inventory!$A$2:$V$150,$X75,16))</f>
        <v/>
      </c>
      <c r="Q75">
        <f>IF($X75="","",INDEX(Inventory!$A$2:$V$150,$X75,17))</f>
        <v/>
      </c>
      <c r="R75">
        <f>IF($X75="","",INDEX(Inventory!$A$2:$V$150,$X75,18))</f>
        <v/>
      </c>
      <c r="S75">
        <f>IF($X75="","",INDEX(Inventory!$A$2:$V$150,$X75,19))</f>
        <v/>
      </c>
      <c r="T75">
        <f>IF($X75="","",INDEX(Inventory!$A$2:$V$150,$X75,20))</f>
        <v/>
      </c>
      <c r="U75">
        <f>IF($X75="","",INDEX(Inventory!$A$2:$V$150,$X75,21))</f>
        <v/>
      </c>
      <c r="V75">
        <f>IF($X75="","",INDEX(Inventory!$A$2:$V$150,$X75,22))</f>
        <v/>
      </c>
      <c r="X75">
        <f>IF($B$1="","",IFERROR(AGGREGATE(15,6,(ROW(Inventory!$B$2:$B$150)-ROW(Inventory!$B$2)+1)/(Inventory!$B$2:$B$150=$B$1),ROWS($A$6:A75)), ""))</f>
        <v/>
      </c>
    </row>
    <row r="76">
      <c r="A76">
        <f>IF($X76="","",INDEX(Inventory!$A$2:$V$150,$X76,1))</f>
        <v/>
      </c>
      <c r="B76">
        <f>IF($X76="","",INDEX(Inventory!$A$2:$V$150,$X76,2))</f>
        <v/>
      </c>
      <c r="C76">
        <f>IF($X76="","",INDEX(Inventory!$A$2:$V$150,$X76,3))</f>
        <v/>
      </c>
      <c r="D76">
        <f>IF($X76="","",INDEX(Inventory!$A$2:$V$150,$X76,4))</f>
        <v/>
      </c>
      <c r="E76">
        <f>IF($X76="","",INDEX(Inventory!$A$2:$V$150,$X76,5))</f>
        <v/>
      </c>
      <c r="F76">
        <f>IF($X76="","",INDEX(Inventory!$A$2:$V$150,$X76,6))</f>
        <v/>
      </c>
      <c r="G76">
        <f>IF($X76="","",INDEX(Inventory!$A$2:$V$150,$X76,7))</f>
        <v/>
      </c>
      <c r="H76">
        <f>IF($X76="","",INDEX(Inventory!$A$2:$V$150,$X76,8))</f>
        <v/>
      </c>
      <c r="I76">
        <f>IF($X76="","",INDEX(Inventory!$A$2:$V$150,$X76,9))</f>
        <v/>
      </c>
      <c r="J76">
        <f>IF($X76="","",INDEX(Inventory!$A$2:$V$150,$X76,10))</f>
        <v/>
      </c>
      <c r="K76">
        <f>IF($X76="","",INDEX(Inventory!$A$2:$V$150,$X76,11))</f>
        <v/>
      </c>
      <c r="L76">
        <f>IF($X76="","",INDEX(Inventory!$A$2:$V$150,$X76,12))</f>
        <v/>
      </c>
      <c r="M76">
        <f>IF($X76="","",INDEX(Inventory!$A$2:$V$150,$X76,13))</f>
        <v/>
      </c>
      <c r="N76">
        <f>IF($X76="","",INDEX(Inventory!$A$2:$V$150,$X76,14))</f>
        <v/>
      </c>
      <c r="O76">
        <f>IF($X76="","",INDEX(Inventory!$A$2:$V$150,$X76,15))</f>
        <v/>
      </c>
      <c r="P76">
        <f>IF($X76="","",INDEX(Inventory!$A$2:$V$150,$X76,16))</f>
        <v/>
      </c>
      <c r="Q76">
        <f>IF($X76="","",INDEX(Inventory!$A$2:$V$150,$X76,17))</f>
        <v/>
      </c>
      <c r="R76">
        <f>IF($X76="","",INDEX(Inventory!$A$2:$V$150,$X76,18))</f>
        <v/>
      </c>
      <c r="S76">
        <f>IF($X76="","",INDEX(Inventory!$A$2:$V$150,$X76,19))</f>
        <v/>
      </c>
      <c r="T76">
        <f>IF($X76="","",INDEX(Inventory!$A$2:$V$150,$X76,20))</f>
        <v/>
      </c>
      <c r="U76">
        <f>IF($X76="","",INDEX(Inventory!$A$2:$V$150,$X76,21))</f>
        <v/>
      </c>
      <c r="V76">
        <f>IF($X76="","",INDEX(Inventory!$A$2:$V$150,$X76,22))</f>
        <v/>
      </c>
      <c r="X76">
        <f>IF($B$1="","",IFERROR(AGGREGATE(15,6,(ROW(Inventory!$B$2:$B$150)-ROW(Inventory!$B$2)+1)/(Inventory!$B$2:$B$150=$B$1),ROWS($A$6:A76)), ""))</f>
        <v/>
      </c>
    </row>
    <row r="77">
      <c r="A77">
        <f>IF($X77="","",INDEX(Inventory!$A$2:$V$150,$X77,1))</f>
        <v/>
      </c>
      <c r="B77">
        <f>IF($X77="","",INDEX(Inventory!$A$2:$V$150,$X77,2))</f>
        <v/>
      </c>
      <c r="C77">
        <f>IF($X77="","",INDEX(Inventory!$A$2:$V$150,$X77,3))</f>
        <v/>
      </c>
      <c r="D77">
        <f>IF($X77="","",INDEX(Inventory!$A$2:$V$150,$X77,4))</f>
        <v/>
      </c>
      <c r="E77">
        <f>IF($X77="","",INDEX(Inventory!$A$2:$V$150,$X77,5))</f>
        <v/>
      </c>
      <c r="F77">
        <f>IF($X77="","",INDEX(Inventory!$A$2:$V$150,$X77,6))</f>
        <v/>
      </c>
      <c r="G77">
        <f>IF($X77="","",INDEX(Inventory!$A$2:$V$150,$X77,7))</f>
        <v/>
      </c>
      <c r="H77">
        <f>IF($X77="","",INDEX(Inventory!$A$2:$V$150,$X77,8))</f>
        <v/>
      </c>
      <c r="I77">
        <f>IF($X77="","",INDEX(Inventory!$A$2:$V$150,$X77,9))</f>
        <v/>
      </c>
      <c r="J77">
        <f>IF($X77="","",INDEX(Inventory!$A$2:$V$150,$X77,10))</f>
        <v/>
      </c>
      <c r="K77">
        <f>IF($X77="","",INDEX(Inventory!$A$2:$V$150,$X77,11))</f>
        <v/>
      </c>
      <c r="L77">
        <f>IF($X77="","",INDEX(Inventory!$A$2:$V$150,$X77,12))</f>
        <v/>
      </c>
      <c r="M77">
        <f>IF($X77="","",INDEX(Inventory!$A$2:$V$150,$X77,13))</f>
        <v/>
      </c>
      <c r="N77">
        <f>IF($X77="","",INDEX(Inventory!$A$2:$V$150,$X77,14))</f>
        <v/>
      </c>
      <c r="O77">
        <f>IF($X77="","",INDEX(Inventory!$A$2:$V$150,$X77,15))</f>
        <v/>
      </c>
      <c r="P77">
        <f>IF($X77="","",INDEX(Inventory!$A$2:$V$150,$X77,16))</f>
        <v/>
      </c>
      <c r="Q77">
        <f>IF($X77="","",INDEX(Inventory!$A$2:$V$150,$X77,17))</f>
        <v/>
      </c>
      <c r="R77">
        <f>IF($X77="","",INDEX(Inventory!$A$2:$V$150,$X77,18))</f>
        <v/>
      </c>
      <c r="S77">
        <f>IF($X77="","",INDEX(Inventory!$A$2:$V$150,$X77,19))</f>
        <v/>
      </c>
      <c r="T77">
        <f>IF($X77="","",INDEX(Inventory!$A$2:$V$150,$X77,20))</f>
        <v/>
      </c>
      <c r="U77">
        <f>IF($X77="","",INDEX(Inventory!$A$2:$V$150,$X77,21))</f>
        <v/>
      </c>
      <c r="V77">
        <f>IF($X77="","",INDEX(Inventory!$A$2:$V$150,$X77,22))</f>
        <v/>
      </c>
      <c r="X77">
        <f>IF($B$1="","",IFERROR(AGGREGATE(15,6,(ROW(Inventory!$B$2:$B$150)-ROW(Inventory!$B$2)+1)/(Inventory!$B$2:$B$150=$B$1),ROWS($A$6:A77)), ""))</f>
        <v/>
      </c>
    </row>
    <row r="78">
      <c r="A78">
        <f>IF($X78="","",INDEX(Inventory!$A$2:$V$150,$X78,1))</f>
        <v/>
      </c>
      <c r="B78">
        <f>IF($X78="","",INDEX(Inventory!$A$2:$V$150,$X78,2))</f>
        <v/>
      </c>
      <c r="C78">
        <f>IF($X78="","",INDEX(Inventory!$A$2:$V$150,$X78,3))</f>
        <v/>
      </c>
      <c r="D78">
        <f>IF($X78="","",INDEX(Inventory!$A$2:$V$150,$X78,4))</f>
        <v/>
      </c>
      <c r="E78">
        <f>IF($X78="","",INDEX(Inventory!$A$2:$V$150,$X78,5))</f>
        <v/>
      </c>
      <c r="F78">
        <f>IF($X78="","",INDEX(Inventory!$A$2:$V$150,$X78,6))</f>
        <v/>
      </c>
      <c r="G78">
        <f>IF($X78="","",INDEX(Inventory!$A$2:$V$150,$X78,7))</f>
        <v/>
      </c>
      <c r="H78">
        <f>IF($X78="","",INDEX(Inventory!$A$2:$V$150,$X78,8))</f>
        <v/>
      </c>
      <c r="I78">
        <f>IF($X78="","",INDEX(Inventory!$A$2:$V$150,$X78,9))</f>
        <v/>
      </c>
      <c r="J78">
        <f>IF($X78="","",INDEX(Inventory!$A$2:$V$150,$X78,10))</f>
        <v/>
      </c>
      <c r="K78">
        <f>IF($X78="","",INDEX(Inventory!$A$2:$V$150,$X78,11))</f>
        <v/>
      </c>
      <c r="L78">
        <f>IF($X78="","",INDEX(Inventory!$A$2:$V$150,$X78,12))</f>
        <v/>
      </c>
      <c r="M78">
        <f>IF($X78="","",INDEX(Inventory!$A$2:$V$150,$X78,13))</f>
        <v/>
      </c>
      <c r="N78">
        <f>IF($X78="","",INDEX(Inventory!$A$2:$V$150,$X78,14))</f>
        <v/>
      </c>
      <c r="O78">
        <f>IF($X78="","",INDEX(Inventory!$A$2:$V$150,$X78,15))</f>
        <v/>
      </c>
      <c r="P78">
        <f>IF($X78="","",INDEX(Inventory!$A$2:$V$150,$X78,16))</f>
        <v/>
      </c>
      <c r="Q78">
        <f>IF($X78="","",INDEX(Inventory!$A$2:$V$150,$X78,17))</f>
        <v/>
      </c>
      <c r="R78">
        <f>IF($X78="","",INDEX(Inventory!$A$2:$V$150,$X78,18))</f>
        <v/>
      </c>
      <c r="S78">
        <f>IF($X78="","",INDEX(Inventory!$A$2:$V$150,$X78,19))</f>
        <v/>
      </c>
      <c r="T78">
        <f>IF($X78="","",INDEX(Inventory!$A$2:$V$150,$X78,20))</f>
        <v/>
      </c>
      <c r="U78">
        <f>IF($X78="","",INDEX(Inventory!$A$2:$V$150,$X78,21))</f>
        <v/>
      </c>
      <c r="V78">
        <f>IF($X78="","",INDEX(Inventory!$A$2:$V$150,$X78,22))</f>
        <v/>
      </c>
      <c r="X78">
        <f>IF($B$1="","",IFERROR(AGGREGATE(15,6,(ROW(Inventory!$B$2:$B$150)-ROW(Inventory!$B$2)+1)/(Inventory!$B$2:$B$150=$B$1),ROWS($A$6:A78)), ""))</f>
        <v/>
      </c>
    </row>
    <row r="79">
      <c r="A79">
        <f>IF($X79="","",INDEX(Inventory!$A$2:$V$150,$X79,1))</f>
        <v/>
      </c>
      <c r="B79">
        <f>IF($X79="","",INDEX(Inventory!$A$2:$V$150,$X79,2))</f>
        <v/>
      </c>
      <c r="C79">
        <f>IF($X79="","",INDEX(Inventory!$A$2:$V$150,$X79,3))</f>
        <v/>
      </c>
      <c r="D79">
        <f>IF($X79="","",INDEX(Inventory!$A$2:$V$150,$X79,4))</f>
        <v/>
      </c>
      <c r="E79">
        <f>IF($X79="","",INDEX(Inventory!$A$2:$V$150,$X79,5))</f>
        <v/>
      </c>
      <c r="F79">
        <f>IF($X79="","",INDEX(Inventory!$A$2:$V$150,$X79,6))</f>
        <v/>
      </c>
      <c r="G79">
        <f>IF($X79="","",INDEX(Inventory!$A$2:$V$150,$X79,7))</f>
        <v/>
      </c>
      <c r="H79">
        <f>IF($X79="","",INDEX(Inventory!$A$2:$V$150,$X79,8))</f>
        <v/>
      </c>
      <c r="I79">
        <f>IF($X79="","",INDEX(Inventory!$A$2:$V$150,$X79,9))</f>
        <v/>
      </c>
      <c r="J79">
        <f>IF($X79="","",INDEX(Inventory!$A$2:$V$150,$X79,10))</f>
        <v/>
      </c>
      <c r="K79">
        <f>IF($X79="","",INDEX(Inventory!$A$2:$V$150,$X79,11))</f>
        <v/>
      </c>
      <c r="L79">
        <f>IF($X79="","",INDEX(Inventory!$A$2:$V$150,$X79,12))</f>
        <v/>
      </c>
      <c r="M79">
        <f>IF($X79="","",INDEX(Inventory!$A$2:$V$150,$X79,13))</f>
        <v/>
      </c>
      <c r="N79">
        <f>IF($X79="","",INDEX(Inventory!$A$2:$V$150,$X79,14))</f>
        <v/>
      </c>
      <c r="O79">
        <f>IF($X79="","",INDEX(Inventory!$A$2:$V$150,$X79,15))</f>
        <v/>
      </c>
      <c r="P79">
        <f>IF($X79="","",INDEX(Inventory!$A$2:$V$150,$X79,16))</f>
        <v/>
      </c>
      <c r="Q79">
        <f>IF($X79="","",INDEX(Inventory!$A$2:$V$150,$X79,17))</f>
        <v/>
      </c>
      <c r="R79">
        <f>IF($X79="","",INDEX(Inventory!$A$2:$V$150,$X79,18))</f>
        <v/>
      </c>
      <c r="S79">
        <f>IF($X79="","",INDEX(Inventory!$A$2:$V$150,$X79,19))</f>
        <v/>
      </c>
      <c r="T79">
        <f>IF($X79="","",INDEX(Inventory!$A$2:$V$150,$X79,20))</f>
        <v/>
      </c>
      <c r="U79">
        <f>IF($X79="","",INDEX(Inventory!$A$2:$V$150,$X79,21))</f>
        <v/>
      </c>
      <c r="V79">
        <f>IF($X79="","",INDEX(Inventory!$A$2:$V$150,$X79,22))</f>
        <v/>
      </c>
      <c r="X79">
        <f>IF($B$1="","",IFERROR(AGGREGATE(15,6,(ROW(Inventory!$B$2:$B$150)-ROW(Inventory!$B$2)+1)/(Inventory!$B$2:$B$150=$B$1),ROWS($A$6:A79)), ""))</f>
        <v/>
      </c>
    </row>
    <row r="80">
      <c r="A80">
        <f>IF($X80="","",INDEX(Inventory!$A$2:$V$150,$X80,1))</f>
        <v/>
      </c>
      <c r="B80">
        <f>IF($X80="","",INDEX(Inventory!$A$2:$V$150,$X80,2))</f>
        <v/>
      </c>
      <c r="C80">
        <f>IF($X80="","",INDEX(Inventory!$A$2:$V$150,$X80,3))</f>
        <v/>
      </c>
      <c r="D80">
        <f>IF($X80="","",INDEX(Inventory!$A$2:$V$150,$X80,4))</f>
        <v/>
      </c>
      <c r="E80">
        <f>IF($X80="","",INDEX(Inventory!$A$2:$V$150,$X80,5))</f>
        <v/>
      </c>
      <c r="F80">
        <f>IF($X80="","",INDEX(Inventory!$A$2:$V$150,$X80,6))</f>
        <v/>
      </c>
      <c r="G80">
        <f>IF($X80="","",INDEX(Inventory!$A$2:$V$150,$X80,7))</f>
        <v/>
      </c>
      <c r="H80">
        <f>IF($X80="","",INDEX(Inventory!$A$2:$V$150,$X80,8))</f>
        <v/>
      </c>
      <c r="I80">
        <f>IF($X80="","",INDEX(Inventory!$A$2:$V$150,$X80,9))</f>
        <v/>
      </c>
      <c r="J80">
        <f>IF($X80="","",INDEX(Inventory!$A$2:$V$150,$X80,10))</f>
        <v/>
      </c>
      <c r="K80">
        <f>IF($X80="","",INDEX(Inventory!$A$2:$V$150,$X80,11))</f>
        <v/>
      </c>
      <c r="L80">
        <f>IF($X80="","",INDEX(Inventory!$A$2:$V$150,$X80,12))</f>
        <v/>
      </c>
      <c r="M80">
        <f>IF($X80="","",INDEX(Inventory!$A$2:$V$150,$X80,13))</f>
        <v/>
      </c>
      <c r="N80">
        <f>IF($X80="","",INDEX(Inventory!$A$2:$V$150,$X80,14))</f>
        <v/>
      </c>
      <c r="O80">
        <f>IF($X80="","",INDEX(Inventory!$A$2:$V$150,$X80,15))</f>
        <v/>
      </c>
      <c r="P80">
        <f>IF($X80="","",INDEX(Inventory!$A$2:$V$150,$X80,16))</f>
        <v/>
      </c>
      <c r="Q80">
        <f>IF($X80="","",INDEX(Inventory!$A$2:$V$150,$X80,17))</f>
        <v/>
      </c>
      <c r="R80">
        <f>IF($X80="","",INDEX(Inventory!$A$2:$V$150,$X80,18))</f>
        <v/>
      </c>
      <c r="S80">
        <f>IF($X80="","",INDEX(Inventory!$A$2:$V$150,$X80,19))</f>
        <v/>
      </c>
      <c r="T80">
        <f>IF($X80="","",INDEX(Inventory!$A$2:$V$150,$X80,20))</f>
        <v/>
      </c>
      <c r="U80">
        <f>IF($X80="","",INDEX(Inventory!$A$2:$V$150,$X80,21))</f>
        <v/>
      </c>
      <c r="V80">
        <f>IF($X80="","",INDEX(Inventory!$A$2:$V$150,$X80,22))</f>
        <v/>
      </c>
      <c r="X80">
        <f>IF($B$1="","",IFERROR(AGGREGATE(15,6,(ROW(Inventory!$B$2:$B$150)-ROW(Inventory!$B$2)+1)/(Inventory!$B$2:$B$150=$B$1),ROWS($A$6:A80)), ""))</f>
        <v/>
      </c>
    </row>
    <row r="81">
      <c r="A81">
        <f>IF($X81="","",INDEX(Inventory!$A$2:$V$150,$X81,1))</f>
        <v/>
      </c>
      <c r="B81">
        <f>IF($X81="","",INDEX(Inventory!$A$2:$V$150,$X81,2))</f>
        <v/>
      </c>
      <c r="C81">
        <f>IF($X81="","",INDEX(Inventory!$A$2:$V$150,$X81,3))</f>
        <v/>
      </c>
      <c r="D81">
        <f>IF($X81="","",INDEX(Inventory!$A$2:$V$150,$X81,4))</f>
        <v/>
      </c>
      <c r="E81">
        <f>IF($X81="","",INDEX(Inventory!$A$2:$V$150,$X81,5))</f>
        <v/>
      </c>
      <c r="F81">
        <f>IF($X81="","",INDEX(Inventory!$A$2:$V$150,$X81,6))</f>
        <v/>
      </c>
      <c r="G81">
        <f>IF($X81="","",INDEX(Inventory!$A$2:$V$150,$X81,7))</f>
        <v/>
      </c>
      <c r="H81">
        <f>IF($X81="","",INDEX(Inventory!$A$2:$V$150,$X81,8))</f>
        <v/>
      </c>
      <c r="I81">
        <f>IF($X81="","",INDEX(Inventory!$A$2:$V$150,$X81,9))</f>
        <v/>
      </c>
      <c r="J81">
        <f>IF($X81="","",INDEX(Inventory!$A$2:$V$150,$X81,10))</f>
        <v/>
      </c>
      <c r="K81">
        <f>IF($X81="","",INDEX(Inventory!$A$2:$V$150,$X81,11))</f>
        <v/>
      </c>
      <c r="L81">
        <f>IF($X81="","",INDEX(Inventory!$A$2:$V$150,$X81,12))</f>
        <v/>
      </c>
      <c r="M81">
        <f>IF($X81="","",INDEX(Inventory!$A$2:$V$150,$X81,13))</f>
        <v/>
      </c>
      <c r="N81">
        <f>IF($X81="","",INDEX(Inventory!$A$2:$V$150,$X81,14))</f>
        <v/>
      </c>
      <c r="O81">
        <f>IF($X81="","",INDEX(Inventory!$A$2:$V$150,$X81,15))</f>
        <v/>
      </c>
      <c r="P81">
        <f>IF($X81="","",INDEX(Inventory!$A$2:$V$150,$X81,16))</f>
        <v/>
      </c>
      <c r="Q81">
        <f>IF($X81="","",INDEX(Inventory!$A$2:$V$150,$X81,17))</f>
        <v/>
      </c>
      <c r="R81">
        <f>IF($X81="","",INDEX(Inventory!$A$2:$V$150,$X81,18))</f>
        <v/>
      </c>
      <c r="S81">
        <f>IF($X81="","",INDEX(Inventory!$A$2:$V$150,$X81,19))</f>
        <v/>
      </c>
      <c r="T81">
        <f>IF($X81="","",INDEX(Inventory!$A$2:$V$150,$X81,20))</f>
        <v/>
      </c>
      <c r="U81">
        <f>IF($X81="","",INDEX(Inventory!$A$2:$V$150,$X81,21))</f>
        <v/>
      </c>
      <c r="V81">
        <f>IF($X81="","",INDEX(Inventory!$A$2:$V$150,$X81,22))</f>
        <v/>
      </c>
      <c r="X81">
        <f>IF($B$1="","",IFERROR(AGGREGATE(15,6,(ROW(Inventory!$B$2:$B$150)-ROW(Inventory!$B$2)+1)/(Inventory!$B$2:$B$150=$B$1),ROWS($A$6:A81)), ""))</f>
        <v/>
      </c>
    </row>
    <row r="82">
      <c r="A82">
        <f>IF($X82="","",INDEX(Inventory!$A$2:$V$150,$X82,1))</f>
        <v/>
      </c>
      <c r="B82">
        <f>IF($X82="","",INDEX(Inventory!$A$2:$V$150,$X82,2))</f>
        <v/>
      </c>
      <c r="C82">
        <f>IF($X82="","",INDEX(Inventory!$A$2:$V$150,$X82,3))</f>
        <v/>
      </c>
      <c r="D82">
        <f>IF($X82="","",INDEX(Inventory!$A$2:$V$150,$X82,4))</f>
        <v/>
      </c>
      <c r="E82">
        <f>IF($X82="","",INDEX(Inventory!$A$2:$V$150,$X82,5))</f>
        <v/>
      </c>
      <c r="F82">
        <f>IF($X82="","",INDEX(Inventory!$A$2:$V$150,$X82,6))</f>
        <v/>
      </c>
      <c r="G82">
        <f>IF($X82="","",INDEX(Inventory!$A$2:$V$150,$X82,7))</f>
        <v/>
      </c>
      <c r="H82">
        <f>IF($X82="","",INDEX(Inventory!$A$2:$V$150,$X82,8))</f>
        <v/>
      </c>
      <c r="I82">
        <f>IF($X82="","",INDEX(Inventory!$A$2:$V$150,$X82,9))</f>
        <v/>
      </c>
      <c r="J82">
        <f>IF($X82="","",INDEX(Inventory!$A$2:$V$150,$X82,10))</f>
        <v/>
      </c>
      <c r="K82">
        <f>IF($X82="","",INDEX(Inventory!$A$2:$V$150,$X82,11))</f>
        <v/>
      </c>
      <c r="L82">
        <f>IF($X82="","",INDEX(Inventory!$A$2:$V$150,$X82,12))</f>
        <v/>
      </c>
      <c r="M82">
        <f>IF($X82="","",INDEX(Inventory!$A$2:$V$150,$X82,13))</f>
        <v/>
      </c>
      <c r="N82">
        <f>IF($X82="","",INDEX(Inventory!$A$2:$V$150,$X82,14))</f>
        <v/>
      </c>
      <c r="O82">
        <f>IF($X82="","",INDEX(Inventory!$A$2:$V$150,$X82,15))</f>
        <v/>
      </c>
      <c r="P82">
        <f>IF($X82="","",INDEX(Inventory!$A$2:$V$150,$X82,16))</f>
        <v/>
      </c>
      <c r="Q82">
        <f>IF($X82="","",INDEX(Inventory!$A$2:$V$150,$X82,17))</f>
        <v/>
      </c>
      <c r="R82">
        <f>IF($X82="","",INDEX(Inventory!$A$2:$V$150,$X82,18))</f>
        <v/>
      </c>
      <c r="S82">
        <f>IF($X82="","",INDEX(Inventory!$A$2:$V$150,$X82,19))</f>
        <v/>
      </c>
      <c r="T82">
        <f>IF($X82="","",INDEX(Inventory!$A$2:$V$150,$X82,20))</f>
        <v/>
      </c>
      <c r="U82">
        <f>IF($X82="","",INDEX(Inventory!$A$2:$V$150,$X82,21))</f>
        <v/>
      </c>
      <c r="V82">
        <f>IF($X82="","",INDEX(Inventory!$A$2:$V$150,$X82,22))</f>
        <v/>
      </c>
      <c r="X82">
        <f>IF($B$1="","",IFERROR(AGGREGATE(15,6,(ROW(Inventory!$B$2:$B$150)-ROW(Inventory!$B$2)+1)/(Inventory!$B$2:$B$150=$B$1),ROWS($A$6:A82)), ""))</f>
        <v/>
      </c>
    </row>
    <row r="83">
      <c r="A83">
        <f>IF($X83="","",INDEX(Inventory!$A$2:$V$150,$X83,1))</f>
        <v/>
      </c>
      <c r="B83">
        <f>IF($X83="","",INDEX(Inventory!$A$2:$V$150,$X83,2))</f>
        <v/>
      </c>
      <c r="C83">
        <f>IF($X83="","",INDEX(Inventory!$A$2:$V$150,$X83,3))</f>
        <v/>
      </c>
      <c r="D83">
        <f>IF($X83="","",INDEX(Inventory!$A$2:$V$150,$X83,4))</f>
        <v/>
      </c>
      <c r="E83">
        <f>IF($X83="","",INDEX(Inventory!$A$2:$V$150,$X83,5))</f>
        <v/>
      </c>
      <c r="F83">
        <f>IF($X83="","",INDEX(Inventory!$A$2:$V$150,$X83,6))</f>
        <v/>
      </c>
      <c r="G83">
        <f>IF($X83="","",INDEX(Inventory!$A$2:$V$150,$X83,7))</f>
        <v/>
      </c>
      <c r="H83">
        <f>IF($X83="","",INDEX(Inventory!$A$2:$V$150,$X83,8))</f>
        <v/>
      </c>
      <c r="I83">
        <f>IF($X83="","",INDEX(Inventory!$A$2:$V$150,$X83,9))</f>
        <v/>
      </c>
      <c r="J83">
        <f>IF($X83="","",INDEX(Inventory!$A$2:$V$150,$X83,10))</f>
        <v/>
      </c>
      <c r="K83">
        <f>IF($X83="","",INDEX(Inventory!$A$2:$V$150,$X83,11))</f>
        <v/>
      </c>
      <c r="L83">
        <f>IF($X83="","",INDEX(Inventory!$A$2:$V$150,$X83,12))</f>
        <v/>
      </c>
      <c r="M83">
        <f>IF($X83="","",INDEX(Inventory!$A$2:$V$150,$X83,13))</f>
        <v/>
      </c>
      <c r="N83">
        <f>IF($X83="","",INDEX(Inventory!$A$2:$V$150,$X83,14))</f>
        <v/>
      </c>
      <c r="O83">
        <f>IF($X83="","",INDEX(Inventory!$A$2:$V$150,$X83,15))</f>
        <v/>
      </c>
      <c r="P83">
        <f>IF($X83="","",INDEX(Inventory!$A$2:$V$150,$X83,16))</f>
        <v/>
      </c>
      <c r="Q83">
        <f>IF($X83="","",INDEX(Inventory!$A$2:$V$150,$X83,17))</f>
        <v/>
      </c>
      <c r="R83">
        <f>IF($X83="","",INDEX(Inventory!$A$2:$V$150,$X83,18))</f>
        <v/>
      </c>
      <c r="S83">
        <f>IF($X83="","",INDEX(Inventory!$A$2:$V$150,$X83,19))</f>
        <v/>
      </c>
      <c r="T83">
        <f>IF($X83="","",INDEX(Inventory!$A$2:$V$150,$X83,20))</f>
        <v/>
      </c>
      <c r="U83">
        <f>IF($X83="","",INDEX(Inventory!$A$2:$V$150,$X83,21))</f>
        <v/>
      </c>
      <c r="V83">
        <f>IF($X83="","",INDEX(Inventory!$A$2:$V$150,$X83,22))</f>
        <v/>
      </c>
      <c r="X83">
        <f>IF($B$1="","",IFERROR(AGGREGATE(15,6,(ROW(Inventory!$B$2:$B$150)-ROW(Inventory!$B$2)+1)/(Inventory!$B$2:$B$150=$B$1),ROWS($A$6:A83)), ""))</f>
        <v/>
      </c>
    </row>
    <row r="84">
      <c r="A84">
        <f>IF($X84="","",INDEX(Inventory!$A$2:$V$150,$X84,1))</f>
        <v/>
      </c>
      <c r="B84">
        <f>IF($X84="","",INDEX(Inventory!$A$2:$V$150,$X84,2))</f>
        <v/>
      </c>
      <c r="C84">
        <f>IF($X84="","",INDEX(Inventory!$A$2:$V$150,$X84,3))</f>
        <v/>
      </c>
      <c r="D84">
        <f>IF($X84="","",INDEX(Inventory!$A$2:$V$150,$X84,4))</f>
        <v/>
      </c>
      <c r="E84">
        <f>IF($X84="","",INDEX(Inventory!$A$2:$V$150,$X84,5))</f>
        <v/>
      </c>
      <c r="F84">
        <f>IF($X84="","",INDEX(Inventory!$A$2:$V$150,$X84,6))</f>
        <v/>
      </c>
      <c r="G84">
        <f>IF($X84="","",INDEX(Inventory!$A$2:$V$150,$X84,7))</f>
        <v/>
      </c>
      <c r="H84">
        <f>IF($X84="","",INDEX(Inventory!$A$2:$V$150,$X84,8))</f>
        <v/>
      </c>
      <c r="I84">
        <f>IF($X84="","",INDEX(Inventory!$A$2:$V$150,$X84,9))</f>
        <v/>
      </c>
      <c r="J84">
        <f>IF($X84="","",INDEX(Inventory!$A$2:$V$150,$X84,10))</f>
        <v/>
      </c>
      <c r="K84">
        <f>IF($X84="","",INDEX(Inventory!$A$2:$V$150,$X84,11))</f>
        <v/>
      </c>
      <c r="L84">
        <f>IF($X84="","",INDEX(Inventory!$A$2:$V$150,$X84,12))</f>
        <v/>
      </c>
      <c r="M84">
        <f>IF($X84="","",INDEX(Inventory!$A$2:$V$150,$X84,13))</f>
        <v/>
      </c>
      <c r="N84">
        <f>IF($X84="","",INDEX(Inventory!$A$2:$V$150,$X84,14))</f>
        <v/>
      </c>
      <c r="O84">
        <f>IF($X84="","",INDEX(Inventory!$A$2:$V$150,$X84,15))</f>
        <v/>
      </c>
      <c r="P84">
        <f>IF($X84="","",INDEX(Inventory!$A$2:$V$150,$X84,16))</f>
        <v/>
      </c>
      <c r="Q84">
        <f>IF($X84="","",INDEX(Inventory!$A$2:$V$150,$X84,17))</f>
        <v/>
      </c>
      <c r="R84">
        <f>IF($X84="","",INDEX(Inventory!$A$2:$V$150,$X84,18))</f>
        <v/>
      </c>
      <c r="S84">
        <f>IF($X84="","",INDEX(Inventory!$A$2:$V$150,$X84,19))</f>
        <v/>
      </c>
      <c r="T84">
        <f>IF($X84="","",INDEX(Inventory!$A$2:$V$150,$X84,20))</f>
        <v/>
      </c>
      <c r="U84">
        <f>IF($X84="","",INDEX(Inventory!$A$2:$V$150,$X84,21))</f>
        <v/>
      </c>
      <c r="V84">
        <f>IF($X84="","",INDEX(Inventory!$A$2:$V$150,$X84,22))</f>
        <v/>
      </c>
      <c r="X84">
        <f>IF($B$1="","",IFERROR(AGGREGATE(15,6,(ROW(Inventory!$B$2:$B$150)-ROW(Inventory!$B$2)+1)/(Inventory!$B$2:$B$150=$B$1),ROWS($A$6:A84)), ""))</f>
        <v/>
      </c>
    </row>
    <row r="85">
      <c r="A85">
        <f>IF($X85="","",INDEX(Inventory!$A$2:$V$150,$X85,1))</f>
        <v/>
      </c>
      <c r="B85">
        <f>IF($X85="","",INDEX(Inventory!$A$2:$V$150,$X85,2))</f>
        <v/>
      </c>
      <c r="C85">
        <f>IF($X85="","",INDEX(Inventory!$A$2:$V$150,$X85,3))</f>
        <v/>
      </c>
      <c r="D85">
        <f>IF($X85="","",INDEX(Inventory!$A$2:$V$150,$X85,4))</f>
        <v/>
      </c>
      <c r="E85">
        <f>IF($X85="","",INDEX(Inventory!$A$2:$V$150,$X85,5))</f>
        <v/>
      </c>
      <c r="F85">
        <f>IF($X85="","",INDEX(Inventory!$A$2:$V$150,$X85,6))</f>
        <v/>
      </c>
      <c r="G85">
        <f>IF($X85="","",INDEX(Inventory!$A$2:$V$150,$X85,7))</f>
        <v/>
      </c>
      <c r="H85">
        <f>IF($X85="","",INDEX(Inventory!$A$2:$V$150,$X85,8))</f>
        <v/>
      </c>
      <c r="I85">
        <f>IF($X85="","",INDEX(Inventory!$A$2:$V$150,$X85,9))</f>
        <v/>
      </c>
      <c r="J85">
        <f>IF($X85="","",INDEX(Inventory!$A$2:$V$150,$X85,10))</f>
        <v/>
      </c>
      <c r="K85">
        <f>IF($X85="","",INDEX(Inventory!$A$2:$V$150,$X85,11))</f>
        <v/>
      </c>
      <c r="L85">
        <f>IF($X85="","",INDEX(Inventory!$A$2:$V$150,$X85,12))</f>
        <v/>
      </c>
      <c r="M85">
        <f>IF($X85="","",INDEX(Inventory!$A$2:$V$150,$X85,13))</f>
        <v/>
      </c>
      <c r="N85">
        <f>IF($X85="","",INDEX(Inventory!$A$2:$V$150,$X85,14))</f>
        <v/>
      </c>
      <c r="O85">
        <f>IF($X85="","",INDEX(Inventory!$A$2:$V$150,$X85,15))</f>
        <v/>
      </c>
      <c r="P85">
        <f>IF($X85="","",INDEX(Inventory!$A$2:$V$150,$X85,16))</f>
        <v/>
      </c>
      <c r="Q85">
        <f>IF($X85="","",INDEX(Inventory!$A$2:$V$150,$X85,17))</f>
        <v/>
      </c>
      <c r="R85">
        <f>IF($X85="","",INDEX(Inventory!$A$2:$V$150,$X85,18))</f>
        <v/>
      </c>
      <c r="S85">
        <f>IF($X85="","",INDEX(Inventory!$A$2:$V$150,$X85,19))</f>
        <v/>
      </c>
      <c r="T85">
        <f>IF($X85="","",INDEX(Inventory!$A$2:$V$150,$X85,20))</f>
        <v/>
      </c>
      <c r="U85">
        <f>IF($X85="","",INDEX(Inventory!$A$2:$V$150,$X85,21))</f>
        <v/>
      </c>
      <c r="V85">
        <f>IF($X85="","",INDEX(Inventory!$A$2:$V$150,$X85,22))</f>
        <v/>
      </c>
      <c r="X85">
        <f>IF($B$1="","",IFERROR(AGGREGATE(15,6,(ROW(Inventory!$B$2:$B$150)-ROW(Inventory!$B$2)+1)/(Inventory!$B$2:$B$150=$B$1),ROWS($A$6:A85)), ""))</f>
        <v/>
      </c>
    </row>
    <row r="86">
      <c r="A86">
        <f>IF($X86="","",INDEX(Inventory!$A$2:$V$150,$X86,1))</f>
        <v/>
      </c>
      <c r="B86">
        <f>IF($X86="","",INDEX(Inventory!$A$2:$V$150,$X86,2))</f>
        <v/>
      </c>
      <c r="C86">
        <f>IF($X86="","",INDEX(Inventory!$A$2:$V$150,$X86,3))</f>
        <v/>
      </c>
      <c r="D86">
        <f>IF($X86="","",INDEX(Inventory!$A$2:$V$150,$X86,4))</f>
        <v/>
      </c>
      <c r="E86">
        <f>IF($X86="","",INDEX(Inventory!$A$2:$V$150,$X86,5))</f>
        <v/>
      </c>
      <c r="F86">
        <f>IF($X86="","",INDEX(Inventory!$A$2:$V$150,$X86,6))</f>
        <v/>
      </c>
      <c r="G86">
        <f>IF($X86="","",INDEX(Inventory!$A$2:$V$150,$X86,7))</f>
        <v/>
      </c>
      <c r="H86">
        <f>IF($X86="","",INDEX(Inventory!$A$2:$V$150,$X86,8))</f>
        <v/>
      </c>
      <c r="I86">
        <f>IF($X86="","",INDEX(Inventory!$A$2:$V$150,$X86,9))</f>
        <v/>
      </c>
      <c r="J86">
        <f>IF($X86="","",INDEX(Inventory!$A$2:$V$150,$X86,10))</f>
        <v/>
      </c>
      <c r="K86">
        <f>IF($X86="","",INDEX(Inventory!$A$2:$V$150,$X86,11))</f>
        <v/>
      </c>
      <c r="L86">
        <f>IF($X86="","",INDEX(Inventory!$A$2:$V$150,$X86,12))</f>
        <v/>
      </c>
      <c r="M86">
        <f>IF($X86="","",INDEX(Inventory!$A$2:$V$150,$X86,13))</f>
        <v/>
      </c>
      <c r="N86">
        <f>IF($X86="","",INDEX(Inventory!$A$2:$V$150,$X86,14))</f>
        <v/>
      </c>
      <c r="O86">
        <f>IF($X86="","",INDEX(Inventory!$A$2:$V$150,$X86,15))</f>
        <v/>
      </c>
      <c r="P86">
        <f>IF($X86="","",INDEX(Inventory!$A$2:$V$150,$X86,16))</f>
        <v/>
      </c>
      <c r="Q86">
        <f>IF($X86="","",INDEX(Inventory!$A$2:$V$150,$X86,17))</f>
        <v/>
      </c>
      <c r="R86">
        <f>IF($X86="","",INDEX(Inventory!$A$2:$V$150,$X86,18))</f>
        <v/>
      </c>
      <c r="S86">
        <f>IF($X86="","",INDEX(Inventory!$A$2:$V$150,$X86,19))</f>
        <v/>
      </c>
      <c r="T86">
        <f>IF($X86="","",INDEX(Inventory!$A$2:$V$150,$X86,20))</f>
        <v/>
      </c>
      <c r="U86">
        <f>IF($X86="","",INDEX(Inventory!$A$2:$V$150,$X86,21))</f>
        <v/>
      </c>
      <c r="V86">
        <f>IF($X86="","",INDEX(Inventory!$A$2:$V$150,$X86,22))</f>
        <v/>
      </c>
      <c r="X86">
        <f>IF($B$1="","",IFERROR(AGGREGATE(15,6,(ROW(Inventory!$B$2:$B$150)-ROW(Inventory!$B$2)+1)/(Inventory!$B$2:$B$150=$B$1),ROWS($A$6:A86)), ""))</f>
        <v/>
      </c>
    </row>
    <row r="87">
      <c r="A87">
        <f>IF($X87="","",INDEX(Inventory!$A$2:$V$150,$X87,1))</f>
        <v/>
      </c>
      <c r="B87">
        <f>IF($X87="","",INDEX(Inventory!$A$2:$V$150,$X87,2))</f>
        <v/>
      </c>
      <c r="C87">
        <f>IF($X87="","",INDEX(Inventory!$A$2:$V$150,$X87,3))</f>
        <v/>
      </c>
      <c r="D87">
        <f>IF($X87="","",INDEX(Inventory!$A$2:$V$150,$X87,4))</f>
        <v/>
      </c>
      <c r="E87">
        <f>IF($X87="","",INDEX(Inventory!$A$2:$V$150,$X87,5))</f>
        <v/>
      </c>
      <c r="F87">
        <f>IF($X87="","",INDEX(Inventory!$A$2:$V$150,$X87,6))</f>
        <v/>
      </c>
      <c r="G87">
        <f>IF($X87="","",INDEX(Inventory!$A$2:$V$150,$X87,7))</f>
        <v/>
      </c>
      <c r="H87">
        <f>IF($X87="","",INDEX(Inventory!$A$2:$V$150,$X87,8))</f>
        <v/>
      </c>
      <c r="I87">
        <f>IF($X87="","",INDEX(Inventory!$A$2:$V$150,$X87,9))</f>
        <v/>
      </c>
      <c r="J87">
        <f>IF($X87="","",INDEX(Inventory!$A$2:$V$150,$X87,10))</f>
        <v/>
      </c>
      <c r="K87">
        <f>IF($X87="","",INDEX(Inventory!$A$2:$V$150,$X87,11))</f>
        <v/>
      </c>
      <c r="L87">
        <f>IF($X87="","",INDEX(Inventory!$A$2:$V$150,$X87,12))</f>
        <v/>
      </c>
      <c r="M87">
        <f>IF($X87="","",INDEX(Inventory!$A$2:$V$150,$X87,13))</f>
        <v/>
      </c>
      <c r="N87">
        <f>IF($X87="","",INDEX(Inventory!$A$2:$V$150,$X87,14))</f>
        <v/>
      </c>
      <c r="O87">
        <f>IF($X87="","",INDEX(Inventory!$A$2:$V$150,$X87,15))</f>
        <v/>
      </c>
      <c r="P87">
        <f>IF($X87="","",INDEX(Inventory!$A$2:$V$150,$X87,16))</f>
        <v/>
      </c>
      <c r="Q87">
        <f>IF($X87="","",INDEX(Inventory!$A$2:$V$150,$X87,17))</f>
        <v/>
      </c>
      <c r="R87">
        <f>IF($X87="","",INDEX(Inventory!$A$2:$V$150,$X87,18))</f>
        <v/>
      </c>
      <c r="S87">
        <f>IF($X87="","",INDEX(Inventory!$A$2:$V$150,$X87,19))</f>
        <v/>
      </c>
      <c r="T87">
        <f>IF($X87="","",INDEX(Inventory!$A$2:$V$150,$X87,20))</f>
        <v/>
      </c>
      <c r="U87">
        <f>IF($X87="","",INDEX(Inventory!$A$2:$V$150,$X87,21))</f>
        <v/>
      </c>
      <c r="V87">
        <f>IF($X87="","",INDEX(Inventory!$A$2:$V$150,$X87,22))</f>
        <v/>
      </c>
      <c r="X87">
        <f>IF($B$1="","",IFERROR(AGGREGATE(15,6,(ROW(Inventory!$B$2:$B$150)-ROW(Inventory!$B$2)+1)/(Inventory!$B$2:$B$150=$B$1),ROWS($A$6:A87)), ""))</f>
        <v/>
      </c>
    </row>
    <row r="88">
      <c r="A88">
        <f>IF($X88="","",INDEX(Inventory!$A$2:$V$150,$X88,1))</f>
        <v/>
      </c>
      <c r="B88">
        <f>IF($X88="","",INDEX(Inventory!$A$2:$V$150,$X88,2))</f>
        <v/>
      </c>
      <c r="C88">
        <f>IF($X88="","",INDEX(Inventory!$A$2:$V$150,$X88,3))</f>
        <v/>
      </c>
      <c r="D88">
        <f>IF($X88="","",INDEX(Inventory!$A$2:$V$150,$X88,4))</f>
        <v/>
      </c>
      <c r="E88">
        <f>IF($X88="","",INDEX(Inventory!$A$2:$V$150,$X88,5))</f>
        <v/>
      </c>
      <c r="F88">
        <f>IF($X88="","",INDEX(Inventory!$A$2:$V$150,$X88,6))</f>
        <v/>
      </c>
      <c r="G88">
        <f>IF($X88="","",INDEX(Inventory!$A$2:$V$150,$X88,7))</f>
        <v/>
      </c>
      <c r="H88">
        <f>IF($X88="","",INDEX(Inventory!$A$2:$V$150,$X88,8))</f>
        <v/>
      </c>
      <c r="I88">
        <f>IF($X88="","",INDEX(Inventory!$A$2:$V$150,$X88,9))</f>
        <v/>
      </c>
      <c r="J88">
        <f>IF($X88="","",INDEX(Inventory!$A$2:$V$150,$X88,10))</f>
        <v/>
      </c>
      <c r="K88">
        <f>IF($X88="","",INDEX(Inventory!$A$2:$V$150,$X88,11))</f>
        <v/>
      </c>
      <c r="L88">
        <f>IF($X88="","",INDEX(Inventory!$A$2:$V$150,$X88,12))</f>
        <v/>
      </c>
      <c r="M88">
        <f>IF($X88="","",INDEX(Inventory!$A$2:$V$150,$X88,13))</f>
        <v/>
      </c>
      <c r="N88">
        <f>IF($X88="","",INDEX(Inventory!$A$2:$V$150,$X88,14))</f>
        <v/>
      </c>
      <c r="O88">
        <f>IF($X88="","",INDEX(Inventory!$A$2:$V$150,$X88,15))</f>
        <v/>
      </c>
      <c r="P88">
        <f>IF($X88="","",INDEX(Inventory!$A$2:$V$150,$X88,16))</f>
        <v/>
      </c>
      <c r="Q88">
        <f>IF($X88="","",INDEX(Inventory!$A$2:$V$150,$X88,17))</f>
        <v/>
      </c>
      <c r="R88">
        <f>IF($X88="","",INDEX(Inventory!$A$2:$V$150,$X88,18))</f>
        <v/>
      </c>
      <c r="S88">
        <f>IF($X88="","",INDEX(Inventory!$A$2:$V$150,$X88,19))</f>
        <v/>
      </c>
      <c r="T88">
        <f>IF($X88="","",INDEX(Inventory!$A$2:$V$150,$X88,20))</f>
        <v/>
      </c>
      <c r="U88">
        <f>IF($X88="","",INDEX(Inventory!$A$2:$V$150,$X88,21))</f>
        <v/>
      </c>
      <c r="V88">
        <f>IF($X88="","",INDEX(Inventory!$A$2:$V$150,$X88,22))</f>
        <v/>
      </c>
      <c r="X88">
        <f>IF($B$1="","",IFERROR(AGGREGATE(15,6,(ROW(Inventory!$B$2:$B$150)-ROW(Inventory!$B$2)+1)/(Inventory!$B$2:$B$150=$B$1),ROWS($A$6:A88)), ""))</f>
        <v/>
      </c>
    </row>
    <row r="89">
      <c r="A89">
        <f>IF($X89="","",INDEX(Inventory!$A$2:$V$150,$X89,1))</f>
        <v/>
      </c>
      <c r="B89">
        <f>IF($X89="","",INDEX(Inventory!$A$2:$V$150,$X89,2))</f>
        <v/>
      </c>
      <c r="C89">
        <f>IF($X89="","",INDEX(Inventory!$A$2:$V$150,$X89,3))</f>
        <v/>
      </c>
      <c r="D89">
        <f>IF($X89="","",INDEX(Inventory!$A$2:$V$150,$X89,4))</f>
        <v/>
      </c>
      <c r="E89">
        <f>IF($X89="","",INDEX(Inventory!$A$2:$V$150,$X89,5))</f>
        <v/>
      </c>
      <c r="F89">
        <f>IF($X89="","",INDEX(Inventory!$A$2:$V$150,$X89,6))</f>
        <v/>
      </c>
      <c r="G89">
        <f>IF($X89="","",INDEX(Inventory!$A$2:$V$150,$X89,7))</f>
        <v/>
      </c>
      <c r="H89">
        <f>IF($X89="","",INDEX(Inventory!$A$2:$V$150,$X89,8))</f>
        <v/>
      </c>
      <c r="I89">
        <f>IF($X89="","",INDEX(Inventory!$A$2:$V$150,$X89,9))</f>
        <v/>
      </c>
      <c r="J89">
        <f>IF($X89="","",INDEX(Inventory!$A$2:$V$150,$X89,10))</f>
        <v/>
      </c>
      <c r="K89">
        <f>IF($X89="","",INDEX(Inventory!$A$2:$V$150,$X89,11))</f>
        <v/>
      </c>
      <c r="L89">
        <f>IF($X89="","",INDEX(Inventory!$A$2:$V$150,$X89,12))</f>
        <v/>
      </c>
      <c r="M89">
        <f>IF($X89="","",INDEX(Inventory!$A$2:$V$150,$X89,13))</f>
        <v/>
      </c>
      <c r="N89">
        <f>IF($X89="","",INDEX(Inventory!$A$2:$V$150,$X89,14))</f>
        <v/>
      </c>
      <c r="O89">
        <f>IF($X89="","",INDEX(Inventory!$A$2:$V$150,$X89,15))</f>
        <v/>
      </c>
      <c r="P89">
        <f>IF($X89="","",INDEX(Inventory!$A$2:$V$150,$X89,16))</f>
        <v/>
      </c>
      <c r="Q89">
        <f>IF($X89="","",INDEX(Inventory!$A$2:$V$150,$X89,17))</f>
        <v/>
      </c>
      <c r="R89">
        <f>IF($X89="","",INDEX(Inventory!$A$2:$V$150,$X89,18))</f>
        <v/>
      </c>
      <c r="S89">
        <f>IF($X89="","",INDEX(Inventory!$A$2:$V$150,$X89,19))</f>
        <v/>
      </c>
      <c r="T89">
        <f>IF($X89="","",INDEX(Inventory!$A$2:$V$150,$X89,20))</f>
        <v/>
      </c>
      <c r="U89">
        <f>IF($X89="","",INDEX(Inventory!$A$2:$V$150,$X89,21))</f>
        <v/>
      </c>
      <c r="V89">
        <f>IF($X89="","",INDEX(Inventory!$A$2:$V$150,$X89,22))</f>
        <v/>
      </c>
      <c r="X89">
        <f>IF($B$1="","",IFERROR(AGGREGATE(15,6,(ROW(Inventory!$B$2:$B$150)-ROW(Inventory!$B$2)+1)/(Inventory!$B$2:$B$150=$B$1),ROWS($A$6:A89)), ""))</f>
        <v/>
      </c>
    </row>
    <row r="90">
      <c r="A90">
        <f>IF($X90="","",INDEX(Inventory!$A$2:$V$150,$X90,1))</f>
        <v/>
      </c>
      <c r="B90">
        <f>IF($X90="","",INDEX(Inventory!$A$2:$V$150,$X90,2))</f>
        <v/>
      </c>
      <c r="C90">
        <f>IF($X90="","",INDEX(Inventory!$A$2:$V$150,$X90,3))</f>
        <v/>
      </c>
      <c r="D90">
        <f>IF($X90="","",INDEX(Inventory!$A$2:$V$150,$X90,4))</f>
        <v/>
      </c>
      <c r="E90">
        <f>IF($X90="","",INDEX(Inventory!$A$2:$V$150,$X90,5))</f>
        <v/>
      </c>
      <c r="F90">
        <f>IF($X90="","",INDEX(Inventory!$A$2:$V$150,$X90,6))</f>
        <v/>
      </c>
      <c r="G90">
        <f>IF($X90="","",INDEX(Inventory!$A$2:$V$150,$X90,7))</f>
        <v/>
      </c>
      <c r="H90">
        <f>IF($X90="","",INDEX(Inventory!$A$2:$V$150,$X90,8))</f>
        <v/>
      </c>
      <c r="I90">
        <f>IF($X90="","",INDEX(Inventory!$A$2:$V$150,$X90,9))</f>
        <v/>
      </c>
      <c r="J90">
        <f>IF($X90="","",INDEX(Inventory!$A$2:$V$150,$X90,10))</f>
        <v/>
      </c>
      <c r="K90">
        <f>IF($X90="","",INDEX(Inventory!$A$2:$V$150,$X90,11))</f>
        <v/>
      </c>
      <c r="L90">
        <f>IF($X90="","",INDEX(Inventory!$A$2:$V$150,$X90,12))</f>
        <v/>
      </c>
      <c r="M90">
        <f>IF($X90="","",INDEX(Inventory!$A$2:$V$150,$X90,13))</f>
        <v/>
      </c>
      <c r="N90">
        <f>IF($X90="","",INDEX(Inventory!$A$2:$V$150,$X90,14))</f>
        <v/>
      </c>
      <c r="O90">
        <f>IF($X90="","",INDEX(Inventory!$A$2:$V$150,$X90,15))</f>
        <v/>
      </c>
      <c r="P90">
        <f>IF($X90="","",INDEX(Inventory!$A$2:$V$150,$X90,16))</f>
        <v/>
      </c>
      <c r="Q90">
        <f>IF($X90="","",INDEX(Inventory!$A$2:$V$150,$X90,17))</f>
        <v/>
      </c>
      <c r="R90">
        <f>IF($X90="","",INDEX(Inventory!$A$2:$V$150,$X90,18))</f>
        <v/>
      </c>
      <c r="S90">
        <f>IF($X90="","",INDEX(Inventory!$A$2:$V$150,$X90,19))</f>
        <v/>
      </c>
      <c r="T90">
        <f>IF($X90="","",INDEX(Inventory!$A$2:$V$150,$X90,20))</f>
        <v/>
      </c>
      <c r="U90">
        <f>IF($X90="","",INDEX(Inventory!$A$2:$V$150,$X90,21))</f>
        <v/>
      </c>
      <c r="V90">
        <f>IF($X90="","",INDEX(Inventory!$A$2:$V$150,$X90,22))</f>
        <v/>
      </c>
      <c r="X90">
        <f>IF($B$1="","",IFERROR(AGGREGATE(15,6,(ROW(Inventory!$B$2:$B$150)-ROW(Inventory!$B$2)+1)/(Inventory!$B$2:$B$150=$B$1),ROWS($A$6:A90)), ""))</f>
        <v/>
      </c>
    </row>
    <row r="91">
      <c r="A91">
        <f>IF($X91="","",INDEX(Inventory!$A$2:$V$150,$X91,1))</f>
        <v/>
      </c>
      <c r="B91">
        <f>IF($X91="","",INDEX(Inventory!$A$2:$V$150,$X91,2))</f>
        <v/>
      </c>
      <c r="C91">
        <f>IF($X91="","",INDEX(Inventory!$A$2:$V$150,$X91,3))</f>
        <v/>
      </c>
      <c r="D91">
        <f>IF($X91="","",INDEX(Inventory!$A$2:$V$150,$X91,4))</f>
        <v/>
      </c>
      <c r="E91">
        <f>IF($X91="","",INDEX(Inventory!$A$2:$V$150,$X91,5))</f>
        <v/>
      </c>
      <c r="F91">
        <f>IF($X91="","",INDEX(Inventory!$A$2:$V$150,$X91,6))</f>
        <v/>
      </c>
      <c r="G91">
        <f>IF($X91="","",INDEX(Inventory!$A$2:$V$150,$X91,7))</f>
        <v/>
      </c>
      <c r="H91">
        <f>IF($X91="","",INDEX(Inventory!$A$2:$V$150,$X91,8))</f>
        <v/>
      </c>
      <c r="I91">
        <f>IF($X91="","",INDEX(Inventory!$A$2:$V$150,$X91,9))</f>
        <v/>
      </c>
      <c r="J91">
        <f>IF($X91="","",INDEX(Inventory!$A$2:$V$150,$X91,10))</f>
        <v/>
      </c>
      <c r="K91">
        <f>IF($X91="","",INDEX(Inventory!$A$2:$V$150,$X91,11))</f>
        <v/>
      </c>
      <c r="L91">
        <f>IF($X91="","",INDEX(Inventory!$A$2:$V$150,$X91,12))</f>
        <v/>
      </c>
      <c r="M91">
        <f>IF($X91="","",INDEX(Inventory!$A$2:$V$150,$X91,13))</f>
        <v/>
      </c>
      <c r="N91">
        <f>IF($X91="","",INDEX(Inventory!$A$2:$V$150,$X91,14))</f>
        <v/>
      </c>
      <c r="O91">
        <f>IF($X91="","",INDEX(Inventory!$A$2:$V$150,$X91,15))</f>
        <v/>
      </c>
      <c r="P91">
        <f>IF($X91="","",INDEX(Inventory!$A$2:$V$150,$X91,16))</f>
        <v/>
      </c>
      <c r="Q91">
        <f>IF($X91="","",INDEX(Inventory!$A$2:$V$150,$X91,17))</f>
        <v/>
      </c>
      <c r="R91">
        <f>IF($X91="","",INDEX(Inventory!$A$2:$V$150,$X91,18))</f>
        <v/>
      </c>
      <c r="S91">
        <f>IF($X91="","",INDEX(Inventory!$A$2:$V$150,$X91,19))</f>
        <v/>
      </c>
      <c r="T91">
        <f>IF($X91="","",INDEX(Inventory!$A$2:$V$150,$X91,20))</f>
        <v/>
      </c>
      <c r="U91">
        <f>IF($X91="","",INDEX(Inventory!$A$2:$V$150,$X91,21))</f>
        <v/>
      </c>
      <c r="V91">
        <f>IF($X91="","",INDEX(Inventory!$A$2:$V$150,$X91,22))</f>
        <v/>
      </c>
      <c r="X91">
        <f>IF($B$1="","",IFERROR(AGGREGATE(15,6,(ROW(Inventory!$B$2:$B$150)-ROW(Inventory!$B$2)+1)/(Inventory!$B$2:$B$150=$B$1),ROWS($A$6:A91)), ""))</f>
        <v/>
      </c>
    </row>
    <row r="92">
      <c r="A92">
        <f>IF($X92="","",INDEX(Inventory!$A$2:$V$150,$X92,1))</f>
        <v/>
      </c>
      <c r="B92">
        <f>IF($X92="","",INDEX(Inventory!$A$2:$V$150,$X92,2))</f>
        <v/>
      </c>
      <c r="C92">
        <f>IF($X92="","",INDEX(Inventory!$A$2:$V$150,$X92,3))</f>
        <v/>
      </c>
      <c r="D92">
        <f>IF($X92="","",INDEX(Inventory!$A$2:$V$150,$X92,4))</f>
        <v/>
      </c>
      <c r="E92">
        <f>IF($X92="","",INDEX(Inventory!$A$2:$V$150,$X92,5))</f>
        <v/>
      </c>
      <c r="F92">
        <f>IF($X92="","",INDEX(Inventory!$A$2:$V$150,$X92,6))</f>
        <v/>
      </c>
      <c r="G92">
        <f>IF($X92="","",INDEX(Inventory!$A$2:$V$150,$X92,7))</f>
        <v/>
      </c>
      <c r="H92">
        <f>IF($X92="","",INDEX(Inventory!$A$2:$V$150,$X92,8))</f>
        <v/>
      </c>
      <c r="I92">
        <f>IF($X92="","",INDEX(Inventory!$A$2:$V$150,$X92,9))</f>
        <v/>
      </c>
      <c r="J92">
        <f>IF($X92="","",INDEX(Inventory!$A$2:$V$150,$X92,10))</f>
        <v/>
      </c>
      <c r="K92">
        <f>IF($X92="","",INDEX(Inventory!$A$2:$V$150,$X92,11))</f>
        <v/>
      </c>
      <c r="L92">
        <f>IF($X92="","",INDEX(Inventory!$A$2:$V$150,$X92,12))</f>
        <v/>
      </c>
      <c r="M92">
        <f>IF($X92="","",INDEX(Inventory!$A$2:$V$150,$X92,13))</f>
        <v/>
      </c>
      <c r="N92">
        <f>IF($X92="","",INDEX(Inventory!$A$2:$V$150,$X92,14))</f>
        <v/>
      </c>
      <c r="O92">
        <f>IF($X92="","",INDEX(Inventory!$A$2:$V$150,$X92,15))</f>
        <v/>
      </c>
      <c r="P92">
        <f>IF($X92="","",INDEX(Inventory!$A$2:$V$150,$X92,16))</f>
        <v/>
      </c>
      <c r="Q92">
        <f>IF($X92="","",INDEX(Inventory!$A$2:$V$150,$X92,17))</f>
        <v/>
      </c>
      <c r="R92">
        <f>IF($X92="","",INDEX(Inventory!$A$2:$V$150,$X92,18))</f>
        <v/>
      </c>
      <c r="S92">
        <f>IF($X92="","",INDEX(Inventory!$A$2:$V$150,$X92,19))</f>
        <v/>
      </c>
      <c r="T92">
        <f>IF($X92="","",INDEX(Inventory!$A$2:$V$150,$X92,20))</f>
        <v/>
      </c>
      <c r="U92">
        <f>IF($X92="","",INDEX(Inventory!$A$2:$V$150,$X92,21))</f>
        <v/>
      </c>
      <c r="V92">
        <f>IF($X92="","",INDEX(Inventory!$A$2:$V$150,$X92,22))</f>
        <v/>
      </c>
      <c r="X92">
        <f>IF($B$1="","",IFERROR(AGGREGATE(15,6,(ROW(Inventory!$B$2:$B$150)-ROW(Inventory!$B$2)+1)/(Inventory!$B$2:$B$150=$B$1),ROWS($A$6:A92)), ""))</f>
        <v/>
      </c>
    </row>
    <row r="93">
      <c r="A93">
        <f>IF($X93="","",INDEX(Inventory!$A$2:$V$150,$X93,1))</f>
        <v/>
      </c>
      <c r="B93">
        <f>IF($X93="","",INDEX(Inventory!$A$2:$V$150,$X93,2))</f>
        <v/>
      </c>
      <c r="C93">
        <f>IF($X93="","",INDEX(Inventory!$A$2:$V$150,$X93,3))</f>
        <v/>
      </c>
      <c r="D93">
        <f>IF($X93="","",INDEX(Inventory!$A$2:$V$150,$X93,4))</f>
        <v/>
      </c>
      <c r="E93">
        <f>IF($X93="","",INDEX(Inventory!$A$2:$V$150,$X93,5))</f>
        <v/>
      </c>
      <c r="F93">
        <f>IF($X93="","",INDEX(Inventory!$A$2:$V$150,$X93,6))</f>
        <v/>
      </c>
      <c r="G93">
        <f>IF($X93="","",INDEX(Inventory!$A$2:$V$150,$X93,7))</f>
        <v/>
      </c>
      <c r="H93">
        <f>IF($X93="","",INDEX(Inventory!$A$2:$V$150,$X93,8))</f>
        <v/>
      </c>
      <c r="I93">
        <f>IF($X93="","",INDEX(Inventory!$A$2:$V$150,$X93,9))</f>
        <v/>
      </c>
      <c r="J93">
        <f>IF($X93="","",INDEX(Inventory!$A$2:$V$150,$X93,10))</f>
        <v/>
      </c>
      <c r="K93">
        <f>IF($X93="","",INDEX(Inventory!$A$2:$V$150,$X93,11))</f>
        <v/>
      </c>
      <c r="L93">
        <f>IF($X93="","",INDEX(Inventory!$A$2:$V$150,$X93,12))</f>
        <v/>
      </c>
      <c r="M93">
        <f>IF($X93="","",INDEX(Inventory!$A$2:$V$150,$X93,13))</f>
        <v/>
      </c>
      <c r="N93">
        <f>IF($X93="","",INDEX(Inventory!$A$2:$V$150,$X93,14))</f>
        <v/>
      </c>
      <c r="O93">
        <f>IF($X93="","",INDEX(Inventory!$A$2:$V$150,$X93,15))</f>
        <v/>
      </c>
      <c r="P93">
        <f>IF($X93="","",INDEX(Inventory!$A$2:$V$150,$X93,16))</f>
        <v/>
      </c>
      <c r="Q93">
        <f>IF($X93="","",INDEX(Inventory!$A$2:$V$150,$X93,17))</f>
        <v/>
      </c>
      <c r="R93">
        <f>IF($X93="","",INDEX(Inventory!$A$2:$V$150,$X93,18))</f>
        <v/>
      </c>
      <c r="S93">
        <f>IF($X93="","",INDEX(Inventory!$A$2:$V$150,$X93,19))</f>
        <v/>
      </c>
      <c r="T93">
        <f>IF($X93="","",INDEX(Inventory!$A$2:$V$150,$X93,20))</f>
        <v/>
      </c>
      <c r="U93">
        <f>IF($X93="","",INDEX(Inventory!$A$2:$V$150,$X93,21))</f>
        <v/>
      </c>
      <c r="V93">
        <f>IF($X93="","",INDEX(Inventory!$A$2:$V$150,$X93,22))</f>
        <v/>
      </c>
      <c r="X93">
        <f>IF($B$1="","",IFERROR(AGGREGATE(15,6,(ROW(Inventory!$B$2:$B$150)-ROW(Inventory!$B$2)+1)/(Inventory!$B$2:$B$150=$B$1),ROWS($A$6:A93)), ""))</f>
        <v/>
      </c>
    </row>
    <row r="94">
      <c r="A94">
        <f>IF($X94="","",INDEX(Inventory!$A$2:$V$150,$X94,1))</f>
        <v/>
      </c>
      <c r="B94">
        <f>IF($X94="","",INDEX(Inventory!$A$2:$V$150,$X94,2))</f>
        <v/>
      </c>
      <c r="C94">
        <f>IF($X94="","",INDEX(Inventory!$A$2:$V$150,$X94,3))</f>
        <v/>
      </c>
      <c r="D94">
        <f>IF($X94="","",INDEX(Inventory!$A$2:$V$150,$X94,4))</f>
        <v/>
      </c>
      <c r="E94">
        <f>IF($X94="","",INDEX(Inventory!$A$2:$V$150,$X94,5))</f>
        <v/>
      </c>
      <c r="F94">
        <f>IF($X94="","",INDEX(Inventory!$A$2:$V$150,$X94,6))</f>
        <v/>
      </c>
      <c r="G94">
        <f>IF($X94="","",INDEX(Inventory!$A$2:$V$150,$X94,7))</f>
        <v/>
      </c>
      <c r="H94">
        <f>IF($X94="","",INDEX(Inventory!$A$2:$V$150,$X94,8))</f>
        <v/>
      </c>
      <c r="I94">
        <f>IF($X94="","",INDEX(Inventory!$A$2:$V$150,$X94,9))</f>
        <v/>
      </c>
      <c r="J94">
        <f>IF($X94="","",INDEX(Inventory!$A$2:$V$150,$X94,10))</f>
        <v/>
      </c>
      <c r="K94">
        <f>IF($X94="","",INDEX(Inventory!$A$2:$V$150,$X94,11))</f>
        <v/>
      </c>
      <c r="L94">
        <f>IF($X94="","",INDEX(Inventory!$A$2:$V$150,$X94,12))</f>
        <v/>
      </c>
      <c r="M94">
        <f>IF($X94="","",INDEX(Inventory!$A$2:$V$150,$X94,13))</f>
        <v/>
      </c>
      <c r="N94">
        <f>IF($X94="","",INDEX(Inventory!$A$2:$V$150,$X94,14))</f>
        <v/>
      </c>
      <c r="O94">
        <f>IF($X94="","",INDEX(Inventory!$A$2:$V$150,$X94,15))</f>
        <v/>
      </c>
      <c r="P94">
        <f>IF($X94="","",INDEX(Inventory!$A$2:$V$150,$X94,16))</f>
        <v/>
      </c>
      <c r="Q94">
        <f>IF($X94="","",INDEX(Inventory!$A$2:$V$150,$X94,17))</f>
        <v/>
      </c>
      <c r="R94">
        <f>IF($X94="","",INDEX(Inventory!$A$2:$V$150,$X94,18))</f>
        <v/>
      </c>
      <c r="S94">
        <f>IF($X94="","",INDEX(Inventory!$A$2:$V$150,$X94,19))</f>
        <v/>
      </c>
      <c r="T94">
        <f>IF($X94="","",INDEX(Inventory!$A$2:$V$150,$X94,20))</f>
        <v/>
      </c>
      <c r="U94">
        <f>IF($X94="","",INDEX(Inventory!$A$2:$V$150,$X94,21))</f>
        <v/>
      </c>
      <c r="V94">
        <f>IF($X94="","",INDEX(Inventory!$A$2:$V$150,$X94,22))</f>
        <v/>
      </c>
      <c r="X94">
        <f>IF($B$1="","",IFERROR(AGGREGATE(15,6,(ROW(Inventory!$B$2:$B$150)-ROW(Inventory!$B$2)+1)/(Inventory!$B$2:$B$150=$B$1),ROWS($A$6:A94)), ""))</f>
        <v/>
      </c>
    </row>
    <row r="95">
      <c r="A95">
        <f>IF($X95="","",INDEX(Inventory!$A$2:$V$150,$X95,1))</f>
        <v/>
      </c>
      <c r="B95">
        <f>IF($X95="","",INDEX(Inventory!$A$2:$V$150,$X95,2))</f>
        <v/>
      </c>
      <c r="C95">
        <f>IF($X95="","",INDEX(Inventory!$A$2:$V$150,$X95,3))</f>
        <v/>
      </c>
      <c r="D95">
        <f>IF($X95="","",INDEX(Inventory!$A$2:$V$150,$X95,4))</f>
        <v/>
      </c>
      <c r="E95">
        <f>IF($X95="","",INDEX(Inventory!$A$2:$V$150,$X95,5))</f>
        <v/>
      </c>
      <c r="F95">
        <f>IF($X95="","",INDEX(Inventory!$A$2:$V$150,$X95,6))</f>
        <v/>
      </c>
      <c r="G95">
        <f>IF($X95="","",INDEX(Inventory!$A$2:$V$150,$X95,7))</f>
        <v/>
      </c>
      <c r="H95">
        <f>IF($X95="","",INDEX(Inventory!$A$2:$V$150,$X95,8))</f>
        <v/>
      </c>
      <c r="I95">
        <f>IF($X95="","",INDEX(Inventory!$A$2:$V$150,$X95,9))</f>
        <v/>
      </c>
      <c r="J95">
        <f>IF($X95="","",INDEX(Inventory!$A$2:$V$150,$X95,10))</f>
        <v/>
      </c>
      <c r="K95">
        <f>IF($X95="","",INDEX(Inventory!$A$2:$V$150,$X95,11))</f>
        <v/>
      </c>
      <c r="L95">
        <f>IF($X95="","",INDEX(Inventory!$A$2:$V$150,$X95,12))</f>
        <v/>
      </c>
      <c r="M95">
        <f>IF($X95="","",INDEX(Inventory!$A$2:$V$150,$X95,13))</f>
        <v/>
      </c>
      <c r="N95">
        <f>IF($X95="","",INDEX(Inventory!$A$2:$V$150,$X95,14))</f>
        <v/>
      </c>
      <c r="O95">
        <f>IF($X95="","",INDEX(Inventory!$A$2:$V$150,$X95,15))</f>
        <v/>
      </c>
      <c r="P95">
        <f>IF($X95="","",INDEX(Inventory!$A$2:$V$150,$X95,16))</f>
        <v/>
      </c>
      <c r="Q95">
        <f>IF($X95="","",INDEX(Inventory!$A$2:$V$150,$X95,17))</f>
        <v/>
      </c>
      <c r="R95">
        <f>IF($X95="","",INDEX(Inventory!$A$2:$V$150,$X95,18))</f>
        <v/>
      </c>
      <c r="S95">
        <f>IF($X95="","",INDEX(Inventory!$A$2:$V$150,$X95,19))</f>
        <v/>
      </c>
      <c r="T95">
        <f>IF($X95="","",INDEX(Inventory!$A$2:$V$150,$X95,20))</f>
        <v/>
      </c>
      <c r="U95">
        <f>IF($X95="","",INDEX(Inventory!$A$2:$V$150,$X95,21))</f>
        <v/>
      </c>
      <c r="V95">
        <f>IF($X95="","",INDEX(Inventory!$A$2:$V$150,$X95,22))</f>
        <v/>
      </c>
      <c r="X95">
        <f>IF($B$1="","",IFERROR(AGGREGATE(15,6,(ROW(Inventory!$B$2:$B$150)-ROW(Inventory!$B$2)+1)/(Inventory!$B$2:$B$150=$B$1),ROWS($A$6:A95)), ""))</f>
        <v/>
      </c>
    </row>
    <row r="96">
      <c r="A96">
        <f>IF($X96="","",INDEX(Inventory!$A$2:$V$150,$X96,1))</f>
        <v/>
      </c>
      <c r="B96">
        <f>IF($X96="","",INDEX(Inventory!$A$2:$V$150,$X96,2))</f>
        <v/>
      </c>
      <c r="C96">
        <f>IF($X96="","",INDEX(Inventory!$A$2:$V$150,$X96,3))</f>
        <v/>
      </c>
      <c r="D96">
        <f>IF($X96="","",INDEX(Inventory!$A$2:$V$150,$X96,4))</f>
        <v/>
      </c>
      <c r="E96">
        <f>IF($X96="","",INDEX(Inventory!$A$2:$V$150,$X96,5))</f>
        <v/>
      </c>
      <c r="F96">
        <f>IF($X96="","",INDEX(Inventory!$A$2:$V$150,$X96,6))</f>
        <v/>
      </c>
      <c r="G96">
        <f>IF($X96="","",INDEX(Inventory!$A$2:$V$150,$X96,7))</f>
        <v/>
      </c>
      <c r="H96">
        <f>IF($X96="","",INDEX(Inventory!$A$2:$V$150,$X96,8))</f>
        <v/>
      </c>
      <c r="I96">
        <f>IF($X96="","",INDEX(Inventory!$A$2:$V$150,$X96,9))</f>
        <v/>
      </c>
      <c r="J96">
        <f>IF($X96="","",INDEX(Inventory!$A$2:$V$150,$X96,10))</f>
        <v/>
      </c>
      <c r="K96">
        <f>IF($X96="","",INDEX(Inventory!$A$2:$V$150,$X96,11))</f>
        <v/>
      </c>
      <c r="L96">
        <f>IF($X96="","",INDEX(Inventory!$A$2:$V$150,$X96,12))</f>
        <v/>
      </c>
      <c r="M96">
        <f>IF($X96="","",INDEX(Inventory!$A$2:$V$150,$X96,13))</f>
        <v/>
      </c>
      <c r="N96">
        <f>IF($X96="","",INDEX(Inventory!$A$2:$V$150,$X96,14))</f>
        <v/>
      </c>
      <c r="O96">
        <f>IF($X96="","",INDEX(Inventory!$A$2:$V$150,$X96,15))</f>
        <v/>
      </c>
      <c r="P96">
        <f>IF($X96="","",INDEX(Inventory!$A$2:$V$150,$X96,16))</f>
        <v/>
      </c>
      <c r="Q96">
        <f>IF($X96="","",INDEX(Inventory!$A$2:$V$150,$X96,17))</f>
        <v/>
      </c>
      <c r="R96">
        <f>IF($X96="","",INDEX(Inventory!$A$2:$V$150,$X96,18))</f>
        <v/>
      </c>
      <c r="S96">
        <f>IF($X96="","",INDEX(Inventory!$A$2:$V$150,$X96,19))</f>
        <v/>
      </c>
      <c r="T96">
        <f>IF($X96="","",INDEX(Inventory!$A$2:$V$150,$X96,20))</f>
        <v/>
      </c>
      <c r="U96">
        <f>IF($X96="","",INDEX(Inventory!$A$2:$V$150,$X96,21))</f>
        <v/>
      </c>
      <c r="V96">
        <f>IF($X96="","",INDEX(Inventory!$A$2:$V$150,$X96,22))</f>
        <v/>
      </c>
      <c r="X96">
        <f>IF($B$1="","",IFERROR(AGGREGATE(15,6,(ROW(Inventory!$B$2:$B$150)-ROW(Inventory!$B$2)+1)/(Inventory!$B$2:$B$150=$B$1),ROWS($A$6:A96)), ""))</f>
        <v/>
      </c>
    </row>
    <row r="97">
      <c r="A97">
        <f>IF($X97="","",INDEX(Inventory!$A$2:$V$150,$X97,1))</f>
        <v/>
      </c>
      <c r="B97">
        <f>IF($X97="","",INDEX(Inventory!$A$2:$V$150,$X97,2))</f>
        <v/>
      </c>
      <c r="C97">
        <f>IF($X97="","",INDEX(Inventory!$A$2:$V$150,$X97,3))</f>
        <v/>
      </c>
      <c r="D97">
        <f>IF($X97="","",INDEX(Inventory!$A$2:$V$150,$X97,4))</f>
        <v/>
      </c>
      <c r="E97">
        <f>IF($X97="","",INDEX(Inventory!$A$2:$V$150,$X97,5))</f>
        <v/>
      </c>
      <c r="F97">
        <f>IF($X97="","",INDEX(Inventory!$A$2:$V$150,$X97,6))</f>
        <v/>
      </c>
      <c r="G97">
        <f>IF($X97="","",INDEX(Inventory!$A$2:$V$150,$X97,7))</f>
        <v/>
      </c>
      <c r="H97">
        <f>IF($X97="","",INDEX(Inventory!$A$2:$V$150,$X97,8))</f>
        <v/>
      </c>
      <c r="I97">
        <f>IF($X97="","",INDEX(Inventory!$A$2:$V$150,$X97,9))</f>
        <v/>
      </c>
      <c r="J97">
        <f>IF($X97="","",INDEX(Inventory!$A$2:$V$150,$X97,10))</f>
        <v/>
      </c>
      <c r="K97">
        <f>IF($X97="","",INDEX(Inventory!$A$2:$V$150,$X97,11))</f>
        <v/>
      </c>
      <c r="L97">
        <f>IF($X97="","",INDEX(Inventory!$A$2:$V$150,$X97,12))</f>
        <v/>
      </c>
      <c r="M97">
        <f>IF($X97="","",INDEX(Inventory!$A$2:$V$150,$X97,13))</f>
        <v/>
      </c>
      <c r="N97">
        <f>IF($X97="","",INDEX(Inventory!$A$2:$V$150,$X97,14))</f>
        <v/>
      </c>
      <c r="O97">
        <f>IF($X97="","",INDEX(Inventory!$A$2:$V$150,$X97,15))</f>
        <v/>
      </c>
      <c r="P97">
        <f>IF($X97="","",INDEX(Inventory!$A$2:$V$150,$X97,16))</f>
        <v/>
      </c>
      <c r="Q97">
        <f>IF($X97="","",INDEX(Inventory!$A$2:$V$150,$X97,17))</f>
        <v/>
      </c>
      <c r="R97">
        <f>IF($X97="","",INDEX(Inventory!$A$2:$V$150,$X97,18))</f>
        <v/>
      </c>
      <c r="S97">
        <f>IF($X97="","",INDEX(Inventory!$A$2:$V$150,$X97,19))</f>
        <v/>
      </c>
      <c r="T97">
        <f>IF($X97="","",INDEX(Inventory!$A$2:$V$150,$X97,20))</f>
        <v/>
      </c>
      <c r="U97">
        <f>IF($X97="","",INDEX(Inventory!$A$2:$V$150,$X97,21))</f>
        <v/>
      </c>
      <c r="V97">
        <f>IF($X97="","",INDEX(Inventory!$A$2:$V$150,$X97,22))</f>
        <v/>
      </c>
      <c r="X97">
        <f>IF($B$1="","",IFERROR(AGGREGATE(15,6,(ROW(Inventory!$B$2:$B$150)-ROW(Inventory!$B$2)+1)/(Inventory!$B$2:$B$150=$B$1),ROWS($A$6:A97)), ""))</f>
        <v/>
      </c>
    </row>
    <row r="98">
      <c r="A98">
        <f>IF($X98="","",INDEX(Inventory!$A$2:$V$150,$X98,1))</f>
        <v/>
      </c>
      <c r="B98">
        <f>IF($X98="","",INDEX(Inventory!$A$2:$V$150,$X98,2))</f>
        <v/>
      </c>
      <c r="C98">
        <f>IF($X98="","",INDEX(Inventory!$A$2:$V$150,$X98,3))</f>
        <v/>
      </c>
      <c r="D98">
        <f>IF($X98="","",INDEX(Inventory!$A$2:$V$150,$X98,4))</f>
        <v/>
      </c>
      <c r="E98">
        <f>IF($X98="","",INDEX(Inventory!$A$2:$V$150,$X98,5))</f>
        <v/>
      </c>
      <c r="F98">
        <f>IF($X98="","",INDEX(Inventory!$A$2:$V$150,$X98,6))</f>
        <v/>
      </c>
      <c r="G98">
        <f>IF($X98="","",INDEX(Inventory!$A$2:$V$150,$X98,7))</f>
        <v/>
      </c>
      <c r="H98">
        <f>IF($X98="","",INDEX(Inventory!$A$2:$V$150,$X98,8))</f>
        <v/>
      </c>
      <c r="I98">
        <f>IF($X98="","",INDEX(Inventory!$A$2:$V$150,$X98,9))</f>
        <v/>
      </c>
      <c r="J98">
        <f>IF($X98="","",INDEX(Inventory!$A$2:$V$150,$X98,10))</f>
        <v/>
      </c>
      <c r="K98">
        <f>IF($X98="","",INDEX(Inventory!$A$2:$V$150,$X98,11))</f>
        <v/>
      </c>
      <c r="L98">
        <f>IF($X98="","",INDEX(Inventory!$A$2:$V$150,$X98,12))</f>
        <v/>
      </c>
      <c r="M98">
        <f>IF($X98="","",INDEX(Inventory!$A$2:$V$150,$X98,13))</f>
        <v/>
      </c>
      <c r="N98">
        <f>IF($X98="","",INDEX(Inventory!$A$2:$V$150,$X98,14))</f>
        <v/>
      </c>
      <c r="O98">
        <f>IF($X98="","",INDEX(Inventory!$A$2:$V$150,$X98,15))</f>
        <v/>
      </c>
      <c r="P98">
        <f>IF($X98="","",INDEX(Inventory!$A$2:$V$150,$X98,16))</f>
        <v/>
      </c>
      <c r="Q98">
        <f>IF($X98="","",INDEX(Inventory!$A$2:$V$150,$X98,17))</f>
        <v/>
      </c>
      <c r="R98">
        <f>IF($X98="","",INDEX(Inventory!$A$2:$V$150,$X98,18))</f>
        <v/>
      </c>
      <c r="S98">
        <f>IF($X98="","",INDEX(Inventory!$A$2:$V$150,$X98,19))</f>
        <v/>
      </c>
      <c r="T98">
        <f>IF($X98="","",INDEX(Inventory!$A$2:$V$150,$X98,20))</f>
        <v/>
      </c>
      <c r="U98">
        <f>IF($X98="","",INDEX(Inventory!$A$2:$V$150,$X98,21))</f>
        <v/>
      </c>
      <c r="V98">
        <f>IF($X98="","",INDEX(Inventory!$A$2:$V$150,$X98,22))</f>
        <v/>
      </c>
      <c r="X98">
        <f>IF($B$1="","",IFERROR(AGGREGATE(15,6,(ROW(Inventory!$B$2:$B$150)-ROW(Inventory!$B$2)+1)/(Inventory!$B$2:$B$150=$B$1),ROWS($A$6:A98)), ""))</f>
        <v/>
      </c>
    </row>
    <row r="99">
      <c r="A99">
        <f>IF($X99="","",INDEX(Inventory!$A$2:$V$150,$X99,1))</f>
        <v/>
      </c>
      <c r="B99">
        <f>IF($X99="","",INDEX(Inventory!$A$2:$V$150,$X99,2))</f>
        <v/>
      </c>
      <c r="C99">
        <f>IF($X99="","",INDEX(Inventory!$A$2:$V$150,$X99,3))</f>
        <v/>
      </c>
      <c r="D99">
        <f>IF($X99="","",INDEX(Inventory!$A$2:$V$150,$X99,4))</f>
        <v/>
      </c>
      <c r="E99">
        <f>IF($X99="","",INDEX(Inventory!$A$2:$V$150,$X99,5))</f>
        <v/>
      </c>
      <c r="F99">
        <f>IF($X99="","",INDEX(Inventory!$A$2:$V$150,$X99,6))</f>
        <v/>
      </c>
      <c r="G99">
        <f>IF($X99="","",INDEX(Inventory!$A$2:$V$150,$X99,7))</f>
        <v/>
      </c>
      <c r="H99">
        <f>IF($X99="","",INDEX(Inventory!$A$2:$V$150,$X99,8))</f>
        <v/>
      </c>
      <c r="I99">
        <f>IF($X99="","",INDEX(Inventory!$A$2:$V$150,$X99,9))</f>
        <v/>
      </c>
      <c r="J99">
        <f>IF($X99="","",INDEX(Inventory!$A$2:$V$150,$X99,10))</f>
        <v/>
      </c>
      <c r="K99">
        <f>IF($X99="","",INDEX(Inventory!$A$2:$V$150,$X99,11))</f>
        <v/>
      </c>
      <c r="L99">
        <f>IF($X99="","",INDEX(Inventory!$A$2:$V$150,$X99,12))</f>
        <v/>
      </c>
      <c r="M99">
        <f>IF($X99="","",INDEX(Inventory!$A$2:$V$150,$X99,13))</f>
        <v/>
      </c>
      <c r="N99">
        <f>IF($X99="","",INDEX(Inventory!$A$2:$V$150,$X99,14))</f>
        <v/>
      </c>
      <c r="O99">
        <f>IF($X99="","",INDEX(Inventory!$A$2:$V$150,$X99,15))</f>
        <v/>
      </c>
      <c r="P99">
        <f>IF($X99="","",INDEX(Inventory!$A$2:$V$150,$X99,16))</f>
        <v/>
      </c>
      <c r="Q99">
        <f>IF($X99="","",INDEX(Inventory!$A$2:$V$150,$X99,17))</f>
        <v/>
      </c>
      <c r="R99">
        <f>IF($X99="","",INDEX(Inventory!$A$2:$V$150,$X99,18))</f>
        <v/>
      </c>
      <c r="S99">
        <f>IF($X99="","",INDEX(Inventory!$A$2:$V$150,$X99,19))</f>
        <v/>
      </c>
      <c r="T99">
        <f>IF($X99="","",INDEX(Inventory!$A$2:$V$150,$X99,20))</f>
        <v/>
      </c>
      <c r="U99">
        <f>IF($X99="","",INDEX(Inventory!$A$2:$V$150,$X99,21))</f>
        <v/>
      </c>
      <c r="V99">
        <f>IF($X99="","",INDEX(Inventory!$A$2:$V$150,$X99,22))</f>
        <v/>
      </c>
      <c r="X99">
        <f>IF($B$1="","",IFERROR(AGGREGATE(15,6,(ROW(Inventory!$B$2:$B$150)-ROW(Inventory!$B$2)+1)/(Inventory!$B$2:$B$150=$B$1),ROWS($A$6:A99)), ""))</f>
        <v/>
      </c>
    </row>
    <row r="100">
      <c r="A100">
        <f>IF($X100="","",INDEX(Inventory!$A$2:$V$150,$X100,1))</f>
        <v/>
      </c>
      <c r="B100">
        <f>IF($X100="","",INDEX(Inventory!$A$2:$V$150,$X100,2))</f>
        <v/>
      </c>
      <c r="C100">
        <f>IF($X100="","",INDEX(Inventory!$A$2:$V$150,$X100,3))</f>
        <v/>
      </c>
      <c r="D100">
        <f>IF($X100="","",INDEX(Inventory!$A$2:$V$150,$X100,4))</f>
        <v/>
      </c>
      <c r="E100">
        <f>IF($X100="","",INDEX(Inventory!$A$2:$V$150,$X100,5))</f>
        <v/>
      </c>
      <c r="F100">
        <f>IF($X100="","",INDEX(Inventory!$A$2:$V$150,$X100,6))</f>
        <v/>
      </c>
      <c r="G100">
        <f>IF($X100="","",INDEX(Inventory!$A$2:$V$150,$X100,7))</f>
        <v/>
      </c>
      <c r="H100">
        <f>IF($X100="","",INDEX(Inventory!$A$2:$V$150,$X100,8))</f>
        <v/>
      </c>
      <c r="I100">
        <f>IF($X100="","",INDEX(Inventory!$A$2:$V$150,$X100,9))</f>
        <v/>
      </c>
      <c r="J100">
        <f>IF($X100="","",INDEX(Inventory!$A$2:$V$150,$X100,10))</f>
        <v/>
      </c>
      <c r="K100">
        <f>IF($X100="","",INDEX(Inventory!$A$2:$V$150,$X100,11))</f>
        <v/>
      </c>
      <c r="L100">
        <f>IF($X100="","",INDEX(Inventory!$A$2:$V$150,$X100,12))</f>
        <v/>
      </c>
      <c r="M100">
        <f>IF($X100="","",INDEX(Inventory!$A$2:$V$150,$X100,13))</f>
        <v/>
      </c>
      <c r="N100">
        <f>IF($X100="","",INDEX(Inventory!$A$2:$V$150,$X100,14))</f>
        <v/>
      </c>
      <c r="O100">
        <f>IF($X100="","",INDEX(Inventory!$A$2:$V$150,$X100,15))</f>
        <v/>
      </c>
      <c r="P100">
        <f>IF($X100="","",INDEX(Inventory!$A$2:$V$150,$X100,16))</f>
        <v/>
      </c>
      <c r="Q100">
        <f>IF($X100="","",INDEX(Inventory!$A$2:$V$150,$X100,17))</f>
        <v/>
      </c>
      <c r="R100">
        <f>IF($X100="","",INDEX(Inventory!$A$2:$V$150,$X100,18))</f>
        <v/>
      </c>
      <c r="S100">
        <f>IF($X100="","",INDEX(Inventory!$A$2:$V$150,$X100,19))</f>
        <v/>
      </c>
      <c r="T100">
        <f>IF($X100="","",INDEX(Inventory!$A$2:$V$150,$X100,20))</f>
        <v/>
      </c>
      <c r="U100">
        <f>IF($X100="","",INDEX(Inventory!$A$2:$V$150,$X100,21))</f>
        <v/>
      </c>
      <c r="V100">
        <f>IF($X100="","",INDEX(Inventory!$A$2:$V$150,$X100,22))</f>
        <v/>
      </c>
      <c r="X100">
        <f>IF($B$1="","",IFERROR(AGGREGATE(15,6,(ROW(Inventory!$B$2:$B$150)-ROW(Inventory!$B$2)+1)/(Inventory!$B$2:$B$150=$B$1),ROWS($A$6:A100)), ""))</f>
        <v/>
      </c>
    </row>
    <row r="101">
      <c r="A101">
        <f>IF($X101="","",INDEX(Inventory!$A$2:$V$150,$X101,1))</f>
        <v/>
      </c>
      <c r="B101">
        <f>IF($X101="","",INDEX(Inventory!$A$2:$V$150,$X101,2))</f>
        <v/>
      </c>
      <c r="C101">
        <f>IF($X101="","",INDEX(Inventory!$A$2:$V$150,$X101,3))</f>
        <v/>
      </c>
      <c r="D101">
        <f>IF($X101="","",INDEX(Inventory!$A$2:$V$150,$X101,4))</f>
        <v/>
      </c>
      <c r="E101">
        <f>IF($X101="","",INDEX(Inventory!$A$2:$V$150,$X101,5))</f>
        <v/>
      </c>
      <c r="F101">
        <f>IF($X101="","",INDEX(Inventory!$A$2:$V$150,$X101,6))</f>
        <v/>
      </c>
      <c r="G101">
        <f>IF($X101="","",INDEX(Inventory!$A$2:$V$150,$X101,7))</f>
        <v/>
      </c>
      <c r="H101">
        <f>IF($X101="","",INDEX(Inventory!$A$2:$V$150,$X101,8))</f>
        <v/>
      </c>
      <c r="I101">
        <f>IF($X101="","",INDEX(Inventory!$A$2:$V$150,$X101,9))</f>
        <v/>
      </c>
      <c r="J101">
        <f>IF($X101="","",INDEX(Inventory!$A$2:$V$150,$X101,10))</f>
        <v/>
      </c>
      <c r="K101">
        <f>IF($X101="","",INDEX(Inventory!$A$2:$V$150,$X101,11))</f>
        <v/>
      </c>
      <c r="L101">
        <f>IF($X101="","",INDEX(Inventory!$A$2:$V$150,$X101,12))</f>
        <v/>
      </c>
      <c r="M101">
        <f>IF($X101="","",INDEX(Inventory!$A$2:$V$150,$X101,13))</f>
        <v/>
      </c>
      <c r="N101">
        <f>IF($X101="","",INDEX(Inventory!$A$2:$V$150,$X101,14))</f>
        <v/>
      </c>
      <c r="O101">
        <f>IF($X101="","",INDEX(Inventory!$A$2:$V$150,$X101,15))</f>
        <v/>
      </c>
      <c r="P101">
        <f>IF($X101="","",INDEX(Inventory!$A$2:$V$150,$X101,16))</f>
        <v/>
      </c>
      <c r="Q101">
        <f>IF($X101="","",INDEX(Inventory!$A$2:$V$150,$X101,17))</f>
        <v/>
      </c>
      <c r="R101">
        <f>IF($X101="","",INDEX(Inventory!$A$2:$V$150,$X101,18))</f>
        <v/>
      </c>
      <c r="S101">
        <f>IF($X101="","",INDEX(Inventory!$A$2:$V$150,$X101,19))</f>
        <v/>
      </c>
      <c r="T101">
        <f>IF($X101="","",INDEX(Inventory!$A$2:$V$150,$X101,20))</f>
        <v/>
      </c>
      <c r="U101">
        <f>IF($X101="","",INDEX(Inventory!$A$2:$V$150,$X101,21))</f>
        <v/>
      </c>
      <c r="V101">
        <f>IF($X101="","",INDEX(Inventory!$A$2:$V$150,$X101,22))</f>
        <v/>
      </c>
      <c r="X101">
        <f>IF($B$1="","",IFERROR(AGGREGATE(15,6,(ROW(Inventory!$B$2:$B$150)-ROW(Inventory!$B$2)+1)/(Inventory!$B$2:$B$150=$B$1),ROWS($A$6:A101)), ""))</f>
        <v/>
      </c>
    </row>
    <row r="102">
      <c r="A102">
        <f>IF($X102="","",INDEX(Inventory!$A$2:$V$150,$X102,1))</f>
        <v/>
      </c>
      <c r="B102">
        <f>IF($X102="","",INDEX(Inventory!$A$2:$V$150,$X102,2))</f>
        <v/>
      </c>
      <c r="C102">
        <f>IF($X102="","",INDEX(Inventory!$A$2:$V$150,$X102,3))</f>
        <v/>
      </c>
      <c r="D102">
        <f>IF($X102="","",INDEX(Inventory!$A$2:$V$150,$X102,4))</f>
        <v/>
      </c>
      <c r="E102">
        <f>IF($X102="","",INDEX(Inventory!$A$2:$V$150,$X102,5))</f>
        <v/>
      </c>
      <c r="F102">
        <f>IF($X102="","",INDEX(Inventory!$A$2:$V$150,$X102,6))</f>
        <v/>
      </c>
      <c r="G102">
        <f>IF($X102="","",INDEX(Inventory!$A$2:$V$150,$X102,7))</f>
        <v/>
      </c>
      <c r="H102">
        <f>IF($X102="","",INDEX(Inventory!$A$2:$V$150,$X102,8))</f>
        <v/>
      </c>
      <c r="I102">
        <f>IF($X102="","",INDEX(Inventory!$A$2:$V$150,$X102,9))</f>
        <v/>
      </c>
      <c r="J102">
        <f>IF($X102="","",INDEX(Inventory!$A$2:$V$150,$X102,10))</f>
        <v/>
      </c>
      <c r="K102">
        <f>IF($X102="","",INDEX(Inventory!$A$2:$V$150,$X102,11))</f>
        <v/>
      </c>
      <c r="L102">
        <f>IF($X102="","",INDEX(Inventory!$A$2:$V$150,$X102,12))</f>
        <v/>
      </c>
      <c r="M102">
        <f>IF($X102="","",INDEX(Inventory!$A$2:$V$150,$X102,13))</f>
        <v/>
      </c>
      <c r="N102">
        <f>IF($X102="","",INDEX(Inventory!$A$2:$V$150,$X102,14))</f>
        <v/>
      </c>
      <c r="O102">
        <f>IF($X102="","",INDEX(Inventory!$A$2:$V$150,$X102,15))</f>
        <v/>
      </c>
      <c r="P102">
        <f>IF($X102="","",INDEX(Inventory!$A$2:$V$150,$X102,16))</f>
        <v/>
      </c>
      <c r="Q102">
        <f>IF($X102="","",INDEX(Inventory!$A$2:$V$150,$X102,17))</f>
        <v/>
      </c>
      <c r="R102">
        <f>IF($X102="","",INDEX(Inventory!$A$2:$V$150,$X102,18))</f>
        <v/>
      </c>
      <c r="S102">
        <f>IF($X102="","",INDEX(Inventory!$A$2:$V$150,$X102,19))</f>
        <v/>
      </c>
      <c r="T102">
        <f>IF($X102="","",INDEX(Inventory!$A$2:$V$150,$X102,20))</f>
        <v/>
      </c>
      <c r="U102">
        <f>IF($X102="","",INDEX(Inventory!$A$2:$V$150,$X102,21))</f>
        <v/>
      </c>
      <c r="V102">
        <f>IF($X102="","",INDEX(Inventory!$A$2:$V$150,$X102,22))</f>
        <v/>
      </c>
      <c r="X102">
        <f>IF($B$1="","",IFERROR(AGGREGATE(15,6,(ROW(Inventory!$B$2:$B$150)-ROW(Inventory!$B$2)+1)/(Inventory!$B$2:$B$150=$B$1),ROWS($A$6:A102)), ""))</f>
        <v/>
      </c>
    </row>
    <row r="103">
      <c r="A103">
        <f>IF($X103="","",INDEX(Inventory!$A$2:$V$150,$X103,1))</f>
        <v/>
      </c>
      <c r="B103">
        <f>IF($X103="","",INDEX(Inventory!$A$2:$V$150,$X103,2))</f>
        <v/>
      </c>
      <c r="C103">
        <f>IF($X103="","",INDEX(Inventory!$A$2:$V$150,$X103,3))</f>
        <v/>
      </c>
      <c r="D103">
        <f>IF($X103="","",INDEX(Inventory!$A$2:$V$150,$X103,4))</f>
        <v/>
      </c>
      <c r="E103">
        <f>IF($X103="","",INDEX(Inventory!$A$2:$V$150,$X103,5))</f>
        <v/>
      </c>
      <c r="F103">
        <f>IF($X103="","",INDEX(Inventory!$A$2:$V$150,$X103,6))</f>
        <v/>
      </c>
      <c r="G103">
        <f>IF($X103="","",INDEX(Inventory!$A$2:$V$150,$X103,7))</f>
        <v/>
      </c>
      <c r="H103">
        <f>IF($X103="","",INDEX(Inventory!$A$2:$V$150,$X103,8))</f>
        <v/>
      </c>
      <c r="I103">
        <f>IF($X103="","",INDEX(Inventory!$A$2:$V$150,$X103,9))</f>
        <v/>
      </c>
      <c r="J103">
        <f>IF($X103="","",INDEX(Inventory!$A$2:$V$150,$X103,10))</f>
        <v/>
      </c>
      <c r="K103">
        <f>IF($X103="","",INDEX(Inventory!$A$2:$V$150,$X103,11))</f>
        <v/>
      </c>
      <c r="L103">
        <f>IF($X103="","",INDEX(Inventory!$A$2:$V$150,$X103,12))</f>
        <v/>
      </c>
      <c r="M103">
        <f>IF($X103="","",INDEX(Inventory!$A$2:$V$150,$X103,13))</f>
        <v/>
      </c>
      <c r="N103">
        <f>IF($X103="","",INDEX(Inventory!$A$2:$V$150,$X103,14))</f>
        <v/>
      </c>
      <c r="O103">
        <f>IF($X103="","",INDEX(Inventory!$A$2:$V$150,$X103,15))</f>
        <v/>
      </c>
      <c r="P103">
        <f>IF($X103="","",INDEX(Inventory!$A$2:$V$150,$X103,16))</f>
        <v/>
      </c>
      <c r="Q103">
        <f>IF($X103="","",INDEX(Inventory!$A$2:$V$150,$X103,17))</f>
        <v/>
      </c>
      <c r="R103">
        <f>IF($X103="","",INDEX(Inventory!$A$2:$V$150,$X103,18))</f>
        <v/>
      </c>
      <c r="S103">
        <f>IF($X103="","",INDEX(Inventory!$A$2:$V$150,$X103,19))</f>
        <v/>
      </c>
      <c r="T103">
        <f>IF($X103="","",INDEX(Inventory!$A$2:$V$150,$X103,20))</f>
        <v/>
      </c>
      <c r="U103">
        <f>IF($X103="","",INDEX(Inventory!$A$2:$V$150,$X103,21))</f>
        <v/>
      </c>
      <c r="V103">
        <f>IF($X103="","",INDEX(Inventory!$A$2:$V$150,$X103,22))</f>
        <v/>
      </c>
      <c r="X103">
        <f>IF($B$1="","",IFERROR(AGGREGATE(15,6,(ROW(Inventory!$B$2:$B$150)-ROW(Inventory!$B$2)+1)/(Inventory!$B$2:$B$150=$B$1),ROWS($A$6:A103)), ""))</f>
        <v/>
      </c>
    </row>
    <row r="104">
      <c r="A104">
        <f>IF($X104="","",INDEX(Inventory!$A$2:$V$150,$X104,1))</f>
        <v/>
      </c>
      <c r="B104">
        <f>IF($X104="","",INDEX(Inventory!$A$2:$V$150,$X104,2))</f>
        <v/>
      </c>
      <c r="C104">
        <f>IF($X104="","",INDEX(Inventory!$A$2:$V$150,$X104,3))</f>
        <v/>
      </c>
      <c r="D104">
        <f>IF($X104="","",INDEX(Inventory!$A$2:$V$150,$X104,4))</f>
        <v/>
      </c>
      <c r="E104">
        <f>IF($X104="","",INDEX(Inventory!$A$2:$V$150,$X104,5))</f>
        <v/>
      </c>
      <c r="F104">
        <f>IF($X104="","",INDEX(Inventory!$A$2:$V$150,$X104,6))</f>
        <v/>
      </c>
      <c r="G104">
        <f>IF($X104="","",INDEX(Inventory!$A$2:$V$150,$X104,7))</f>
        <v/>
      </c>
      <c r="H104">
        <f>IF($X104="","",INDEX(Inventory!$A$2:$V$150,$X104,8))</f>
        <v/>
      </c>
      <c r="I104">
        <f>IF($X104="","",INDEX(Inventory!$A$2:$V$150,$X104,9))</f>
        <v/>
      </c>
      <c r="J104">
        <f>IF($X104="","",INDEX(Inventory!$A$2:$V$150,$X104,10))</f>
        <v/>
      </c>
      <c r="K104">
        <f>IF($X104="","",INDEX(Inventory!$A$2:$V$150,$X104,11))</f>
        <v/>
      </c>
      <c r="L104">
        <f>IF($X104="","",INDEX(Inventory!$A$2:$V$150,$X104,12))</f>
        <v/>
      </c>
      <c r="M104">
        <f>IF($X104="","",INDEX(Inventory!$A$2:$V$150,$X104,13))</f>
        <v/>
      </c>
      <c r="N104">
        <f>IF($X104="","",INDEX(Inventory!$A$2:$V$150,$X104,14))</f>
        <v/>
      </c>
      <c r="O104">
        <f>IF($X104="","",INDEX(Inventory!$A$2:$V$150,$X104,15))</f>
        <v/>
      </c>
      <c r="P104">
        <f>IF($X104="","",INDEX(Inventory!$A$2:$V$150,$X104,16))</f>
        <v/>
      </c>
      <c r="Q104">
        <f>IF($X104="","",INDEX(Inventory!$A$2:$V$150,$X104,17))</f>
        <v/>
      </c>
      <c r="R104">
        <f>IF($X104="","",INDEX(Inventory!$A$2:$V$150,$X104,18))</f>
        <v/>
      </c>
      <c r="S104">
        <f>IF($X104="","",INDEX(Inventory!$A$2:$V$150,$X104,19))</f>
        <v/>
      </c>
      <c r="T104">
        <f>IF($X104="","",INDEX(Inventory!$A$2:$V$150,$X104,20))</f>
        <v/>
      </c>
      <c r="U104">
        <f>IF($X104="","",INDEX(Inventory!$A$2:$V$150,$X104,21))</f>
        <v/>
      </c>
      <c r="V104">
        <f>IF($X104="","",INDEX(Inventory!$A$2:$V$150,$X104,22))</f>
        <v/>
      </c>
      <c r="X104">
        <f>IF($B$1="","",IFERROR(AGGREGATE(15,6,(ROW(Inventory!$B$2:$B$150)-ROW(Inventory!$B$2)+1)/(Inventory!$B$2:$B$150=$B$1),ROWS($A$6:A104)), ""))</f>
        <v/>
      </c>
    </row>
    <row r="105">
      <c r="A105">
        <f>IF($X105="","",INDEX(Inventory!$A$2:$V$150,$X105,1))</f>
        <v/>
      </c>
      <c r="B105">
        <f>IF($X105="","",INDEX(Inventory!$A$2:$V$150,$X105,2))</f>
        <v/>
      </c>
      <c r="C105">
        <f>IF($X105="","",INDEX(Inventory!$A$2:$V$150,$X105,3))</f>
        <v/>
      </c>
      <c r="D105">
        <f>IF($X105="","",INDEX(Inventory!$A$2:$V$150,$X105,4))</f>
        <v/>
      </c>
      <c r="E105">
        <f>IF($X105="","",INDEX(Inventory!$A$2:$V$150,$X105,5))</f>
        <v/>
      </c>
      <c r="F105">
        <f>IF($X105="","",INDEX(Inventory!$A$2:$V$150,$X105,6))</f>
        <v/>
      </c>
      <c r="G105">
        <f>IF($X105="","",INDEX(Inventory!$A$2:$V$150,$X105,7))</f>
        <v/>
      </c>
      <c r="H105">
        <f>IF($X105="","",INDEX(Inventory!$A$2:$V$150,$X105,8))</f>
        <v/>
      </c>
      <c r="I105">
        <f>IF($X105="","",INDEX(Inventory!$A$2:$V$150,$X105,9))</f>
        <v/>
      </c>
      <c r="J105">
        <f>IF($X105="","",INDEX(Inventory!$A$2:$V$150,$X105,10))</f>
        <v/>
      </c>
      <c r="K105">
        <f>IF($X105="","",INDEX(Inventory!$A$2:$V$150,$X105,11))</f>
        <v/>
      </c>
      <c r="L105">
        <f>IF($X105="","",INDEX(Inventory!$A$2:$V$150,$X105,12))</f>
        <v/>
      </c>
      <c r="M105">
        <f>IF($X105="","",INDEX(Inventory!$A$2:$V$150,$X105,13))</f>
        <v/>
      </c>
      <c r="N105">
        <f>IF($X105="","",INDEX(Inventory!$A$2:$V$150,$X105,14))</f>
        <v/>
      </c>
      <c r="O105">
        <f>IF($X105="","",INDEX(Inventory!$A$2:$V$150,$X105,15))</f>
        <v/>
      </c>
      <c r="P105">
        <f>IF($X105="","",INDEX(Inventory!$A$2:$V$150,$X105,16))</f>
        <v/>
      </c>
      <c r="Q105">
        <f>IF($X105="","",INDEX(Inventory!$A$2:$V$150,$X105,17))</f>
        <v/>
      </c>
      <c r="R105">
        <f>IF($X105="","",INDEX(Inventory!$A$2:$V$150,$X105,18))</f>
        <v/>
      </c>
      <c r="S105">
        <f>IF($X105="","",INDEX(Inventory!$A$2:$V$150,$X105,19))</f>
        <v/>
      </c>
      <c r="T105">
        <f>IF($X105="","",INDEX(Inventory!$A$2:$V$150,$X105,20))</f>
        <v/>
      </c>
      <c r="U105">
        <f>IF($X105="","",INDEX(Inventory!$A$2:$V$150,$X105,21))</f>
        <v/>
      </c>
      <c r="V105">
        <f>IF($X105="","",INDEX(Inventory!$A$2:$V$150,$X105,22))</f>
        <v/>
      </c>
      <c r="X105">
        <f>IF($B$1="","",IFERROR(AGGREGATE(15,6,(ROW(Inventory!$B$2:$B$150)-ROW(Inventory!$B$2)+1)/(Inventory!$B$2:$B$150=$B$1),ROWS($A$6:A105)), ""))</f>
        <v/>
      </c>
    </row>
  </sheetData>
  <dataValidations count="1">
    <dataValidation sqref="B1" showDropDown="0" showInputMessage="0" showErrorMessage="0" allowBlank="1" type="list">
      <formula1>=Wardrobes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8" customWidth="1" min="4" max="4"/>
    <col width="16" customWidth="1" min="5" max="5"/>
  </cols>
  <sheetData>
    <row r="1">
      <c r="A1" s="9" t="inlineStr">
        <is>
          <t>Wardrobe Dashboard</t>
        </is>
      </c>
    </row>
    <row r="3">
      <c r="A3" s="1" t="inlineStr">
        <is>
          <t>Wardrobe</t>
        </is>
      </c>
      <c r="B3" s="1" t="inlineStr">
        <is>
          <t># Items</t>
        </is>
      </c>
      <c r="C3" s="1" t="inlineStr">
        <is>
          <t>Total Revenue ($)</t>
        </is>
      </c>
      <c r="D3" s="1" t="inlineStr">
        <is>
          <t>Total Profit ($)</t>
        </is>
      </c>
      <c r="E3" s="1" t="inlineStr">
        <is>
          <t>Avg Rental Fee ($)</t>
        </is>
      </c>
    </row>
    <row r="4">
      <c r="A4" t="inlineStr">
        <is>
          <t>Everyday</t>
        </is>
      </c>
      <c r="B4">
        <f>COUNTIF(Inventory!$B:$B,$A4)</f>
        <v/>
      </c>
      <c r="C4" s="7">
        <f>SUMIF(Inventory!$B:$B,$A4,Inventory!$S:$S)</f>
        <v/>
      </c>
      <c r="D4" s="7">
        <f>SUMIF(Inventory!$B:$B,$A4,Inventory!$T:$T)</f>
        <v/>
      </c>
      <c r="E4" s="7">
        <f>IFERROR(AVERAGEIF(Inventory!$B:$B,$A4,Inventory!$I:$I),0)</f>
        <v/>
      </c>
    </row>
    <row r="5">
      <c r="A5" t="inlineStr">
        <is>
          <t>Work</t>
        </is>
      </c>
      <c r="B5">
        <f>COUNTIF(Inventory!$B:$B,$A5)</f>
        <v/>
      </c>
      <c r="C5" s="7">
        <f>SUMIF(Inventory!$B:$B,$A5,Inventory!$S:$S)</f>
        <v/>
      </c>
      <c r="D5" s="7">
        <f>SUMIF(Inventory!$B:$B,$A5,Inventory!$T:$T)</f>
        <v/>
      </c>
      <c r="E5" s="7">
        <f>IFERROR(AVERAGEIF(Inventory!$B:$B,$A5,Inventory!$I:$I),0)</f>
        <v/>
      </c>
    </row>
    <row r="6">
      <c r="A6" t="inlineStr">
        <is>
          <t>Casual</t>
        </is>
      </c>
      <c r="B6">
        <f>COUNTIF(Inventory!$B:$B,$A6)</f>
        <v/>
      </c>
      <c r="C6" s="7">
        <f>SUMIF(Inventory!$B:$B,$A6,Inventory!$S:$S)</f>
        <v/>
      </c>
      <c r="D6" s="7">
        <f>SUMIF(Inventory!$B:$B,$A6,Inventory!$T:$T)</f>
        <v/>
      </c>
      <c r="E6" s="7">
        <f>IFERROR(AVERAGEIF(Inventory!$B:$B,$A6,Inventory!$I:$I),0)</f>
        <v/>
      </c>
    </row>
    <row r="7">
      <c r="A7" t="inlineStr">
        <is>
          <t>Formal</t>
        </is>
      </c>
      <c r="B7">
        <f>COUNTIF(Inventory!$B:$B,$A7)</f>
        <v/>
      </c>
      <c r="C7" s="7">
        <f>SUMIF(Inventory!$B:$B,$A7,Inventory!$S:$S)</f>
        <v/>
      </c>
      <c r="D7" s="7">
        <f>SUMIF(Inventory!$B:$B,$A7,Inventory!$T:$T)</f>
        <v/>
      </c>
      <c r="E7" s="7">
        <f>IFERROR(AVERAGEIF(Inventory!$B:$B,$A7,Inventory!$I:$I),0)</f>
        <v/>
      </c>
    </row>
    <row r="8">
      <c r="A8" t="inlineStr">
        <is>
          <t>Night Out</t>
        </is>
      </c>
      <c r="B8">
        <f>COUNTIF(Inventory!$B:$B,$A8)</f>
        <v/>
      </c>
      <c r="C8" s="7">
        <f>SUMIF(Inventory!$B:$B,$A8,Inventory!$S:$S)</f>
        <v/>
      </c>
      <c r="D8" s="7">
        <f>SUMIF(Inventory!$B:$B,$A8,Inventory!$T:$T)</f>
        <v/>
      </c>
      <c r="E8" s="7">
        <f>IFERROR(AVERAGEIF(Inventory!$B:$B,$A8,Inventory!$I:$I),0)</f>
        <v/>
      </c>
    </row>
    <row r="9">
      <c r="A9" t="inlineStr">
        <is>
          <t>Vacation</t>
        </is>
      </c>
      <c r="B9">
        <f>COUNTIF(Inventory!$B:$B,$A9)</f>
        <v/>
      </c>
      <c r="C9" s="7">
        <f>SUMIF(Inventory!$B:$B,$A9,Inventory!$S:$S)</f>
        <v/>
      </c>
      <c r="D9" s="7">
        <f>SUMIF(Inventory!$B:$B,$A9,Inventory!$T:$T)</f>
        <v/>
      </c>
      <c r="E9" s="7">
        <f>IFERROR(AVERAGEIF(Inventory!$B:$B,$A9,Inventory!$I:$I),0)</f>
        <v/>
      </c>
    </row>
    <row r="10">
      <c r="A10" t="inlineStr">
        <is>
          <t>Active</t>
        </is>
      </c>
      <c r="B10">
        <f>COUNTIF(Inventory!$B:$B,$A10)</f>
        <v/>
      </c>
      <c r="C10" s="7">
        <f>SUMIF(Inventory!$B:$B,$A10,Inventory!$S:$S)</f>
        <v/>
      </c>
      <c r="D10" s="7">
        <f>SUMIF(Inventory!$B:$B,$A10,Inventory!$T:$T)</f>
        <v/>
      </c>
      <c r="E10" s="7">
        <f>IFERROR(AVERAGEIF(Inventory!$B:$B,$A10,Inventory!$I:$I),0)</f>
        <v/>
      </c>
    </row>
    <row r="11">
      <c r="A11" t="inlineStr">
        <is>
          <t>Seasonal</t>
        </is>
      </c>
      <c r="B11">
        <f>COUNTIF(Inventory!$B:$B,$A11)</f>
        <v/>
      </c>
      <c r="C11" s="7">
        <f>SUMIF(Inventory!$B:$B,$A11,Inventory!$S:$S)</f>
        <v/>
      </c>
      <c r="D11" s="7">
        <f>SUMIF(Inventory!$B:$B,$A11,Inventory!$T:$T)</f>
        <v/>
      </c>
      <c r="E11" s="7">
        <f>IFERROR(AVERAGEIF(Inventory!$B:$B,$A11,Inventory!$I:$I),0)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2025-12-21T01:39:49Z</dcterms:created>
  <dcterms:modified xmlns:dcterms="http://purl.org/dc/terms/" xmlns:xsi="http://www.w3.org/2001/XMLSchema-instance" xsi:type="dcterms:W3CDTF">2025-12-21T01:39:50Z</dcterms:modified>
</cp:coreProperties>
</file>