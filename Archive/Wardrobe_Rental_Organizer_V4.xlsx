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200" windowHeight="21380" tabRatio="600" firstSheet="0" activeTab="2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Website_Inventory" sheetId="4" state="visible" r:id="rId4"/>
    <sheet xmlns:r="http://schemas.openxmlformats.org/officeDocument/2006/relationships" name="Wardrobe View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Sheet2" sheetId="7" state="visible" r:id="rId7"/>
  </sheets>
  <definedNames>
    <definedName name="BrandList">OFFSET(Lists!$H$2,0,0,COUNTA(Lists!$H:$H)-1,1)</definedName>
    <definedName name="CategoryList">OFFSET(Lists!$B$2,0,0,COUNTA(Lists!$B:$B)-1,1)</definedName>
    <definedName name="ColorList">OFFSET(Lists!$E$2,0,0,COUNTA(Lists!$E:$E)-1,1)</definedName>
    <definedName name="ConditionList">OFFSET(Lists!$C$2,0,0,COUNTA(Lists!$C:$C)-1,1)</definedName>
    <definedName name="ItemStatusList">OFFSET(Lists!$F$2,0,0,COUNTA(Lists!$F:$F)-1,1)</definedName>
    <definedName name="PurchaseStatusList">OFFSET(Lists!$G$2,0,0,COUNTA(Lists!$G:$G)-1,1)</definedName>
    <definedName name="SizeList">OFFSET(Lists!$D$2,0,0,COUNTA(Lists!$D:$D)-1,1)</definedName>
    <definedName name="WardrobeList">OFFSET(Lists!$A$2,0,0,COUNTA(Lists!$A:$A)-1,1)</definedName>
    <definedName name="_xlnm._FilterDatabase" localSheetId="2" hidden="1">'Inventory'!$A$1:$W$500</definedName>
  </definedNames>
  <calcPr calcId="191028" fullCalcOnLoad="1" iterate="1" iterateCount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m/d/yyyy"/>
    <numFmt numFmtId="166" formatCode="&quot;$&quot;#,##0_);[Red]\(&quot;$&quot;#,##0\)"/>
    <numFmt numFmtId="167" formatCode="$#,##0.00"/>
  </numFmts>
  <fonts count="34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4"/>
    </font>
    <font>
      <name val="Calibri"/>
      <family val="2"/>
      <color theme="10"/>
      <sz val="11"/>
      <u val="single"/>
      <scheme val="minor"/>
    </font>
    <font>
      <name val="Calibri"/>
      <family val="2"/>
      <sz val="8"/>
      <scheme val="minor"/>
    </font>
    <font>
      <name val="Calibri"/>
      <family val="2"/>
      <color theme="1"/>
      <sz val="20"/>
      <scheme val="minor"/>
    </font>
    <font>
      <name val="Calibri (Body)"/>
      <b val="1"/>
      <color rgb="FFFFFFFF"/>
      <sz val="20"/>
    </font>
    <font>
      <name val="Calibri (Body)"/>
      <color theme="1"/>
      <sz val="20"/>
    </font>
    <font>
      <name val="Calibri (Body)"/>
      <b val="1"/>
      <color rgb="FFFFFFFF"/>
      <sz val="25"/>
    </font>
    <font>
      <name val="Calibri (Body)"/>
      <color theme="1"/>
      <sz val="25"/>
    </font>
    <font>
      <name val="Arial"/>
      <family val="2"/>
      <color rgb="FF454545"/>
      <sz val="20"/>
    </font>
    <font>
      <name val="Calibri"/>
      <family val="2"/>
      <color rgb="FF000000"/>
      <sz val="20"/>
      <scheme val="minor"/>
    </font>
    <font>
      <name val="Calibri"/>
      <family val="2"/>
      <color rgb="FF333333"/>
      <sz val="20"/>
      <scheme val="minor"/>
    </font>
    <font>
      <name val="Calibri"/>
      <family val="2"/>
      <color rgb="FF333333"/>
      <sz val="24"/>
      <scheme val="minor"/>
    </font>
    <font>
      <name val="Calibri"/>
      <family val="2"/>
      <color rgb="FF2A2A2A"/>
      <sz val="24"/>
      <scheme val="minor"/>
    </font>
    <font>
      <name val="Calibri"/>
      <family val="2"/>
      <color rgb="FF1C1519"/>
      <sz val="24"/>
      <scheme val="minor"/>
    </font>
    <font>
      <name val="Calibri"/>
      <family val="2"/>
      <color rgb="FF454545"/>
      <sz val="20"/>
      <scheme val="minor"/>
    </font>
    <font>
      <name val="Calibri"/>
      <family val="2"/>
      <color rgb="FF000000"/>
      <sz val="24"/>
      <scheme val="minor"/>
    </font>
    <font>
      <name val="Calibri"/>
      <family val="2"/>
      <color rgb="FFFFFFFF"/>
      <sz val="2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FFFFFF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8"/>
      <scheme val="minor"/>
    </font>
    <font>
      <name val="Calibri"/>
      <family val="2"/>
      <color rgb="FF0A0A0A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rgb="FF29304E"/>
      <sz val="24"/>
      <scheme val="minor"/>
    </font>
    <font>
      <name val="Calibri"/>
      <family val="2"/>
      <color rgb="FF29304E"/>
      <sz val="11"/>
      <scheme val="minor"/>
    </font>
    <font>
      <name val="Calibri"/>
      <family val="2"/>
      <color rgb="FF041E3A"/>
      <sz val="24"/>
      <scheme val="minor"/>
    </font>
    <font>
      <name val="Calibri"/>
      <family val="2"/>
      <color rgb="FF071D49"/>
      <sz val="24"/>
      <scheme val="minor"/>
    </font>
    <font>
      <name val="Calibri"/>
      <family val="2"/>
      <color rgb="FF2F3135"/>
      <sz val="26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E8F0F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0" fontId="6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4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4" borderId="1" applyAlignment="1" pivotButton="0" quotePrefix="0" xfId="1">
      <alignment wrapText="1"/>
    </xf>
    <xf numFmtId="0" fontId="8" fillId="4" borderId="1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4" borderId="1" pivotButton="0" quotePrefix="0" xfId="0"/>
    <xf numFmtId="0" fontId="10" fillId="0" borderId="0" pivotButton="0" quotePrefix="0" xfId="0"/>
    <xf numFmtId="0" fontId="11" fillId="3" borderId="1" applyAlignment="1" pivotButton="0" quotePrefix="0" xfId="0">
      <alignment horizontal="center" vertical="center" wrapText="1"/>
    </xf>
    <xf numFmtId="0" fontId="12" fillId="4" borderId="1" pivotButton="0" quotePrefix="0" xfId="0"/>
    <xf numFmtId="0" fontId="12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wrapText="1"/>
    </xf>
    <xf numFmtId="0" fontId="16" fillId="0" borderId="0" applyAlignment="1" pivotButton="0" quotePrefix="0" xfId="0">
      <alignment wrapText="1"/>
    </xf>
    <xf numFmtId="0" fontId="18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  <xf numFmtId="164" fontId="24" fillId="4" borderId="1" pivotButton="0" quotePrefix="0" xfId="0"/>
    <xf numFmtId="166" fontId="25" fillId="0" borderId="0" pivotButton="0" quotePrefix="0" xfId="0"/>
    <xf numFmtId="0" fontId="24" fillId="0" borderId="0" pivotButton="0" quotePrefix="0" xfId="0"/>
    <xf numFmtId="0" fontId="17" fillId="0" borderId="0" applyAlignment="1" pivotButton="0" quotePrefix="0" xfId="0">
      <alignment wrapText="1"/>
    </xf>
    <xf numFmtId="0" fontId="20" fillId="0" borderId="0" applyAlignment="1" pivotButton="0" quotePrefix="0" xfId="0">
      <alignment wrapText="1"/>
    </xf>
    <xf numFmtId="0" fontId="26" fillId="0" borderId="0" pivotButton="0" quotePrefix="0" xfId="0"/>
    <xf numFmtId="0" fontId="27" fillId="3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9" fillId="0" borderId="0" applyAlignment="1" pivotButton="0" quotePrefix="0" xfId="0">
      <alignment wrapText="1"/>
    </xf>
    <xf numFmtId="0" fontId="30" fillId="0" borderId="0" applyAlignment="1" pivotButton="0" quotePrefix="0" xfId="0">
      <alignment wrapText="1"/>
    </xf>
    <xf numFmtId="0" fontId="31" fillId="0" borderId="0" applyAlignment="1" pivotButton="0" quotePrefix="0" xfId="0">
      <alignment wrapText="1"/>
    </xf>
    <xf numFmtId="0" fontId="32" fillId="0" borderId="0" applyAlignment="1" pivotButton="0" quotePrefix="0" xfId="0">
      <alignment wrapText="1"/>
    </xf>
    <xf numFmtId="166" fontId="25" fillId="0" borderId="0" pivotButton="0" quotePrefix="0" xfId="0"/>
    <xf numFmtId="0" fontId="33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images.lululemon.com/is/image/lululemon/LM3FH2S_032493_1?wid=2420&amp;op_usm=0.5,2,10,0&amp;fmt=webp&amp;qlt=80,1&amp;fit=constrain,0&amp;op_sharpen=0&amp;resMode=sharp2&amp;iccEmbed=0&amp;printRes=72" TargetMode="External" Id="rId1"/><Relationship Type="http://schemas.openxmlformats.org/officeDocument/2006/relationships/hyperlink" Target="https://images.lululemon.com/is/image/lululemon/LM3FAES_028022_1?wid=1800&amp;op_usm=0.8,1,10,0&amp;fmt=webp&amp;qlt=80,1&amp;fit=constrain,0&amp;op_sharpen=0&amp;resMode=sharp2&amp;iccEmbed=0&amp;printRes=72" TargetMode="External" Id="rId2"/><Relationship Type="http://schemas.openxmlformats.org/officeDocument/2006/relationships/hyperlink" Target="https://cdn.shopify.com/s/files/1/0022/4008/6074/files/V2016HAO_SP26_M_OUTERWEAR_FRONT_3.jpg?v=1764715582&amp;width=1200&amp;height=1500&amp;crop=center" TargetMode="External" Id="rId3"/><Relationship Type="http://schemas.openxmlformats.org/officeDocument/2006/relationships/hyperlink" Target="https://cdn.shopify.com/s/files/1/0022/4008/6074/files/V4007-28HAO_SP26_M_BOTTOMS_SIDE_3.jpg?v=1765391556&amp;width=1200&amp;height=1500&amp;crop=center" TargetMode="External" Id="rId4"/><Relationship Type="http://schemas.openxmlformats.org/officeDocument/2006/relationships/hyperlink" Target="https://assets.thenorthface.com/images/t_img/f_auto,h_400,e_unsharp_mask:100,w_344/dpr_2.0/v1754066544/NF0A3C8DGOE-HERO/Mens-1996-Retro-Nuptse-Jacket.png" TargetMode="External" Id="rId5"/><Relationship Type="http://schemas.openxmlformats.org/officeDocument/2006/relationships/hyperlink" Target="https://cdn.shopify.com/s/files/1/0249/7784/files/CommuterPantClassic-TrueNavy-100161-404_c1_1000x.jpg?v=1736523436&amp;format=webp" TargetMode="External" Id="rId6"/><Relationship Type="http://schemas.openxmlformats.org/officeDocument/2006/relationships/hyperlink" Target="https://cdn.shopify.com/s/files/1/0249/7784/files/20240605_Rhone_Boston_CommuterQuarterZip2_1437_1000x.jpg?v=1736523295&amp;format=webp" TargetMode="External" Id="rId7"/><Relationship Type="http://schemas.openxmlformats.org/officeDocument/2006/relationships/hyperlink" Target="https://peteroliveira.com/products/men-s-arden-cotton-linen-lapel-shirt?variant=51571634176338&amp;tw_source=google&amp;tw_adid=&amp;tw_campaign=23006997322&amp;tw_kwdid=&amp;gad_source=1&amp;gad_campaignid=22996803021&amp;gbraid=0AAAABBTaU6vUB-5ShbwzsU6umzNJDSs6O&amp;gclid=CjwKCAiAmKnKBhBrEiwAaqAnZ0oaQuhX9Jj28DOquPuDEjwQhLIqHeoUotKJNHBH3c0Khhj27OT9exoCBgMQAvD_BwE" TargetMode="External" Id="rId8"/><Relationship Type="http://schemas.openxmlformats.org/officeDocument/2006/relationships/hyperlink" Target="https://tailoredathlete.com/products/linen-blend-cuban-collar-shirt-in-stone?variant=45881600114909&amp;country=US&amp;currency=USD&amp;utm_medium=product_sync&amp;utm_source=google&amp;utm_content=sag_organic&amp;utm_campaign=sag_organic&amp;tw_source=google&amp;tw_adid=&amp;tw_campaign=22715163839&amp;tw_kwdid=&amp;gad_source=1&amp;gad_campaignid=22715165474&amp;gbraid=0AAAAADqbZP8jc4hm7Ps2UbIj3QtqSmML_&amp;gclid=CjwKCAiAmKnKBhBrEiwAaqAnZ-5aLZqkHsTlfAB-DH6lZxaKHo9cevRLaoBLyJwwfty3CgIyz1P_9xoCdOcQAvD_BwE" TargetMode="External" Id="rId9"/><Relationship Type="http://schemas.openxmlformats.org/officeDocument/2006/relationships/hyperlink" Target="https://www.petermillar.com/dw/image/v2/BHFJ_PRD/on/demandware.static/-/Sites-pm-master-catalog/default/dw27e059e8/ME0EK301_BLK_ALT_A.jpg?sw=880&amp;sh=990&amp;fmt=webp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10" defaultColWidth="8.83203125" defaultRowHeight="15"/>
  <cols>
    <col width="110" customWidth="1" min="1" max="1"/>
  </cols>
  <sheetData>
    <row r="1" ht="21" customHeight="1">
      <c r="A1" s="1" t="inlineStr">
        <is>
          <t>Wardrobe Rental Organizer (Excel)</t>
        </is>
      </c>
    </row>
    <row r="3" ht="16" customHeight="1">
      <c r="A3" s="2" t="inlineStr">
        <is>
          <t>How to use:</t>
        </is>
      </c>
    </row>
    <row r="5" ht="16" customHeight="1">
      <c r="A5" s="3" t="inlineStr">
        <is>
          <t>1) Go to the Lists sheet to add / edit dropdown options (Wardrobes, Categories, Sizes, Colors, etc.).</t>
        </is>
      </c>
    </row>
    <row r="6">
      <c r="A6" t="inlineStr">
        <is>
          <t xml:space="preserve">   - The dropdowns update automatically as you add new items to the Lists columns.</t>
        </is>
      </c>
    </row>
    <row r="7">
      <c r="A7" t="inlineStr">
        <is>
          <t>2) Go to Inventory and fill in the blue cells (your inputs). Item IDs are already permanent.</t>
        </is>
      </c>
    </row>
    <row r="8">
      <c r="A8" t="inlineStr">
        <is>
          <t>3) For pictures:</t>
        </is>
      </c>
    </row>
    <row r="9">
      <c r="A9" t="inlineStr">
        <is>
          <t xml:space="preserve">   - If your Excel supports the IMAGE() function, paste an image URL into 'Image URL' and the Image column will show it.</t>
        </is>
      </c>
    </row>
    <row r="10">
      <c r="A10" t="inlineStr">
        <is>
          <t xml:space="preserve">   - If not, you can insert pictures manually (Insert → Pictures).</t>
        </is>
      </c>
    </row>
    <row r="11">
      <c r="A11" t="inlineStr">
        <is>
          <t>4) Wardrobe View:</t>
        </is>
      </c>
    </row>
    <row r="12">
      <c r="A12" t="inlineStr">
        <is>
          <t xml:space="preserve">   - Select a wardrobe in cell B1 and the matching inventory will show automatically.</t>
        </is>
      </c>
    </row>
    <row r="13">
      <c r="A13" t="inlineStr">
        <is>
          <t>5) Finance tracking (simple):</t>
        </is>
      </c>
    </row>
    <row r="14">
      <c r="A14" t="inlineStr">
        <is>
          <t xml:space="preserve">   - Enter Times Rented for each item. Total Revenue, Total Cost, Profit, and Break-even Rentals calculate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H42" sqref="H42"/>
    </sheetView>
  </sheetViews>
  <sheetFormatPr baseColWidth="10" defaultColWidth="8.83203125" defaultRowHeight="15"/>
  <cols>
    <col width="19.6640625" bestFit="1" customWidth="1" min="1" max="1"/>
    <col width="18" customWidth="1" min="2" max="3"/>
    <col width="14" customWidth="1" min="4" max="4"/>
    <col width="16" customWidth="1" min="5" max="5"/>
    <col width="14" customWidth="1" min="6" max="6"/>
    <col width="18" customWidth="1" min="7" max="8"/>
  </cols>
  <sheetData>
    <row r="1" ht="16" customHeight="1">
      <c r="A1" s="45" t="inlineStr">
        <is>
          <t>Wardrobes</t>
        </is>
      </c>
      <c r="B1" s="45" t="inlineStr">
        <is>
          <t>Categories</t>
        </is>
      </c>
      <c r="C1" s="4" t="inlineStr">
        <is>
          <t>Conditions</t>
        </is>
      </c>
      <c r="D1" s="4" t="inlineStr">
        <is>
          <t>Sizes</t>
        </is>
      </c>
      <c r="E1" s="4" t="inlineStr">
        <is>
          <t>Colors</t>
        </is>
      </c>
      <c r="F1" s="4" t="inlineStr">
        <is>
          <t>Item Status</t>
        </is>
      </c>
      <c r="G1" s="4" t="inlineStr">
        <is>
          <t>Purchase Status</t>
        </is>
      </c>
      <c r="H1" s="4" t="inlineStr">
        <is>
          <t>Brands</t>
        </is>
      </c>
    </row>
    <row r="2">
      <c r="A2" s="5" t="n"/>
      <c r="B2" s="5" t="inlineStr">
        <is>
          <t>Top</t>
        </is>
      </c>
      <c r="C2" s="5" t="inlineStr">
        <is>
          <t>New</t>
        </is>
      </c>
      <c r="D2" s="5" t="inlineStr">
        <is>
          <t>XXS</t>
        </is>
      </c>
      <c r="E2" s="5" t="inlineStr">
        <is>
          <t>Black</t>
        </is>
      </c>
      <c r="F2" s="5" t="inlineStr">
        <is>
          <t>Available</t>
        </is>
      </c>
      <c r="G2" s="5" t="inlineStr">
        <is>
          <t>Purchased</t>
        </is>
      </c>
      <c r="H2" s="5" t="inlineStr">
        <is>
          <t>Uniqlo</t>
        </is>
      </c>
    </row>
    <row r="3">
      <c r="A3" s="44" t="inlineStr">
        <is>
          <t>After-Hours Assets</t>
        </is>
      </c>
      <c r="B3" s="5" t="inlineStr">
        <is>
          <t>Bottom</t>
        </is>
      </c>
      <c r="C3" s="5" t="inlineStr">
        <is>
          <t>Like New</t>
        </is>
      </c>
      <c r="D3" s="5" t="inlineStr">
        <is>
          <t>XS</t>
        </is>
      </c>
      <c r="E3" s="5" t="inlineStr">
        <is>
          <t>White</t>
        </is>
      </c>
      <c r="F3" s="5" t="inlineStr">
        <is>
          <t>Rented</t>
        </is>
      </c>
      <c r="G3" s="5" t="inlineStr">
        <is>
          <t>Not purchased</t>
        </is>
      </c>
      <c r="H3" s="5" t="inlineStr">
        <is>
          <t>COS</t>
        </is>
      </c>
    </row>
    <row r="4">
      <c r="A4" s="16" t="inlineStr">
        <is>
          <t>The 203 Collection</t>
        </is>
      </c>
      <c r="B4" s="5" t="inlineStr">
        <is>
          <t>Outerwear</t>
        </is>
      </c>
      <c r="C4" s="5" t="inlineStr">
        <is>
          <t>Good</t>
        </is>
      </c>
      <c r="D4" s="5" t="inlineStr">
        <is>
          <t>S</t>
        </is>
      </c>
      <c r="E4" s="5" t="inlineStr">
        <is>
          <t>Gray</t>
        </is>
      </c>
      <c r="F4" s="5" t="inlineStr">
        <is>
          <t>Cleaning</t>
        </is>
      </c>
      <c r="G4" s="5" t="inlineStr">
        <is>
          <t>Pending purchase</t>
        </is>
      </c>
      <c r="H4" s="5" t="inlineStr">
        <is>
          <t>ARKET</t>
        </is>
      </c>
    </row>
    <row r="5">
      <c r="A5" t="inlineStr">
        <is>
          <t>The Greenwich Standard</t>
        </is>
      </c>
      <c r="B5" s="5" t="inlineStr">
        <is>
          <t>Jacket</t>
        </is>
      </c>
      <c r="C5" s="5" t="inlineStr">
        <is>
          <t>Fair</t>
        </is>
      </c>
      <c r="D5" s="5" t="inlineStr">
        <is>
          <t>M</t>
        </is>
      </c>
      <c r="E5" s="5" t="inlineStr">
        <is>
          <t>Brown</t>
        </is>
      </c>
      <c r="F5" s="5" t="inlineStr">
        <is>
          <t>Repair</t>
        </is>
      </c>
      <c r="H5" s="5" t="inlineStr">
        <is>
          <t>Everlane</t>
        </is>
      </c>
    </row>
    <row r="6">
      <c r="A6" t="inlineStr">
        <is>
          <t>Old Money Staples</t>
        </is>
      </c>
      <c r="B6" s="5" t="inlineStr">
        <is>
          <t>Coat</t>
        </is>
      </c>
      <c r="C6" s="5" t="inlineStr">
        <is>
          <t>Needs Repair</t>
        </is>
      </c>
      <c r="D6" s="5" t="inlineStr">
        <is>
          <t>L</t>
        </is>
      </c>
      <c r="E6" s="5" t="inlineStr">
        <is>
          <t>Blue</t>
        </is>
      </c>
      <c r="F6" s="5" t="inlineStr">
        <is>
          <t>Retired</t>
        </is>
      </c>
      <c r="H6" s="5" t="inlineStr">
        <is>
          <t>J.Crew</t>
        </is>
      </c>
    </row>
    <row r="7">
      <c r="A7" t="inlineStr">
        <is>
          <t xml:space="preserve">PSU 2nd and 3rd quarter </t>
        </is>
      </c>
      <c r="B7" s="5" t="inlineStr">
        <is>
          <t>Hoodie</t>
        </is>
      </c>
      <c r="D7" s="5" t="inlineStr">
        <is>
          <t>XL</t>
        </is>
      </c>
      <c r="E7" s="5" t="inlineStr">
        <is>
          <t>Navy</t>
        </is>
      </c>
      <c r="H7" s="5" t="inlineStr">
        <is>
          <t>Banana Republic</t>
        </is>
      </c>
    </row>
    <row r="8">
      <c r="A8" t="inlineStr">
        <is>
          <t>Kennebunkport Classics</t>
        </is>
      </c>
      <c r="B8" s="5" t="inlineStr">
        <is>
          <t>Sweater</t>
        </is>
      </c>
      <c r="D8" s="5" t="inlineStr">
        <is>
          <t>XXL</t>
        </is>
      </c>
      <c r="E8" s="5" t="inlineStr">
        <is>
          <t>Green</t>
        </is>
      </c>
      <c r="H8" s="5" t="inlineStr">
        <is>
          <t>Club Monaco</t>
        </is>
      </c>
    </row>
    <row r="9" ht="32" customHeight="1">
      <c r="A9" s="46" t="inlineStr">
        <is>
          <t>The Deacon’s Suitcase move in</t>
        </is>
      </c>
      <c r="B9" s="5" t="inlineStr">
        <is>
          <t>T-Shirt</t>
        </is>
      </c>
      <c r="D9" s="5" t="inlineStr">
        <is>
          <t>XXXL</t>
        </is>
      </c>
      <c r="E9" s="5" t="inlineStr">
        <is>
          <t>Red</t>
        </is>
      </c>
      <c r="H9" s="5" t="inlineStr">
        <is>
          <t>Buck Mason</t>
        </is>
      </c>
    </row>
    <row r="10">
      <c r="A10" t="inlineStr">
        <is>
          <t>Boulder Winter Elevation</t>
        </is>
      </c>
      <c r="B10" s="5" t="inlineStr">
        <is>
          <t>Shirt</t>
        </is>
      </c>
      <c r="D10" s="5" t="inlineStr">
        <is>
          <t>One Size</t>
        </is>
      </c>
      <c r="E10" s="5" t="inlineStr">
        <is>
          <t>Pink</t>
        </is>
      </c>
      <c r="H10" s="5" t="inlineStr">
        <is>
          <t>Taylor Stitch</t>
        </is>
      </c>
    </row>
    <row r="11">
      <c r="A11" t="inlineStr">
        <is>
          <t>Buff Winterline</t>
        </is>
      </c>
      <c r="B11" s="5" t="inlineStr">
        <is>
          <t>Polo</t>
        </is>
      </c>
      <c r="D11" s="5" t="inlineStr">
        <is>
          <t>00</t>
        </is>
      </c>
      <c r="E11" s="5" t="inlineStr">
        <is>
          <t>Purple</t>
        </is>
      </c>
      <c r="H11" s="5" t="inlineStr">
        <is>
          <t>Bonobos</t>
        </is>
      </c>
    </row>
    <row r="12">
      <c r="A12" t="inlineStr">
        <is>
          <t>Hoosier Freeze</t>
        </is>
      </c>
      <c r="B12" s="5" t="inlineStr">
        <is>
          <t>Dress</t>
        </is>
      </c>
      <c r="D12" s="5" t="inlineStr">
        <is>
          <t>0</t>
        </is>
      </c>
      <c r="E12" s="5" t="inlineStr">
        <is>
          <t>Yellow</t>
        </is>
      </c>
      <c r="H12" s="5" t="inlineStr">
        <is>
          <t>Abercrombie &amp; Fitch</t>
        </is>
      </c>
    </row>
    <row r="13">
      <c r="A13" t="inlineStr">
        <is>
          <t>Palm Shadow</t>
        </is>
      </c>
      <c r="B13" s="5" t="inlineStr">
        <is>
          <t>Suit</t>
        </is>
      </c>
      <c r="D13" s="5" t="inlineStr">
        <is>
          <t>2</t>
        </is>
      </c>
      <c r="E13" s="5" t="inlineStr">
        <is>
          <t>Orange</t>
        </is>
      </c>
      <c r="H13" s="5" t="inlineStr">
        <is>
          <t>ASKET</t>
        </is>
      </c>
    </row>
    <row r="14">
      <c r="A14" t="inlineStr">
        <is>
          <t>Catalina Bloom</t>
        </is>
      </c>
      <c r="B14" s="5" t="inlineStr">
        <is>
          <t>Blazer</t>
        </is>
      </c>
      <c r="D14" s="5" t="inlineStr">
        <is>
          <t>4</t>
        </is>
      </c>
      <c r="E14" s="5" t="inlineStr">
        <is>
          <t>Beige</t>
        </is>
      </c>
      <c r="H14" s="5" t="inlineStr">
        <is>
          <t>Zara</t>
        </is>
      </c>
    </row>
    <row r="15">
      <c r="A15" t="inlineStr">
        <is>
          <t>Chestnut Season</t>
        </is>
      </c>
      <c r="B15" s="5" t="inlineStr">
        <is>
          <t>Set</t>
        </is>
      </c>
      <c r="D15" s="5" t="inlineStr">
        <is>
          <t>6</t>
        </is>
      </c>
      <c r="E15" s="5" t="inlineStr">
        <is>
          <t>Tan</t>
        </is>
      </c>
      <c r="H15" s="5" t="inlineStr">
        <is>
          <t>Mango</t>
        </is>
      </c>
    </row>
    <row r="16">
      <c r="A16" t="inlineStr">
        <is>
          <t>Scarlet Walk</t>
        </is>
      </c>
      <c r="B16" s="5" t="inlineStr">
        <is>
          <t>Activewear</t>
        </is>
      </c>
      <c r="D16" s="5" t="inlineStr">
        <is>
          <t>8</t>
        </is>
      </c>
      <c r="E16" s="5" t="inlineStr">
        <is>
          <t>Cream</t>
        </is>
      </c>
      <c r="H16" s="5" t="inlineStr">
        <is>
          <t>H&amp;M</t>
        </is>
      </c>
    </row>
    <row r="17">
      <c r="A17" t="inlineStr">
        <is>
          <t>Sixth Street Shift</t>
        </is>
      </c>
      <c r="B17" s="5" t="inlineStr">
        <is>
          <t>Loungewear</t>
        </is>
      </c>
      <c r="D17" s="5" t="inlineStr">
        <is>
          <t>10</t>
        </is>
      </c>
      <c r="E17" s="5" t="inlineStr">
        <is>
          <t>Off-White</t>
        </is>
      </c>
      <c r="H17" s="5" t="inlineStr">
        <is>
          <t>Express</t>
        </is>
      </c>
    </row>
    <row r="18">
      <c r="B18" s="5" t="inlineStr">
        <is>
          <t>Sleepwear</t>
        </is>
      </c>
      <c r="D18" s="5" t="inlineStr">
        <is>
          <t>12</t>
        </is>
      </c>
      <c r="E18" s="5" t="inlineStr">
        <is>
          <t>Charcoal</t>
        </is>
      </c>
      <c r="H18" s="5" t="inlineStr">
        <is>
          <t>Gap</t>
        </is>
      </c>
    </row>
    <row r="19">
      <c r="B19" s="5" t="inlineStr">
        <is>
          <t>Shoes</t>
        </is>
      </c>
      <c r="D19" s="5" t="inlineStr">
        <is>
          <t>14</t>
        </is>
      </c>
      <c r="E19" s="5" t="inlineStr">
        <is>
          <t>Chocolate</t>
        </is>
      </c>
      <c r="H19" s="5" t="inlineStr">
        <is>
          <t>American Eagle</t>
        </is>
      </c>
    </row>
    <row r="20">
      <c r="B20" s="5" t="inlineStr">
        <is>
          <t>Sneakers</t>
        </is>
      </c>
      <c r="D20" s="5" t="inlineStr">
        <is>
          <t>16</t>
        </is>
      </c>
      <c r="E20" s="5" t="inlineStr">
        <is>
          <t>Silver</t>
        </is>
      </c>
      <c r="H20" s="5" t="inlineStr">
        <is>
          <t>Urban Outfitters</t>
        </is>
      </c>
    </row>
    <row r="21">
      <c r="B21" s="5" t="inlineStr">
        <is>
          <t>Boots</t>
        </is>
      </c>
      <c r="D21" s="5" t="inlineStr">
        <is>
          <t>18</t>
        </is>
      </c>
      <c r="E21" s="5" t="inlineStr">
        <is>
          <t>Light Blue</t>
        </is>
      </c>
      <c r="H21" s="5" t="inlineStr">
        <is>
          <t>PacSun</t>
        </is>
      </c>
    </row>
    <row r="22">
      <c r="B22" s="5" t="inlineStr">
        <is>
          <t>Loafers</t>
        </is>
      </c>
      <c r="D22" s="5" t="inlineStr">
        <is>
          <t>20</t>
        </is>
      </c>
      <c r="E22" s="5" t="inlineStr">
        <is>
          <t>Royal Blue</t>
        </is>
      </c>
      <c r="H22" s="5" t="inlineStr">
        <is>
          <t>lululemon</t>
        </is>
      </c>
    </row>
    <row r="23">
      <c r="B23" s="5" t="inlineStr">
        <is>
          <t>Dress Shoes</t>
        </is>
      </c>
      <c r="D23" s="5" t="inlineStr">
        <is>
          <t>22</t>
        </is>
      </c>
      <c r="E23" s="5" t="inlineStr">
        <is>
          <t>Teal</t>
        </is>
      </c>
      <c r="H23" s="5" t="inlineStr">
        <is>
          <t>Vuori</t>
        </is>
      </c>
    </row>
    <row r="24">
      <c r="B24" s="5" t="inlineStr">
        <is>
          <t>Sandals</t>
        </is>
      </c>
      <c r="D24" s="5" t="inlineStr">
        <is>
          <t>24</t>
        </is>
      </c>
      <c r="E24" s="5" t="inlineStr">
        <is>
          <t>Turquoise</t>
        </is>
      </c>
      <c r="H24" s="5" t="inlineStr">
        <is>
          <t>Rhone</t>
        </is>
      </c>
    </row>
    <row r="25">
      <c r="B25" s="5" t="inlineStr">
        <is>
          <t>Accessory</t>
        </is>
      </c>
      <c r="D25" s="5" t="inlineStr">
        <is>
          <t>25</t>
        </is>
      </c>
      <c r="E25" s="5" t="inlineStr">
        <is>
          <t>Olive</t>
        </is>
      </c>
      <c r="H25" s="5" t="inlineStr">
        <is>
          <t>Alo Yoga</t>
        </is>
      </c>
    </row>
    <row r="26">
      <c r="B26" s="5" t="inlineStr">
        <is>
          <t>Bag</t>
        </is>
      </c>
      <c r="D26" s="5" t="inlineStr">
        <is>
          <t>26</t>
        </is>
      </c>
      <c r="E26" s="5" t="inlineStr">
        <is>
          <t>Forest Green</t>
        </is>
      </c>
      <c r="H26" s="5" t="inlineStr">
        <is>
          <t>Ten Thousand</t>
        </is>
      </c>
    </row>
    <row r="27">
      <c r="B27" s="5" t="inlineStr">
        <is>
          <t>Belt</t>
        </is>
      </c>
      <c r="D27" s="5" t="inlineStr">
        <is>
          <t>27</t>
        </is>
      </c>
      <c r="E27" s="5" t="inlineStr">
        <is>
          <t>Sage</t>
        </is>
      </c>
      <c r="H27" s="5" t="inlineStr">
        <is>
          <t>Tracksmith</t>
        </is>
      </c>
    </row>
    <row r="28">
      <c r="B28" s="5" t="inlineStr">
        <is>
          <t>Hat</t>
        </is>
      </c>
      <c r="D28" s="5" t="inlineStr">
        <is>
          <t>28</t>
        </is>
      </c>
      <c r="E28" s="5" t="inlineStr">
        <is>
          <t>Mustard</t>
        </is>
      </c>
      <c r="H28" s="5" t="inlineStr">
        <is>
          <t>Mack Weldon</t>
        </is>
      </c>
    </row>
    <row r="29">
      <c r="B29" s="5" t="inlineStr">
        <is>
          <t>Jewelry</t>
        </is>
      </c>
      <c r="D29" s="5" t="inlineStr">
        <is>
          <t>29</t>
        </is>
      </c>
      <c r="E29" s="5" t="inlineStr">
        <is>
          <t>Rust</t>
        </is>
      </c>
      <c r="H29" s="5" t="inlineStr">
        <is>
          <t>Gymshark</t>
        </is>
      </c>
    </row>
    <row r="30">
      <c r="B30" s="5" t="inlineStr">
        <is>
          <t>Watch</t>
        </is>
      </c>
      <c r="D30" s="5" t="inlineStr">
        <is>
          <t>30</t>
        </is>
      </c>
      <c r="E30" s="5" t="inlineStr">
        <is>
          <t>Burgundy</t>
        </is>
      </c>
      <c r="H30" s="5" t="inlineStr">
        <is>
          <t>Levi's</t>
        </is>
      </c>
    </row>
    <row r="31">
      <c r="B31" s="5" t="inlineStr">
        <is>
          <t>Sunglasses</t>
        </is>
      </c>
      <c r="D31" s="5" t="inlineStr">
        <is>
          <t>31</t>
        </is>
      </c>
      <c r="E31" s="5" t="inlineStr">
        <is>
          <t>Maroon</t>
        </is>
      </c>
      <c r="H31" s="5" t="inlineStr">
        <is>
          <t>Carhartt WIP</t>
        </is>
      </c>
    </row>
    <row r="32">
      <c r="B32" s="5" t="inlineStr">
        <is>
          <t>Scarf</t>
        </is>
      </c>
      <c r="D32" s="5" t="inlineStr">
        <is>
          <t>32</t>
        </is>
      </c>
      <c r="E32" s="5" t="inlineStr">
        <is>
          <t>Blush</t>
        </is>
      </c>
      <c r="H32" s="5" t="inlineStr">
        <is>
          <t>Dickies</t>
        </is>
      </c>
    </row>
    <row r="33">
      <c r="B33" s="5" t="inlineStr">
        <is>
          <t>Tie</t>
        </is>
      </c>
      <c r="D33" s="5" t="inlineStr">
        <is>
          <t>33</t>
        </is>
      </c>
      <c r="E33" s="5" t="inlineStr">
        <is>
          <t>Hot Pink</t>
        </is>
      </c>
      <c r="H33" s="5" t="inlineStr">
        <is>
          <t>Nike</t>
        </is>
      </c>
    </row>
    <row r="34">
      <c r="B34" s="16" t="inlineStr">
        <is>
          <t>Sweatpants</t>
        </is>
      </c>
      <c r="D34" s="5" t="inlineStr">
        <is>
          <t>34</t>
        </is>
      </c>
      <c r="E34" s="5" t="inlineStr">
        <is>
          <t>Lavender</t>
        </is>
      </c>
      <c r="H34" s="5" t="inlineStr">
        <is>
          <t>Adidas</t>
        </is>
      </c>
    </row>
    <row r="35">
      <c r="B35" s="16" t="inlineStr">
        <is>
          <t>pants</t>
        </is>
      </c>
      <c r="D35" s="5" t="inlineStr">
        <is>
          <t>35</t>
        </is>
      </c>
      <c r="E35" s="5" t="inlineStr">
        <is>
          <t>Gold</t>
        </is>
      </c>
      <c r="H35" s="5" t="inlineStr">
        <is>
          <t>New Balance</t>
        </is>
      </c>
    </row>
    <row r="36">
      <c r="B36" s="16" t="inlineStr">
        <is>
          <t>Qzip</t>
        </is>
      </c>
      <c r="D36" s="5" t="inlineStr">
        <is>
          <t>36</t>
        </is>
      </c>
      <c r="E36" s="5" t="inlineStr">
        <is>
          <t>Multicolor</t>
        </is>
      </c>
      <c r="H36" s="5" t="inlineStr">
        <is>
          <t>Patagonia</t>
        </is>
      </c>
    </row>
    <row r="37">
      <c r="B37" s="16" t="inlineStr">
        <is>
          <t>long sleeve buttondown</t>
        </is>
      </c>
      <c r="D37" s="5" t="inlineStr">
        <is>
          <t>38</t>
        </is>
      </c>
      <c r="E37" s="5" t="inlineStr">
        <is>
          <t>Patterned</t>
        </is>
      </c>
      <c r="H37" s="5" t="inlineStr">
        <is>
          <t>The North Face</t>
        </is>
      </c>
    </row>
    <row r="38">
      <c r="B38" s="16" t="inlineStr">
        <is>
          <t>Long Sleeve</t>
        </is>
      </c>
      <c r="D38" s="5" t="inlineStr">
        <is>
          <t>40</t>
        </is>
      </c>
      <c r="E38" s="5" t="inlineStr">
        <is>
          <t>Denim</t>
        </is>
      </c>
      <c r="H38" s="5" t="inlineStr">
        <is>
          <t>Arc'teryx</t>
        </is>
      </c>
    </row>
    <row r="39">
      <c r="B39" s="16" t="inlineStr">
        <is>
          <t>Sweatshirt</t>
        </is>
      </c>
      <c r="D39" s="5" t="inlineStr">
        <is>
          <t>42</t>
        </is>
      </c>
      <c r="E39" s="5" t="inlineStr">
        <is>
          <t>Animal Print</t>
        </is>
      </c>
      <c r="H39" s="5" t="inlineStr">
        <is>
          <t>Columbia</t>
        </is>
      </c>
    </row>
    <row r="40" ht="16" customHeight="1">
      <c r="B40" s="48" t="inlineStr">
        <is>
          <t>Fleece Full-Zip</t>
        </is>
      </c>
      <c r="D40" s="5" t="inlineStr">
        <is>
          <t>44</t>
        </is>
      </c>
      <c r="H40" s="5" t="inlineStr">
        <is>
          <t>Huckberry</t>
        </is>
      </c>
    </row>
    <row r="41">
      <c r="D41" s="5" t="inlineStr">
        <is>
          <t>46</t>
        </is>
      </c>
      <c r="H41" s="5" t="inlineStr">
        <is>
          <t>Mr Porter</t>
        </is>
      </c>
    </row>
    <row r="42">
      <c r="D42" s="5" t="inlineStr">
        <is>
          <t>48</t>
        </is>
      </c>
      <c r="H42" s="16" t="inlineStr">
        <is>
          <t>Johnnie-o</t>
        </is>
      </c>
    </row>
    <row r="43">
      <c r="D43" s="5" t="inlineStr">
        <is>
          <t>50</t>
        </is>
      </c>
      <c r="H43" s="16" t="inlineStr">
        <is>
          <t>Taylor ied athlete</t>
        </is>
      </c>
    </row>
    <row r="44">
      <c r="D44" s="5" t="inlineStr">
        <is>
          <t>52</t>
        </is>
      </c>
      <c r="H44" t="inlineStr">
        <is>
          <t>ralph lauren</t>
        </is>
      </c>
    </row>
    <row r="45">
      <c r="D45" s="5" t="inlineStr">
        <is>
          <t>54</t>
        </is>
      </c>
      <c r="H45" t="inlineStr">
        <is>
          <t>eddie bauer</t>
        </is>
      </c>
    </row>
    <row r="46">
      <c r="D46" s="5" t="inlineStr">
        <is>
          <t>56</t>
        </is>
      </c>
      <c r="H46" t="inlineStr">
        <is>
          <t>peter millar</t>
        </is>
      </c>
    </row>
    <row r="47">
      <c r="D47" s="5" t="inlineStr">
        <is>
          <t>58</t>
        </is>
      </c>
      <c r="H47" t="inlineStr">
        <is>
          <t>Rhoback</t>
        </is>
      </c>
    </row>
    <row r="48">
      <c r="D48" s="5" t="inlineStr">
        <is>
          <t>60</t>
        </is>
      </c>
      <c r="H48" t="inlineStr">
        <is>
          <t>Bonobos</t>
        </is>
      </c>
    </row>
    <row r="49">
      <c r="D49" s="5" t="inlineStr">
        <is>
          <t>28x30</t>
        </is>
      </c>
      <c r="H49" t="inlineStr">
        <is>
          <t>Lucky Brand</t>
        </is>
      </c>
    </row>
    <row r="50">
      <c r="D50" s="5" t="inlineStr">
        <is>
          <t>28x32</t>
        </is>
      </c>
      <c r="H50" t="inlineStr">
        <is>
          <t>Faherty</t>
        </is>
      </c>
    </row>
    <row r="51">
      <c r="D51" s="5" t="inlineStr">
        <is>
          <t>30x30</t>
        </is>
      </c>
      <c r="H51" t="inlineStr">
        <is>
          <t>Marine Layer</t>
        </is>
      </c>
    </row>
    <row r="52">
      <c r="D52" s="5" t="inlineStr">
        <is>
          <t>30x32</t>
        </is>
      </c>
    </row>
    <row r="53">
      <c r="D53" s="5" t="inlineStr">
        <is>
          <t>30x34</t>
        </is>
      </c>
    </row>
    <row r="54">
      <c r="D54" s="5" t="inlineStr">
        <is>
          <t>32x30</t>
        </is>
      </c>
    </row>
    <row r="55">
      <c r="D55" s="5" t="inlineStr">
        <is>
          <t>32x32</t>
        </is>
      </c>
    </row>
    <row r="56">
      <c r="D56" s="5" t="inlineStr">
        <is>
          <t>32x34</t>
        </is>
      </c>
    </row>
    <row r="57">
      <c r="D57" s="5" t="inlineStr">
        <is>
          <t>34x30</t>
        </is>
      </c>
    </row>
    <row r="58">
      <c r="D58" s="5" t="inlineStr">
        <is>
          <t>34x32</t>
        </is>
      </c>
    </row>
    <row r="59">
      <c r="D59" s="5" t="inlineStr">
        <is>
          <t>34x34</t>
        </is>
      </c>
    </row>
    <row r="60">
      <c r="D60" s="5" t="inlineStr">
        <is>
          <t>36x30</t>
        </is>
      </c>
    </row>
    <row r="61">
      <c r="D61" s="5" t="inlineStr">
        <is>
          <t>36x32</t>
        </is>
      </c>
    </row>
    <row r="62">
      <c r="D62" s="5" t="inlineStr">
        <is>
          <t>36x34</t>
        </is>
      </c>
    </row>
    <row r="63">
      <c r="D63" s="5" t="inlineStr">
        <is>
          <t>38x30</t>
        </is>
      </c>
    </row>
    <row r="64">
      <c r="D64" s="5" t="inlineStr">
        <is>
          <t>38x32</t>
        </is>
      </c>
    </row>
    <row r="65">
      <c r="D65" s="5" t="inlineStr">
        <is>
          <t>38x34</t>
        </is>
      </c>
    </row>
    <row r="66">
      <c r="D66" s="5" t="inlineStr">
        <is>
          <t>3</t>
        </is>
      </c>
    </row>
    <row r="67">
      <c r="D67" s="5" t="inlineStr">
        <is>
          <t>3.5</t>
        </is>
      </c>
    </row>
    <row r="68">
      <c r="D68" s="5" t="inlineStr">
        <is>
          <t>4</t>
        </is>
      </c>
    </row>
    <row r="69">
      <c r="D69" s="5" t="inlineStr">
        <is>
          <t>4.5</t>
        </is>
      </c>
    </row>
    <row r="70">
      <c r="D70" s="5" t="inlineStr">
        <is>
          <t>5</t>
        </is>
      </c>
    </row>
    <row r="71">
      <c r="D71" s="5" t="inlineStr">
        <is>
          <t>5.5</t>
        </is>
      </c>
    </row>
    <row r="72">
      <c r="D72" s="5" t="inlineStr">
        <is>
          <t>6</t>
        </is>
      </c>
    </row>
    <row r="73">
      <c r="D73" s="5" t="inlineStr">
        <is>
          <t>6.5</t>
        </is>
      </c>
    </row>
    <row r="74">
      <c r="D74" s="5" t="inlineStr">
        <is>
          <t>7</t>
        </is>
      </c>
    </row>
    <row r="75">
      <c r="D75" s="5" t="inlineStr">
        <is>
          <t>7.5</t>
        </is>
      </c>
    </row>
    <row r="76">
      <c r="D76" s="5" t="inlineStr">
        <is>
          <t>8</t>
        </is>
      </c>
    </row>
    <row r="77">
      <c r="D77" s="5" t="inlineStr">
        <is>
          <t>8.5</t>
        </is>
      </c>
    </row>
    <row r="78">
      <c r="D78" s="5" t="inlineStr">
        <is>
          <t>9</t>
        </is>
      </c>
    </row>
    <row r="79">
      <c r="D79" s="5" t="inlineStr">
        <is>
          <t>9.5</t>
        </is>
      </c>
    </row>
    <row r="80">
      <c r="D80" s="5" t="inlineStr">
        <is>
          <t>10</t>
        </is>
      </c>
    </row>
    <row r="81">
      <c r="D81" s="5" t="inlineStr">
        <is>
          <t>10.5</t>
        </is>
      </c>
    </row>
    <row r="82">
      <c r="D82" s="5" t="inlineStr">
        <is>
          <t>11</t>
        </is>
      </c>
    </row>
    <row r="83">
      <c r="D83" s="5" t="inlineStr">
        <is>
          <t>11.5</t>
        </is>
      </c>
    </row>
    <row r="84">
      <c r="D84" s="5" t="inlineStr">
        <is>
          <t>12</t>
        </is>
      </c>
    </row>
    <row r="85">
      <c r="D85" s="5" t="inlineStr">
        <is>
          <t>12.5</t>
        </is>
      </c>
    </row>
    <row r="86">
      <c r="D86" s="5" t="inlineStr">
        <is>
          <t>13</t>
        </is>
      </c>
    </row>
    <row r="87">
      <c r="D87" s="5" t="inlineStr">
        <is>
          <t>14</t>
        </is>
      </c>
    </row>
    <row r="88">
      <c r="D88" s="5" t="inlineStr">
        <is>
          <t>15</t>
        </is>
      </c>
    </row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00"/>
  <sheetViews>
    <sheetView tabSelected="1" zoomScale="83" workbookViewId="0">
      <pane ySplit="1" topLeftCell="A2" activePane="bottomLeft" state="frozen"/>
      <selection pane="bottomLeft" activeCell="K1" sqref="K1:K1048576"/>
    </sheetView>
  </sheetViews>
  <sheetFormatPr baseColWidth="10" defaultColWidth="8.83203125" defaultRowHeight="33"/>
  <cols>
    <col width="20.1640625" customWidth="1" min="1" max="1"/>
    <col width="24.5" customWidth="1" min="2" max="2"/>
    <col width="29.83203125" customWidth="1" style="22" min="3" max="3"/>
    <col width="27.6640625" customWidth="1" style="26" min="4" max="4"/>
    <col width="31.83203125" bestFit="1" customWidth="1" min="5" max="5"/>
    <col width="24.5" customWidth="1" min="6" max="6"/>
    <col width="30" customWidth="1" style="19" min="7" max="7"/>
    <col width="24.6640625" customWidth="1" style="41" min="8" max="8"/>
    <col width="19" customWidth="1" min="9" max="9"/>
    <col width="20.83203125" customWidth="1" style="26" min="10" max="10"/>
    <col width="14" customWidth="1" style="29" min="11" max="11"/>
    <col width="14" customWidth="1" min="12" max="12"/>
    <col width="16" customWidth="1" min="13" max="14"/>
    <col width="14" customWidth="1" min="14" max="14"/>
    <col width="14" customWidth="1" min="15" max="16"/>
    <col width="14" customWidth="1" min="16" max="16"/>
    <col width="16" customWidth="1" min="17" max="17"/>
    <col width="14" customWidth="1" min="18" max="18"/>
    <col width="18" customWidth="1" min="19" max="19"/>
    <col width="14" customWidth="1" min="20" max="21"/>
    <col width="14" customWidth="1" min="21" max="21"/>
    <col width="18" customWidth="1" min="22" max="22"/>
    <col width="2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34" customHeight="1">
      <c r="A1" s="4" t="inlineStr">
        <is>
          <t>Item ID</t>
        </is>
      </c>
      <c r="B1" s="4" t="inlineStr">
        <is>
          <t>Wardrobe Name</t>
        </is>
      </c>
      <c r="C1" s="36" t="inlineStr">
        <is>
          <t>Item Name</t>
        </is>
      </c>
      <c r="D1" s="24" t="inlineStr">
        <is>
          <t>Category</t>
        </is>
      </c>
      <c r="E1" s="37" t="inlineStr">
        <is>
          <t>Image URL</t>
        </is>
      </c>
      <c r="F1" s="4" t="inlineStr">
        <is>
          <t>Image</t>
        </is>
      </c>
      <c r="G1" s="4" t="inlineStr">
        <is>
          <t>Item Link</t>
        </is>
      </c>
      <c r="H1" s="38" t="inlineStr">
        <is>
          <t>Cost of Item ($)</t>
        </is>
      </c>
      <c r="I1" s="4" t="inlineStr">
        <is>
          <t>Rental Fee ($)</t>
        </is>
      </c>
      <c r="J1" s="24" t="inlineStr">
        <is>
          <t>Condition</t>
        </is>
      </c>
      <c r="K1" s="27" t="inlineStr">
        <is>
          <t>Size</t>
        </is>
      </c>
      <c r="L1" s="4" t="inlineStr">
        <is>
          <t>Color</t>
        </is>
      </c>
      <c r="M1" s="4" t="inlineStr">
        <is>
          <t>Brand</t>
        </is>
      </c>
      <c r="N1" s="4" t="inlineStr">
        <is>
          <t>Purchase Status</t>
        </is>
      </c>
      <c r="O1" s="4" t="inlineStr">
        <is>
          <t>Status</t>
        </is>
      </c>
      <c r="P1" s="4" t="inlineStr">
        <is>
          <t>Date Added</t>
        </is>
      </c>
      <c r="Q1" s="4" t="inlineStr">
        <is>
          <t>Extra Costs ($)</t>
        </is>
      </c>
      <c r="R1" s="4" t="inlineStr">
        <is>
          <t>Times Rented</t>
        </is>
      </c>
      <c r="S1" s="4" t="inlineStr">
        <is>
          <t>Total Revenue ($)</t>
        </is>
      </c>
      <c r="T1" s="4" t="inlineStr">
        <is>
          <t>Total Cost ($)</t>
        </is>
      </c>
      <c r="U1" s="4" t="inlineStr">
        <is>
          <t>Profit ($)</t>
        </is>
      </c>
      <c r="V1" s="4" t="inlineStr">
        <is>
          <t>Break-even Rentals</t>
        </is>
      </c>
      <c r="W1" s="4" t="inlineStr">
        <is>
          <t>Notes</t>
        </is>
      </c>
      <c r="X1" s="4" t="inlineStr">
        <is>
          <t>Image Filename</t>
        </is>
      </c>
      <c r="Y1" s="4" t="inlineStr">
        <is>
          <t>Image Path</t>
        </is>
      </c>
      <c r="Z1" s="4" t="inlineStr">
        <is>
          <t>Website Status</t>
        </is>
      </c>
      <c r="AA1" s="4" t="inlineStr">
        <is>
          <t>Website Tags</t>
        </is>
      </c>
    </row>
    <row r="2" ht="60" customHeight="1">
      <c r="A2" t="inlineStr">
        <is>
          <t>W001</t>
        </is>
      </c>
      <c r="B2" s="6" t="inlineStr">
        <is>
          <t>Work</t>
        </is>
      </c>
      <c r="C2" s="21" t="n"/>
      <c r="D2" s="25" t="n"/>
      <c r="E2" s="6" t="n"/>
      <c r="F2">
        <f>IF(E2="","",_xludf.IMAGE(E2))</f>
        <v/>
      </c>
      <c r="G2" s="17" t="n"/>
      <c r="H2" s="39" t="n"/>
      <c r="I2" s="7" t="n"/>
      <c r="J2" s="25" t="n"/>
      <c r="K2" s="28" t="n"/>
      <c r="L2" s="6" t="n"/>
      <c r="M2" s="6" t="n"/>
      <c r="N2" s="6" t="n"/>
      <c r="O2" s="6" t="n"/>
      <c r="P2" s="8" t="n"/>
      <c r="Q2" s="7" t="n"/>
      <c r="R2" s="9" t="n">
        <v>6</v>
      </c>
      <c r="S2" s="10">
        <f>IF($C2="","",$I2*$R2)</f>
        <v/>
      </c>
      <c r="T2" s="10">
        <f>IF($C2="","",(IF($N2="Purchased",$H2,0)+$Q2))</f>
        <v/>
      </c>
      <c r="U2" s="10">
        <f>IF($C2="","",$S2-$T2)</f>
        <v/>
      </c>
      <c r="V2" s="11">
        <f>IF(OR($C2="",$I2=0),"",CEILING($T2/$I2,1))</f>
        <v/>
      </c>
      <c r="W2" s="6" t="n"/>
      <c r="X2">
        <f>IF(C2="","",LOWER(SUBSTITUTE(SUBSTITUTE(C2," ","-"),"'",""))&amp;".jpg")</f>
        <v/>
      </c>
      <c r="Y2">
        <f>IF(X2="","","/inventory/"&amp;X2)</f>
        <v/>
      </c>
      <c r="Z2">
        <f>IF(O2="Available","available",IF(OR(O2="Rented",O2="Cleaning",O2="Repair"),"unavailable",IF(O2="Retired","unavailable","")))</f>
        <v/>
      </c>
    </row>
    <row r="3" ht="150" customHeight="1">
      <c r="A3" t="inlineStr">
        <is>
          <t>W002</t>
        </is>
      </c>
      <c r="B3" s="6" t="inlineStr">
        <is>
          <t>The 203 Collection</t>
        </is>
      </c>
      <c r="C3" s="31" t="inlineStr">
        <is>
          <t>Smooth Spacer Classic-Fit Pullover Hoodie</t>
        </is>
      </c>
      <c r="D3" s="25" t="inlineStr">
        <is>
          <t>Hoodie</t>
        </is>
      </c>
      <c r="E3" s="20" t="inlineStr">
        <is>
          <t>https://images.lululemon.com/is/image/lululemon/LM3FH2S_032493_1?wid=2420&amp;op_usm=0.5,2,10,0&amp;fmt=webp&amp;qlt=80,1&amp;fit=constrain,0&amp;op_sharpen=0&amp;resMode=sharp2&amp;iccEmbed=0&amp;printRes=72</t>
        </is>
      </c>
      <c r="F3" s="19">
        <f>IF(E3="","",_xlfn.IMAGE(E3))</f>
        <v/>
      </c>
      <c r="G3" s="17" t="inlineStr">
        <is>
          <t>https://shop.lululemon.com/p/mens-jackets-and-hoodies-hoodies/Smooth-Spacer-Classic-Pullover-Hoodie-MD/_/prod11700269?color=32493&amp;locale=en_US&amp;sl=US&amp;sz=L&amp;cid=Google_SHOP_US_NAT_EN_X_BrandShop_Incr-All_OMNI_GEN_Y24_ag-SHOP_G_US_EN_DM_X_GEN_NO_Brand-Core&amp;gclsrc=aw.ds&amp;gad_source=1&amp;gad_campaignid=21471260535&amp;gbraid=0AAAAADL8AvkwNoALWkmcChLEVHdpP_qHJ&amp;gclid=Cj0KCQiAr5nKBhCpARIsACa_NiPUoC6z8tz-beMYzscXuPLZcgjjUeaxbwXxF--wphqJwY5dKj-8xpcaAhTNEALw_wcB</t>
        </is>
      </c>
      <c r="H3" s="39" t="n">
        <v>59</v>
      </c>
      <c r="I3" s="7" t="n"/>
      <c r="J3" s="25" t="inlineStr">
        <is>
          <t>New</t>
        </is>
      </c>
      <c r="K3" s="28" t="n"/>
      <c r="L3" s="6" t="inlineStr">
        <is>
          <t>Gray</t>
        </is>
      </c>
      <c r="M3" s="6" t="inlineStr">
        <is>
          <t>lululemon</t>
        </is>
      </c>
      <c r="N3" s="6" t="inlineStr">
        <is>
          <t>Not purchased</t>
        </is>
      </c>
      <c r="O3" s="6" t="n"/>
      <c r="P3" s="8" t="n"/>
      <c r="Q3" s="7" t="n"/>
      <c r="R3" s="9" t="n"/>
      <c r="S3" s="10">
        <f>IF($C3="","",$I3*$R3)</f>
        <v/>
      </c>
      <c r="T3" s="10">
        <f>IF($C3="","",(IF($N3="Purchased",$H3,0)+$Q3))</f>
        <v/>
      </c>
      <c r="U3" s="10">
        <f>IF($C3="","",$S3-$T3)</f>
        <v/>
      </c>
      <c r="V3" s="11">
        <f>IF(OR($C3="",$I3=0),"",CEILING($T3/$I3,1))</f>
        <v/>
      </c>
      <c r="W3" s="6" t="n"/>
      <c r="X3">
        <f>IF(C3="","",LOWER(SUBSTITUTE(SUBSTITUTE(C3," ","-"),"'",""))&amp;".jpg")</f>
        <v/>
      </c>
      <c r="Y3">
        <f>IF(X3="","","/inventory/"&amp;X3)</f>
        <v/>
      </c>
      <c r="Z3">
        <f>IF(O3="Available","available",IF(OR(O3="Rented",O3="Cleaning",O3="Repair"),"unavailable",IF(O3="Retired","unavailable","")))</f>
        <v/>
      </c>
    </row>
    <row r="4" ht="150" customHeight="1">
      <c r="A4" t="inlineStr">
        <is>
          <t>W003</t>
        </is>
      </c>
      <c r="B4" s="6" t="inlineStr">
        <is>
          <t>The 203 Collection</t>
        </is>
      </c>
      <c r="C4" s="31" t="inlineStr">
        <is>
          <t>Steady State Pullover Hoodie</t>
        </is>
      </c>
      <c r="D4" s="25" t="inlineStr">
        <is>
          <t>Hoodie</t>
        </is>
      </c>
      <c r="E4" s="20" t="inlineStr">
        <is>
          <t>https://images.lululemon.com/is/image/lululemon/LM3FAES_028022_1?wid=1800&amp;op_usm=0.8,1,10,0&amp;fmt=webp&amp;qlt=80,1&amp;fit=constrain,0&amp;op_sharpen=0&amp;resMode=sharp2&amp;iccEmbed=0&amp;printRes=72</t>
        </is>
      </c>
      <c r="F4" s="19">
        <f>IF(E4="","",_xlfn.IMAGE(E4))</f>
        <v/>
      </c>
      <c r="G4" s="17" t="inlineStr">
        <is>
          <t>https://shop.lululemon.com/p/mens-jackets-and-hoodies-hoodies/Steady-State-Pullover-Hoodie/_/prod11750325</t>
        </is>
      </c>
      <c r="H4" s="52" t="n">
        <v>128</v>
      </c>
      <c r="I4" s="7" t="n"/>
      <c r="J4" s="25" t="inlineStr">
        <is>
          <t>New</t>
        </is>
      </c>
      <c r="K4" s="28" t="n"/>
      <c r="L4" s="6" t="n"/>
      <c r="M4" s="6" t="n"/>
      <c r="N4" s="6" t="inlineStr">
        <is>
          <t>Not purchased</t>
        </is>
      </c>
      <c r="O4" s="6" t="n"/>
      <c r="P4" s="8" t="n"/>
      <c r="Q4" s="7" t="n"/>
      <c r="R4" s="9" t="n"/>
      <c r="S4" s="10">
        <f>IF($C4="","",$I4*$R4)</f>
        <v/>
      </c>
      <c r="T4" s="10">
        <f>IF($C4="","",(IF($N4="Purchased",$H4,0)+$Q4))</f>
        <v/>
      </c>
      <c r="U4" s="10">
        <f>IF($C4="","",$S4-$T4)</f>
        <v/>
      </c>
      <c r="V4" s="11">
        <f>IF(OR($C4="",$I4=0),"",CEILING($T4/$I4,1))</f>
        <v/>
      </c>
      <c r="W4" s="6" t="n"/>
      <c r="X4">
        <f>IF(C4="","",LOWER(SUBSTITUTE(SUBSTITUTE(C4," ","-"),"'",""))&amp;".jpg")</f>
        <v/>
      </c>
      <c r="Y4">
        <f>IF(X4="","","/inventory/"&amp;X4)</f>
        <v/>
      </c>
      <c r="Z4">
        <f>IF(O4="Available","available",IF(OR(O4="Rented",O4="Cleaning",O4="Repair"),"unavailable",IF(O4="Retired","unavailable","")))</f>
        <v/>
      </c>
    </row>
    <row r="5" ht="150" customHeight="1">
      <c r="A5" t="inlineStr">
        <is>
          <t>W004</t>
        </is>
      </c>
      <c r="B5" s="6" t="inlineStr">
        <is>
          <t>The 203 Collection</t>
        </is>
      </c>
      <c r="C5" s="32" t="inlineStr">
        <is>
          <t>Seaside Shirt Jacket</t>
        </is>
      </c>
      <c r="D5" s="25" t="inlineStr">
        <is>
          <t>Coat</t>
        </is>
      </c>
      <c r="E5" s="20" t="inlineStr">
        <is>
          <t>https://cdn.shopify.com/s/files/1/0022/4008/6074/files/V2016HAO_SP26_M_OUTERWEAR_FRONT_3.jpg?v=1764715582&amp;width=1200&amp;height=1500&amp;crop=center</t>
        </is>
      </c>
      <c r="F5" s="19">
        <f>IF(E5="","",_xlfn.IMAGE(E5))</f>
        <v/>
      </c>
      <c r="G5" s="17" t="inlineStr">
        <is>
          <t>https://vuoriclothing.com/products/seaside-sweatpant-acorn-heather?queryId=1ab6588fc6a27903586917678984e0a7&amp;collection=new</t>
        </is>
      </c>
      <c r="H5" s="39" t="n">
        <v>128</v>
      </c>
      <c r="I5" s="7" t="n"/>
      <c r="J5" s="25" t="inlineStr">
        <is>
          <t>New</t>
        </is>
      </c>
      <c r="K5" s="28" t="n"/>
      <c r="L5" s="6" t="inlineStr">
        <is>
          <t>Tan</t>
        </is>
      </c>
      <c r="M5" s="6" t="inlineStr">
        <is>
          <t>Vuori</t>
        </is>
      </c>
      <c r="N5" s="6" t="inlineStr">
        <is>
          <t>Not purchased</t>
        </is>
      </c>
      <c r="O5" s="6" t="inlineStr">
        <is>
          <t>Available</t>
        </is>
      </c>
      <c r="P5" s="8" t="n"/>
      <c r="Q5" s="7" t="n"/>
      <c r="R5" s="9" t="n"/>
      <c r="S5" s="10">
        <f>IF($C5="","",$I5*$R5)</f>
        <v/>
      </c>
      <c r="T5" s="10">
        <f>IF($C5="","",(IF($N5="Purchased",$H5,0)+$Q5))</f>
        <v/>
      </c>
      <c r="U5" s="10">
        <f>IF($C5="","",$S5-$T5)</f>
        <v/>
      </c>
      <c r="V5" s="11">
        <f>IF(OR($C5="",$I5=0),"",CEILING($T5/$I5,1))</f>
        <v/>
      </c>
      <c r="W5" s="6" t="n"/>
      <c r="X5">
        <f>IF(C5="","",LOWER(SUBSTITUTE(SUBSTITUTE(C5," ","-"),"'",""))&amp;".jpg")</f>
        <v/>
      </c>
      <c r="Y5">
        <f>IF(X5="","","/inventory/"&amp;X5)</f>
        <v/>
      </c>
      <c r="Z5">
        <f>IF(O5="Available","available",IF(OR(O5="Rented",O5="Cleaning",O5="Repair"),"unavailable",IF(O5="Retired","unavailable","")))</f>
        <v/>
      </c>
    </row>
    <row r="6" ht="150" customHeight="1">
      <c r="A6" t="inlineStr">
        <is>
          <t>W005</t>
        </is>
      </c>
      <c r="B6" s="6" t="inlineStr">
        <is>
          <t>The 203 Collection</t>
        </is>
      </c>
      <c r="C6" s="33" t="inlineStr">
        <is>
          <t>Seaside Sweatpant - Long</t>
        </is>
      </c>
      <c r="D6" s="25" t="inlineStr">
        <is>
          <t>Sweatpants</t>
        </is>
      </c>
      <c r="E6" s="20" t="inlineStr">
        <is>
          <t>https://cdn.shopify.com/s/files/1/0022/4008/6074/files/V4007-28HAO_SP26_M_BOTTOMS_SIDE_3.jpg?v=1765391556&amp;width=1200&amp;height=1500&amp;crop=center</t>
        </is>
      </c>
      <c r="F6" s="19">
        <f>IF(E6="","",_xlfn.IMAGE(E6))</f>
        <v/>
      </c>
      <c r="G6" s="17" t="n"/>
      <c r="H6" s="39" t="n"/>
      <c r="I6" s="7" t="n"/>
      <c r="J6" s="25" t="n"/>
      <c r="K6" s="28" t="n"/>
      <c r="L6" s="6" t="n"/>
      <c r="M6" s="6" t="n"/>
      <c r="N6" s="6" t="n"/>
      <c r="O6" s="6" t="n"/>
      <c r="P6" s="8" t="n"/>
      <c r="Q6" s="7" t="n"/>
      <c r="R6" s="9" t="n"/>
      <c r="S6" s="10">
        <f>IF($C6="","",$I6*$R6)</f>
        <v/>
      </c>
      <c r="T6" s="10">
        <f>IF($C6="","",(IF($N6="Purchased",$H6,0)+$Q6))</f>
        <v/>
      </c>
      <c r="U6" s="10">
        <f>IF($C6="","",$S6-$T6)</f>
        <v/>
      </c>
      <c r="V6" s="11">
        <f>IF(OR($C6="",$I6=0),"",CEILING($T6/$I6,1))</f>
        <v/>
      </c>
      <c r="W6" s="6" t="n"/>
      <c r="X6">
        <f>IF(C6="","",LOWER(SUBSTITUTE(SUBSTITUTE(C6," ","-"),"'",""))&amp;".jpg")</f>
        <v/>
      </c>
      <c r="Y6">
        <f>IF(X6="","","/inventory/"&amp;X6)</f>
        <v/>
      </c>
      <c r="Z6">
        <f>IF(O6="Available","available",IF(OR(O6="Rented",O6="Cleaning",O6="Repair"),"unavailable",IF(O6="Retired","unavailable","")))</f>
        <v/>
      </c>
    </row>
    <row r="7" ht="150" customHeight="1">
      <c r="A7" t="inlineStr">
        <is>
          <t>W006</t>
        </is>
      </c>
      <c r="B7" s="6" t="inlineStr">
        <is>
          <t>The 203 Collection</t>
        </is>
      </c>
      <c r="C7" s="42" t="inlineStr">
        <is>
          <t>Men’s 1996 Retro Nuptse Jacket</t>
        </is>
      </c>
      <c r="D7" s="25" t="inlineStr">
        <is>
          <t>Jacket</t>
        </is>
      </c>
      <c r="E7" s="20" t="inlineStr">
        <is>
          <t>https://assets.thenorthface.com/images/t_img/f_auto,h_400,e_unsharp_mask:100,w_344/dpr_2.0/v1754066544/NF0A3C8DGOE-HERO/Mens-1996-Retro-Nuptse-Jacket.png</t>
        </is>
      </c>
      <c r="F7" s="19">
        <f>IF(E7="","",_xlfn.IMAGE(E7))</f>
        <v/>
      </c>
      <c r="G7" s="17" t="n"/>
      <c r="H7" s="39" t="n"/>
      <c r="I7" s="7" t="n"/>
      <c r="J7" s="25" t="n"/>
      <c r="K7" s="28" t="n"/>
      <c r="L7" s="6" t="n"/>
      <c r="M7" s="6" t="n"/>
      <c r="N7" s="6" t="n"/>
      <c r="O7" s="6" t="n"/>
      <c r="P7" s="8" t="n"/>
      <c r="Q7" s="7" t="n"/>
      <c r="R7" s="9" t="n"/>
      <c r="S7" s="10">
        <f>IF($C7="","",$I7*$R7)</f>
        <v/>
      </c>
      <c r="T7" s="10">
        <f>IF($C7="","",(IF($N7="Purchased",$H7,0)+$Q7))</f>
        <v/>
      </c>
      <c r="U7" s="10">
        <f>IF($C7="","",$S7-$T7)</f>
        <v/>
      </c>
      <c r="V7" s="11">
        <f>IF(OR($C7="",$I7=0),"",CEILING($T7/$I7,1))</f>
        <v/>
      </c>
      <c r="W7" s="6" t="n"/>
      <c r="X7">
        <f>IF(C7="","",LOWER(SUBSTITUTE(SUBSTITUTE(C7," ","-"),"'",""))&amp;".jpg")</f>
        <v/>
      </c>
      <c r="Y7">
        <f>IF(X7="","","/inventory/"&amp;X7)</f>
        <v/>
      </c>
      <c r="Z7">
        <f>IF(O7="Available","available",IF(OR(O7="Rented",O7="Cleaning",O7="Repair"),"unavailable",IF(O7="Retired","unavailable","")))</f>
        <v/>
      </c>
    </row>
    <row r="8" ht="150" customHeight="1">
      <c r="A8" t="inlineStr">
        <is>
          <t>W007</t>
        </is>
      </c>
      <c r="B8" s="6" t="inlineStr">
        <is>
          <t>The 203 Collection</t>
        </is>
      </c>
      <c r="C8" s="34" t="inlineStr">
        <is>
          <t>Commuter® Pant - Classic</t>
        </is>
      </c>
      <c r="D8" s="25" t="inlineStr">
        <is>
          <t>pants</t>
        </is>
      </c>
      <c r="E8" s="20" t="inlineStr">
        <is>
          <t>https://cdn.shopify.com/s/files/1/0249/7784/files/CommuterPantClassic-TrueNavy-100161-404_c1_1000x.jpg?v=1736523436&amp;format=webp</t>
        </is>
      </c>
      <c r="F8" s="19">
        <f>IF(E8="","",_xlfn.IMAGE(E8))</f>
        <v/>
      </c>
      <c r="G8" s="17" t="n"/>
      <c r="H8" s="39" t="n"/>
      <c r="I8" s="7" t="n"/>
      <c r="J8" s="25" t="n"/>
      <c r="K8" s="28" t="n"/>
      <c r="L8" s="6" t="n"/>
      <c r="M8" s="6" t="n"/>
      <c r="N8" s="6" t="n"/>
      <c r="O8" s="6" t="n"/>
      <c r="P8" s="8" t="n"/>
      <c r="Q8" s="7" t="n"/>
      <c r="R8" s="9" t="n"/>
      <c r="S8" s="10">
        <f>IF($C8="","",$I8*$R8)</f>
        <v/>
      </c>
      <c r="T8" s="10">
        <f>IF($C8="","",(IF($N8="Purchased",$H8,0)+$Q8))</f>
        <v/>
      </c>
      <c r="U8" s="10">
        <f>IF($C8="","",$S8-$T8)</f>
        <v/>
      </c>
      <c r="V8" s="11">
        <f>IF(OR($C8="",$I8=0),"",CEILING($T8/$I8,1))</f>
        <v/>
      </c>
      <c r="W8" s="6" t="n"/>
      <c r="X8">
        <f>IF(C8="","",LOWER(SUBSTITUTE(SUBSTITUTE(C8," ","-"),"'",""))&amp;".jpg")</f>
        <v/>
      </c>
      <c r="Y8">
        <f>IF(X8="","","/inventory/"&amp;X8)</f>
        <v/>
      </c>
      <c r="Z8">
        <f>IF(O8="Available","available",IF(OR(O8="Rented",O8="Cleaning",O8="Repair"),"unavailable",IF(O8="Retired","unavailable","")))</f>
        <v/>
      </c>
    </row>
    <row r="9" ht="150" customHeight="1">
      <c r="A9" t="inlineStr">
        <is>
          <t>W008</t>
        </is>
      </c>
      <c r="B9" s="6" t="inlineStr">
        <is>
          <t>The 203 Collection</t>
        </is>
      </c>
      <c r="C9" s="34" t="inlineStr">
        <is>
          <t>Commuter® 1/4 Zip Sweater</t>
        </is>
      </c>
      <c r="D9" s="25" t="inlineStr">
        <is>
          <t>Qzip</t>
        </is>
      </c>
      <c r="E9" s="20" t="inlineStr">
        <is>
          <t>https://cdn.shopify.com/s/files/1/0249/7784/files/20240605_Rhone_Boston_CommuterQuarterZip2_1437_1000x.jpg?v=1736523295&amp;format=webp</t>
        </is>
      </c>
      <c r="F9" s="19">
        <f>IF(E9="","",_xlfn.IMAGE(E9))</f>
        <v/>
      </c>
      <c r="G9" s="17" t="n"/>
      <c r="H9" s="39" t="n">
        <v>128</v>
      </c>
      <c r="I9" s="7" t="n"/>
      <c r="J9" s="25" t="n"/>
      <c r="K9" s="28" t="n"/>
      <c r="L9" s="6" t="n"/>
      <c r="M9" s="6" t="n"/>
      <c r="N9" s="6" t="n"/>
      <c r="O9" s="6" t="n"/>
      <c r="P9" s="8" t="n"/>
      <c r="Q9" s="7" t="n"/>
      <c r="R9" s="9" t="n"/>
      <c r="S9" s="10">
        <f>IF($C9="","",$I9*$R9)</f>
        <v/>
      </c>
      <c r="T9" s="10">
        <f>IF($C9="","",(IF($N9="Purchased",$H9,0)+$Q9))</f>
        <v/>
      </c>
      <c r="U9" s="10">
        <f>IF($C9="","",$S9-$T9)</f>
        <v/>
      </c>
      <c r="V9" s="11">
        <f>IF(OR($C9="",$I9=0),"",CEILING($T9/$I9,1))</f>
        <v/>
      </c>
      <c r="W9" s="6" t="n"/>
      <c r="X9">
        <f>IF(C9="","",LOWER(SUBSTITUTE(SUBSTITUTE(C9," ","-"),"'",""))&amp;".jpg")</f>
        <v/>
      </c>
      <c r="Y9">
        <f>IF(X9="","","/inventory/"&amp;X9)</f>
        <v/>
      </c>
      <c r="Z9">
        <f>IF(O9="Available","available",IF(OR(O9="Rented",O9="Cleaning",O9="Repair"),"unavailable",IF(O9="Retired","unavailable","")))</f>
        <v/>
      </c>
    </row>
    <row r="10" ht="150" customHeight="1">
      <c r="A10" t="inlineStr">
        <is>
          <t>W009</t>
        </is>
      </c>
      <c r="B10" s="6" t="inlineStr">
        <is>
          <t>Old Money Staples</t>
        </is>
      </c>
      <c r="C10" s="22" t="inlineStr">
        <is>
          <t>Men’s Arden Cotton-Linen Lapel Shirt</t>
        </is>
      </c>
      <c r="D10" s="25" t="inlineStr">
        <is>
          <t>long sleeve buttondown</t>
        </is>
      </c>
      <c r="E10" s="17" t="inlineStr">
        <is>
          <t>https://peteroliveira.com/cdn/shop/files/MASTR002-3.jpg?v=1758569250&amp;width=2560</t>
        </is>
      </c>
      <c r="F10" s="19">
        <f>IF(E10="","",_xlfn.IMAGE(E10))</f>
        <v/>
      </c>
      <c r="G10" s="20" t="inlineStr">
        <is>
          <t>https://peteroliveira.com/products/men-s-arden-cotton-linen-lapel-shirt?variant=51571634176338&amp;tw_source=google&amp;tw_adid=&amp;tw_campaign=23006997322&amp;tw_kwdid=&amp;gad_source=1&amp;gad_campaignid=22996803021&amp;gbraid=0AAAABBTaU6vUB-5ShbwzsU6umzNJDSs6O&amp;gclid=CjwKCAiAmKnKBhBrEiwAaqAnZ0oaQuhX9Jj28DOquPuDEjwQhLIqHeoUotKJNHBH3c0Khhj27OT9exoCBgMQAvD_BwE</t>
        </is>
      </c>
      <c r="H10" s="39" t="n"/>
      <c r="I10" s="7" t="n"/>
      <c r="J10" s="25" t="n"/>
      <c r="K10" s="28" t="n"/>
      <c r="L10" s="6" t="n"/>
      <c r="M10" s="6" t="n"/>
      <c r="N10" s="6" t="n"/>
      <c r="O10" s="6" t="n"/>
      <c r="P10" s="8" t="n"/>
      <c r="Q10" s="7" t="n"/>
      <c r="R10" s="9" t="n"/>
      <c r="S10" s="10">
        <f>IF($C10="","",$I10*$R10)</f>
        <v/>
      </c>
      <c r="T10" s="10">
        <f>IF($C10="","",(IF($N10="Purchased",$H10,0)+$Q10))</f>
        <v/>
      </c>
      <c r="U10" s="10">
        <f>IF($C10="","",$S10-$T10)</f>
        <v/>
      </c>
      <c r="V10" s="11">
        <f>IF(OR($C10="",$I10=0),"",CEILING($T10/$I10,1))</f>
        <v/>
      </c>
      <c r="W10" s="6" t="n"/>
      <c r="X10">
        <f>IF(C10="","",LOWER(SUBSTITUTE(SUBSTITUTE(C10," ","-"),"'",""))&amp;".jpg")</f>
        <v/>
      </c>
      <c r="Y10">
        <f>IF(X10="","","/inventory/"&amp;X10)</f>
        <v/>
      </c>
      <c r="Z10">
        <f>IF(O10="Available","available",IF(OR(O10="Rented",O10="Cleaning",O10="Repair"),"unavailable",IF(O10="Retired","unavailable","")))</f>
        <v/>
      </c>
    </row>
    <row r="11" ht="150" customHeight="1">
      <c r="A11" t="inlineStr">
        <is>
          <t>W010</t>
        </is>
      </c>
      <c r="B11" s="6" t="inlineStr">
        <is>
          <t>Old Money Staples</t>
        </is>
      </c>
      <c r="C11" s="35" t="inlineStr">
        <is>
          <t>Linen Blend Cuban Collar Shirt in Stone</t>
        </is>
      </c>
      <c r="D11" s="30" t="inlineStr">
        <is>
          <t>long sleeve buttondown</t>
        </is>
      </c>
      <c r="E11" s="17" t="inlineStr">
        <is>
          <t>https://tailoredathlete.com/cdn/shop/files/MJV04564_5000x.jpg?v=1745037020</t>
        </is>
      </c>
      <c r="F11" s="19">
        <f>IF(E11="","",_xlfn.IMAGE(E11))</f>
        <v/>
      </c>
      <c r="G11" s="20" t="inlineStr">
        <is>
          <t>https://tailoredathlete.com/products/linen-blend-cuban-collar-shirt-in-stone?variant=45881600114909&amp;country=US&amp;currency=USD&amp;utm_medium=product_sync&amp;utm_source=google&amp;utm_content=sag_organic&amp;utm_campaign=sag_organic&amp;tw_source=google&amp;tw_adid=&amp;tw_campaign=22715163839&amp;tw_kwdid=&amp;gad_source=1&amp;gad_campaignid=22715165474&amp;gbraid=0AAAAADqbZP8jc4hm7Ps2UbIj3QtqSmML_&amp;gclid=CjwKCAiAmKnKBhBrEiwAaqAnZ-5aLZqkHsTlfAB-DH6lZxaKHo9cevRLaoBLyJwwfty3CgIyz1P_9xoCdOcQAvD_BwE</t>
        </is>
      </c>
      <c r="H11" s="39" t="n"/>
      <c r="I11" s="7" t="n"/>
      <c r="J11" s="25" t="n"/>
      <c r="K11" s="28" t="n"/>
      <c r="L11" s="6" t="n"/>
      <c r="M11" s="6" t="n"/>
      <c r="N11" s="6" t="n"/>
      <c r="O11" s="6" t="n"/>
      <c r="P11" s="8" t="n"/>
      <c r="Q11" s="7" t="n"/>
      <c r="R11" s="9" t="n"/>
      <c r="S11" s="10">
        <f>IF($C11="","",$I11*$R11)</f>
        <v/>
      </c>
      <c r="T11" s="10">
        <f>IF($C11="","",(IF($N11="Purchased",$H11,0)+$Q11))</f>
        <v/>
      </c>
      <c r="U11" s="10">
        <f>IF($C11="","",$S11-$T11)</f>
        <v/>
      </c>
      <c r="V11" s="11">
        <f>IF(OR($C11="",$I11=0),"",CEILING($T11/$I11,1))</f>
        <v/>
      </c>
      <c r="W11" s="6" t="n"/>
      <c r="X11">
        <f>IF(C11="","",LOWER(SUBSTITUTE(SUBSTITUTE(C11," ","-"),"'",""))&amp;".jpg")</f>
        <v/>
      </c>
      <c r="Y11">
        <f>IF(X11="","","/inventory/"&amp;X11)</f>
        <v/>
      </c>
      <c r="Z11">
        <f>IF(O11="Available","available",IF(OR(O11="Rented",O11="Cleaning",O11="Repair"),"unavailable",IF(O11="Retired","unavailable","")))</f>
        <v/>
      </c>
    </row>
    <row r="12" ht="150" customHeight="1">
      <c r="A12" t="inlineStr">
        <is>
          <t>W011</t>
        </is>
      </c>
      <c r="B12" s="6" t="inlineStr">
        <is>
          <t>Old Money Staples</t>
        </is>
      </c>
      <c r="C12" s="43" t="inlineStr">
        <is>
          <t>Featherweight Performance Polo - Warwick Stripe</t>
        </is>
      </c>
      <c r="D12" s="25" t="inlineStr">
        <is>
          <t>Polo</t>
        </is>
      </c>
      <c r="E12" s="17" t="inlineStr">
        <is>
          <t>https://cdn.shopify.com/s/files/1/2275/0137/files/FA25_MENS_OF_WARWICK_JMPO7330_TIDE_008_d6ccedc3-c21a-487b-9f64-676f4150ae28.jpg?v=1765230900&amp;width=1600</t>
        </is>
      </c>
      <c r="F12" s="19">
        <f>IF(E12="","",_xlfn.IMAGE(E12))</f>
        <v/>
      </c>
      <c r="G12" s="17" t="n"/>
      <c r="H12" s="39" t="n"/>
      <c r="I12" s="7" t="n"/>
      <c r="J12" s="25" t="n"/>
      <c r="K12" s="28" t="n"/>
      <c r="L12" s="6" t="n"/>
      <c r="M12" s="6" t="n"/>
      <c r="N12" s="6" t="n"/>
      <c r="O12" s="6" t="n"/>
      <c r="P12" s="8" t="n"/>
      <c r="Q12" s="7" t="n"/>
      <c r="R12" s="9" t="n"/>
      <c r="S12" s="10">
        <f>IF($C12="","",$I12*$R12)</f>
        <v/>
      </c>
      <c r="T12" s="10">
        <f>IF($C12="","",(IF($N12="Purchased",$H12,0)+$Q12))</f>
        <v/>
      </c>
      <c r="U12" s="10">
        <f>IF($C12="","",$S12-$T12)</f>
        <v/>
      </c>
      <c r="V12" s="11">
        <f>IF(OR($C12="",$I12=0),"",CEILING($T12/$I12,1))</f>
        <v/>
      </c>
      <c r="W12" s="6" t="n"/>
      <c r="X12">
        <f>IF(C12="","",LOWER(SUBSTITUTE(SUBSTITUTE(C12," ","-"),"'",""))&amp;".jpg")</f>
        <v/>
      </c>
      <c r="Y12">
        <f>IF(X12="","","/inventory/"&amp;X12)</f>
        <v/>
      </c>
      <c r="Z12">
        <f>IF(O12="Available","available",IF(OR(O12="Rented",O12="Cleaning",O12="Repair"),"unavailable",IF(O12="Retired","unavailable","")))</f>
        <v/>
      </c>
    </row>
    <row r="13" ht="150" customHeight="1">
      <c r="A13" t="inlineStr">
        <is>
          <t>W012</t>
        </is>
      </c>
      <c r="B13" s="6" t="inlineStr">
        <is>
          <t>Kennebunkport Classics</t>
        </is>
      </c>
      <c r="C13" s="49" t="inlineStr">
        <is>
          <t>The Iconic Mesh Polo Shirt</t>
        </is>
      </c>
      <c r="D13" s="25" t="inlineStr">
        <is>
          <t>Polo</t>
        </is>
      </c>
      <c r="E13" s="17" t="inlineStr">
        <is>
          <t>https://dtcralphlauren.scene7.com/is/image/PoloGSI/s7-AI710534735487_alternate1?$rl_4x5_zoom$</t>
        </is>
      </c>
      <c r="F13" s="19">
        <f>IF(E13="","",_xlfn.IMAGE(E13))</f>
        <v/>
      </c>
      <c r="G13" s="17" t="inlineStr">
        <is>
          <t>https://www.ralphlauren.com/men-clothing-polo-shirts/the-iconic-mesh-polo-shirt---all-fits/401480-P.html?masterId=401480&amp;userSelectedColor=White%2FNavy&amp;cgid=men-clothing-polo-shirts#start=1&amp;cgid=men-clothing-polo-shirts</t>
        </is>
      </c>
      <c r="H13" s="39" t="n">
        <v>118</v>
      </c>
      <c r="I13" s="7" t="n"/>
      <c r="J13" s="25" t="inlineStr">
        <is>
          <t>New</t>
        </is>
      </c>
      <c r="K13" s="28" t="inlineStr">
        <is>
          <t>M</t>
        </is>
      </c>
      <c r="L13" s="6" t="inlineStr">
        <is>
          <t>Red</t>
        </is>
      </c>
      <c r="M13" s="6" t="inlineStr">
        <is>
          <t>ralph lauren</t>
        </is>
      </c>
      <c r="N13" s="6" t="inlineStr">
        <is>
          <t>Purchased</t>
        </is>
      </c>
      <c r="O13" s="6" t="inlineStr">
        <is>
          <t>Available</t>
        </is>
      </c>
      <c r="P13" s="8" t="n">
        <v>46016</v>
      </c>
      <c r="Q13" s="7" t="n"/>
      <c r="R13" s="9" t="n"/>
      <c r="S13" s="10">
        <f>IF($C13="","",$I13*$R13)</f>
        <v/>
      </c>
      <c r="T13" s="10">
        <f>IF($C13="","",(IF($N13="Purchased",$H13,0)+$Q13))</f>
        <v/>
      </c>
      <c r="U13" s="10">
        <f>IF($C13="","",$S13-$T13)</f>
        <v/>
      </c>
      <c r="V13" s="11">
        <f>IF(OR($C13="",$I13=0),"",CEILING($T13/$I13,1))</f>
        <v/>
      </c>
      <c r="W13" s="6" t="n"/>
      <c r="X13">
        <f>IF(C13="","",LOWER(SUBSTITUTE(SUBSTITUTE(C13," ","-"),"'",""))&amp;".jpg")</f>
        <v/>
      </c>
      <c r="Y13">
        <f>IF(X13="","","/inventory/"&amp;X13)</f>
        <v/>
      </c>
      <c r="Z13">
        <f>IF(O13="Available","available",IF(OR(O13="Rented",O13="Cleaning",O13="Repair"),"unavailable",IF(O13="Retired","unavailable","")))</f>
        <v/>
      </c>
    </row>
    <row r="14" ht="150" customHeight="1">
      <c r="A14" t="inlineStr">
        <is>
          <t>W013</t>
        </is>
      </c>
      <c r="B14" s="6" t="inlineStr">
        <is>
          <t xml:space="preserve">PSU 2nd and 3rd quarter </t>
        </is>
      </c>
      <c r="C14" s="51" t="inlineStr">
        <is>
          <t>Men's Faux Shearling-Lined Denim Shirt Jacket</t>
        </is>
      </c>
      <c r="D14" s="25" t="inlineStr">
        <is>
          <t>Jacket</t>
        </is>
      </c>
      <c r="E14" s="17" t="inlineStr">
        <is>
          <t>https://assets.eddiebauer.com/match/mName/D0340916_488C1/13401910?preset=199</t>
        </is>
      </c>
      <c r="F14" s="19">
        <f>IF(E14="","",_xlfn.IMAGE(E14))</f>
        <v/>
      </c>
      <c r="G14" s="17" t="inlineStr">
        <is>
          <t>file:///Users/benjamindavenport/Downloads/Men's%20Faux%20Shearling-lined%20Denim%20Shirt%20Jacket%20_%20Eddie%20Bauer.mhtml</t>
        </is>
      </c>
      <c r="H14" s="39" t="n">
        <v>64</v>
      </c>
      <c r="I14" s="7" t="n"/>
      <c r="J14" s="25" t="inlineStr">
        <is>
          <t>New</t>
        </is>
      </c>
      <c r="K14" s="28" t="n"/>
      <c r="L14" s="6" t="n"/>
      <c r="M14" s="6" t="inlineStr">
        <is>
          <t>edd</t>
        </is>
      </c>
      <c r="N14" s="6" t="n"/>
      <c r="O14" s="6" t="n"/>
      <c r="P14" s="8" t="n"/>
      <c r="Q14" s="7" t="n"/>
      <c r="R14" s="9" t="n"/>
      <c r="S14" s="10">
        <f>IF($C14="","",$I14*$R14)</f>
        <v/>
      </c>
      <c r="T14" s="10">
        <f>IF($C14="","",(IF($N14="Purchased",$H14,0)+$Q14))</f>
        <v/>
      </c>
      <c r="U14" s="10">
        <f>IF($C14="","",$S14-$T14)</f>
        <v/>
      </c>
      <c r="V14" s="11">
        <f>IF(OR($C14="",$I14=0),"",CEILING($T14/$I14,1))</f>
        <v/>
      </c>
      <c r="W14" s="6" t="n"/>
      <c r="X14">
        <f>IF(C14="","",LOWER(SUBSTITUTE(SUBSTITUTE(C14," ","-"),"'",""))&amp;".jpg")</f>
        <v/>
      </c>
      <c r="Y14">
        <f>IF(X14="","","/inventory/"&amp;X14)</f>
        <v/>
      </c>
      <c r="Z14">
        <f>IF(O14="Available","available",IF(OR(O14="Rented",O14="Cleaning",O14="Repair"),"unavailable",IF(O14="Retired","unavailable","")))</f>
        <v/>
      </c>
    </row>
    <row r="15" ht="150" customHeight="1">
      <c r="A15" t="inlineStr">
        <is>
          <t>W014</t>
        </is>
      </c>
      <c r="B15" s="6" t="inlineStr">
        <is>
          <t>The Deacon’s Suitcase move in</t>
        </is>
      </c>
      <c r="C15" s="50" t="inlineStr">
        <is>
          <t>Aurora Performance Long-Sleeve T-Shirt</t>
        </is>
      </c>
      <c r="D15" s="25" t="inlineStr">
        <is>
          <t>Long Sleeve</t>
        </is>
      </c>
      <c r="E15" s="20" t="inlineStr">
        <is>
          <t>https://www.petermillar.com/dw/image/v2/BHFJ_PRD/on/demandware.static/-/Sites-pm-master-catalog/default/dw27e059e8/ME0EK301_BLK_ALT_A.jpg?sw=880&amp;sh=990&amp;fmt=webp</t>
        </is>
      </c>
      <c r="F15" s="19">
        <f>IF(E15="","",_xlfn.IMAGE(E15))</f>
        <v/>
      </c>
      <c r="G15" s="17" t="inlineStr">
        <is>
          <t>https://www.petermillar.com/p/aurora-performance-long-sleeve-t-shirt/me0ek301.html?dwvar_me0ek301_color=BLK</t>
        </is>
      </c>
      <c r="H15" s="39" t="n"/>
      <c r="I15" s="7" t="n"/>
      <c r="J15" s="25" t="n"/>
      <c r="K15" s="28" t="n"/>
      <c r="L15" s="6" t="n"/>
      <c r="M15" s="6" t="n"/>
      <c r="N15" s="6" t="n"/>
      <c r="O15" s="6" t="n"/>
      <c r="P15" s="8" t="n"/>
      <c r="Q15" s="7" t="n"/>
      <c r="R15" s="9" t="n"/>
      <c r="S15" s="10">
        <f>IF($C15="","",$I15*$R15)</f>
        <v/>
      </c>
      <c r="T15" s="10">
        <f>IF($C15="","",(IF($N15="Purchased",$H15,0)+$Q15))</f>
        <v/>
      </c>
      <c r="U15" s="10">
        <f>IF($C15="","",$S15-$T15)</f>
        <v/>
      </c>
      <c r="V15" s="11">
        <f>IF(OR($C15="",$I15=0),"",CEILING($T15/$I15,1))</f>
        <v/>
      </c>
      <c r="W15" s="6" t="n"/>
      <c r="X15">
        <f>IF(C15="","",LOWER(SUBSTITUTE(SUBSTITUTE(C15," ","-"),"'",""))&amp;".jpg")</f>
        <v/>
      </c>
      <c r="Y15">
        <f>IF(X15="","","/inventory/"&amp;X15)</f>
        <v/>
      </c>
      <c r="Z15">
        <f>IF(O15="Available","available",IF(OR(O15="Rented",O15="Cleaning",O15="Repair"),"unavailable",IF(O15="Retired","unavailable","")))</f>
        <v/>
      </c>
    </row>
    <row r="16" ht="150" customHeight="1">
      <c r="A16" t="inlineStr">
        <is>
          <t>W015</t>
        </is>
      </c>
      <c r="B16" s="6" t="inlineStr">
        <is>
          <t xml:space="preserve">PSU 2nd and 3rd quarter </t>
        </is>
      </c>
      <c r="C16" s="47" t="inlineStr">
        <is>
          <t>Summit Fleece Full-Zip</t>
        </is>
      </c>
      <c r="D16" s="25" t="inlineStr">
        <is>
          <t>Fleece Full-Zip</t>
        </is>
      </c>
      <c r="E16" s="17" t="inlineStr">
        <is>
          <t>https://cdn.shopify.com/s/files/1/1366/9275/files/SOLID_FLEET_NAVY_SUMMIT_FLEECE_FULL-ZIP_MFJA_1.jpg?v=1759861875&amp;width=1800&amp;height=1800&amp;crop=center</t>
        </is>
      </c>
      <c r="F16" s="19">
        <f>IF(E16="","",_xlfn.IMAGE(E16))</f>
        <v/>
      </c>
      <c r="G16" s="17" t="inlineStr">
        <is>
          <t>https://rhoback.com/products/mens-tops-summit-fleece-full-zip-solid-fleet-navy?Color=Fleet+Navy&amp;Size=S</t>
        </is>
      </c>
      <c r="H16" s="39" t="n"/>
      <c r="I16" s="7" t="n"/>
      <c r="J16" s="25" t="n"/>
      <c r="K16" s="28" t="n"/>
      <c r="L16" s="6" t="n"/>
      <c r="M16" s="6" t="n"/>
      <c r="N16" s="6" t="n"/>
      <c r="O16" s="6" t="n"/>
      <c r="P16" s="8" t="n"/>
      <c r="Q16" s="7" t="n"/>
      <c r="R16" s="9" t="n"/>
      <c r="S16" s="10">
        <f>IF($C16="","",$I16*$R16)</f>
        <v/>
      </c>
      <c r="T16" s="10">
        <f>IF($C16="","",(IF($N16="Purchased",$H16,0)+$Q16))</f>
        <v/>
      </c>
      <c r="U16" s="10">
        <f>IF($C16="","",$S16-$T16)</f>
        <v/>
      </c>
      <c r="V16" s="11">
        <f>IF(OR($C16="",$I16=0),"",CEILING($T16/$I16,1))</f>
        <v/>
      </c>
      <c r="W16" s="6" t="n"/>
      <c r="X16">
        <f>IF(C16="","",LOWER(SUBSTITUTE(SUBSTITUTE(C16," ","-"),"'",""))&amp;".jpg")</f>
        <v/>
      </c>
      <c r="Y16">
        <f>IF(X16="","","/inventory/"&amp;X16)</f>
        <v/>
      </c>
      <c r="Z16">
        <f>IF(O16="Available","available",IF(OR(O16="Rented",O16="Cleaning",O16="Repair"),"unavailable",IF(O16="Retired","unavailable","")))</f>
        <v/>
      </c>
    </row>
    <row r="17" ht="150" customHeight="1">
      <c r="A17" t="inlineStr">
        <is>
          <t>W016</t>
        </is>
      </c>
      <c r="B17" s="6" t="n"/>
      <c r="C17" s="21" t="n"/>
      <c r="D17" s="25" t="n"/>
      <c r="E17" s="17" t="n"/>
      <c r="F17" s="19">
        <f>IF(E17="","",_xlfn.IMAGE(E17))</f>
        <v/>
      </c>
      <c r="G17" s="17" t="n"/>
      <c r="H17" s="39" t="n"/>
      <c r="I17" s="7" t="n"/>
      <c r="J17" s="25" t="n"/>
      <c r="K17" s="28" t="n"/>
      <c r="L17" s="6" t="n"/>
      <c r="M17" s="6" t="n"/>
      <c r="N17" s="6" t="n"/>
      <c r="O17" s="6" t="n"/>
      <c r="P17" s="8" t="n"/>
      <c r="Q17" s="7" t="n"/>
      <c r="R17" s="9" t="n"/>
      <c r="S17" s="10">
        <f>IF($C17="","",$I17*$R17)</f>
        <v/>
      </c>
      <c r="T17" s="10">
        <f>IF($C17="","",(IF($N17="Purchased",$H17,0)+$Q17))</f>
        <v/>
      </c>
      <c r="U17" s="10">
        <f>IF($C17="","",$S17-$T17)</f>
        <v/>
      </c>
      <c r="V17" s="11">
        <f>IF(OR($C17="",$I17=0),"",CEILING($T17/$I17,1))</f>
        <v/>
      </c>
      <c r="W17" s="6" t="n"/>
      <c r="X17">
        <f>IF(C17="","",LOWER(SUBSTITUTE(SUBSTITUTE(C17," ","-"),"'",""))&amp;".jpg")</f>
        <v/>
      </c>
      <c r="Y17">
        <f>IF(X17="","","/inventory/"&amp;X17)</f>
        <v/>
      </c>
      <c r="Z17">
        <f>IF(O17="Available","available",IF(OR(O17="Rented",O17="Cleaning",O17="Repair"),"unavailable",IF(O17="Retired","unavailable","")))</f>
        <v/>
      </c>
    </row>
    <row r="18" ht="150" customHeight="1">
      <c r="A18" t="inlineStr">
        <is>
          <t>W017</t>
        </is>
      </c>
      <c r="B18" s="6" t="n"/>
      <c r="C18" s="21" t="n"/>
      <c r="D18" s="25" t="n"/>
      <c r="E18" s="17" t="n"/>
      <c r="F18" s="19">
        <f>IF(E18="","",_xlfn.IMAGE(E18))</f>
        <v/>
      </c>
      <c r="G18" s="17" t="n"/>
      <c r="H18" s="39" t="n"/>
      <c r="I18" s="7" t="n"/>
      <c r="J18" s="25" t="n"/>
      <c r="K18" s="28" t="n"/>
      <c r="L18" s="6" t="n"/>
      <c r="M18" s="6" t="n"/>
      <c r="N18" s="6" t="n"/>
      <c r="O18" s="6" t="n"/>
      <c r="P18" s="8" t="n"/>
      <c r="Q18" s="7" t="n"/>
      <c r="R18" s="9" t="n"/>
      <c r="S18" s="10">
        <f>IF($C18="","",$I18*$R18)</f>
        <v/>
      </c>
      <c r="T18" s="10">
        <f>IF($C18="","",(IF($N18="Purchased",$H18,0)+$Q18))</f>
        <v/>
      </c>
      <c r="U18" s="10">
        <f>IF($C18="","",$S18-$T18)</f>
        <v/>
      </c>
      <c r="V18" s="11">
        <f>IF(OR($C18="",$I18=0),"",CEILING($T18/$I18,1))</f>
        <v/>
      </c>
      <c r="W18" s="6" t="n"/>
      <c r="X18">
        <f>IF(C18="","",LOWER(SUBSTITUTE(SUBSTITUTE(C18," ","-"),"'",""))&amp;".jpg")</f>
        <v/>
      </c>
      <c r="Y18">
        <f>IF(X18="","","/inventory/"&amp;X18)</f>
        <v/>
      </c>
      <c r="Z18">
        <f>IF(O18="Available","available",IF(OR(O18="Rented",O18="Cleaning",O18="Repair"),"unavailable",IF(O18="Retired","unavailable","")))</f>
        <v/>
      </c>
    </row>
    <row r="19" ht="150" customHeight="1">
      <c r="A19" t="inlineStr">
        <is>
          <t>W018</t>
        </is>
      </c>
      <c r="B19" s="6" t="n"/>
      <c r="C19" s="21" t="n"/>
      <c r="D19" s="25" t="n"/>
      <c r="E19" s="17" t="n"/>
      <c r="F19" s="19">
        <f>IF(E19="","",_xlfn.IMAGE(E19))</f>
        <v/>
      </c>
      <c r="G19" s="17" t="n"/>
      <c r="H19" s="39" t="n"/>
      <c r="I19" s="7" t="n"/>
      <c r="J19" s="25" t="n"/>
      <c r="K19" s="28" t="n"/>
      <c r="L19" s="6" t="n"/>
      <c r="M19" s="6" t="n"/>
      <c r="N19" s="6" t="n"/>
      <c r="O19" s="6" t="n"/>
      <c r="P19" s="8" t="n"/>
      <c r="Q19" s="7" t="n"/>
      <c r="R19" s="9" t="n"/>
      <c r="S19" s="10">
        <f>IF($C19="","",$I19*$R19)</f>
        <v/>
      </c>
      <c r="T19" s="10">
        <f>IF($C19="","",(IF($N19="Purchased",$H19,0)+$Q19))</f>
        <v/>
      </c>
      <c r="U19" s="10">
        <f>IF($C19="","",$S19-$T19)</f>
        <v/>
      </c>
      <c r="V19" s="11">
        <f>IF(OR($C19="",$I19=0),"",CEILING($T19/$I19,1))</f>
        <v/>
      </c>
      <c r="W19" s="6" t="n"/>
      <c r="X19">
        <f>IF(C19="","",LOWER(SUBSTITUTE(SUBSTITUTE(C19," ","-"),"'",""))&amp;".jpg")</f>
        <v/>
      </c>
      <c r="Y19">
        <f>IF(X19="","","/inventory/"&amp;X19)</f>
        <v/>
      </c>
      <c r="Z19">
        <f>IF(O19="Available","available",IF(OR(O19="Rented",O19="Cleaning",O19="Repair"),"unavailable",IF(O19="Retired","unavailable","")))</f>
        <v/>
      </c>
    </row>
    <row r="20" ht="150" customHeight="1">
      <c r="A20" t="inlineStr">
        <is>
          <t>W019</t>
        </is>
      </c>
      <c r="B20" s="6" t="n"/>
      <c r="C20" s="21" t="n"/>
      <c r="D20" s="25" t="n"/>
      <c r="E20" s="17" t="n"/>
      <c r="F20" s="19">
        <f>IF(E20="","",_xlfn.IMAGE(E20))</f>
        <v/>
      </c>
      <c r="G20" s="17" t="n"/>
      <c r="H20" s="39" t="n"/>
      <c r="I20" s="7" t="n"/>
      <c r="J20" s="25" t="n"/>
      <c r="K20" s="28" t="n"/>
      <c r="L20" s="6" t="n"/>
      <c r="M20" s="6" t="n"/>
      <c r="N20" s="6" t="n"/>
      <c r="O20" s="6" t="n"/>
      <c r="P20" s="8" t="n"/>
      <c r="Q20" s="7" t="n"/>
      <c r="R20" s="9" t="n"/>
      <c r="S20" s="10">
        <f>IF($C20="","",$I20*$R20)</f>
        <v/>
      </c>
      <c r="T20" s="10">
        <f>IF($C20="","",(IF($N20="Purchased",$H20,0)+$Q20))</f>
        <v/>
      </c>
      <c r="U20" s="10">
        <f>IF($C20="","",$S20-$T20)</f>
        <v/>
      </c>
      <c r="V20" s="11">
        <f>IF(OR($C20="",$I20=0),"",CEILING($T20/$I20,1))</f>
        <v/>
      </c>
      <c r="W20" s="6" t="n"/>
      <c r="X20">
        <f>IF(C20="","",LOWER(SUBSTITUTE(SUBSTITUTE(C20," ","-"),"'",""))&amp;".jpg")</f>
        <v/>
      </c>
      <c r="Y20">
        <f>IF(X20="","","/inventory/"&amp;X20)</f>
        <v/>
      </c>
      <c r="Z20">
        <f>IF(O20="Available","available",IF(OR(O20="Rented",O20="Cleaning",O20="Repair"),"unavailable",IF(O20="Retired","unavailable","")))</f>
        <v/>
      </c>
    </row>
    <row r="21" ht="150" customHeight="1">
      <c r="A21" t="inlineStr">
        <is>
          <t>W020</t>
        </is>
      </c>
      <c r="B21" s="6" t="n"/>
      <c r="C21" s="21" t="n"/>
      <c r="D21" s="25" t="n"/>
      <c r="E21" s="17" t="n"/>
      <c r="F21" s="19">
        <f>IF(E21="","",_xlfn.IMAGE(E21))</f>
        <v/>
      </c>
      <c r="G21" s="17" t="n"/>
      <c r="H21" s="39" t="n"/>
      <c r="I21" s="7" t="n"/>
      <c r="J21" s="25" t="n"/>
      <c r="K21" s="28" t="n"/>
      <c r="L21" s="6" t="n"/>
      <c r="M21" s="6" t="n"/>
      <c r="N21" s="6" t="n"/>
      <c r="O21" s="6" t="n"/>
      <c r="P21" s="8" t="n"/>
      <c r="Q21" s="7" t="n"/>
      <c r="R21" s="9" t="n"/>
      <c r="S21" s="10">
        <f>IF($C21="","",$I21*$R21)</f>
        <v/>
      </c>
      <c r="T21" s="10">
        <f>IF($C21="","",(IF($N21="Purchased",$H21,0)+$Q21))</f>
        <v/>
      </c>
      <c r="U21" s="10">
        <f>IF($C21="","",$S21-$T21)</f>
        <v/>
      </c>
      <c r="V21" s="11">
        <f>IF(OR($C21="",$I21=0),"",CEILING($T21/$I21,1))</f>
        <v/>
      </c>
      <c r="W21" s="6" t="n"/>
      <c r="X21">
        <f>IF(C21="","",LOWER(SUBSTITUTE(SUBSTITUTE(C21," ","-"),"'",""))&amp;".jpg")</f>
        <v/>
      </c>
      <c r="Y21">
        <f>IF(X21="","","/inventory/"&amp;X21)</f>
        <v/>
      </c>
      <c r="Z21">
        <f>IF(O21="Available","available",IF(OR(O21="Rented",O21="Cleaning",O21="Repair"),"unavailable",IF(O21="Retired","unavailable","")))</f>
        <v/>
      </c>
    </row>
    <row r="22" ht="150" customHeight="1">
      <c r="A22" t="inlineStr">
        <is>
          <t>W021</t>
        </is>
      </c>
      <c r="B22" s="6" t="n"/>
      <c r="C22" s="21" t="n"/>
      <c r="D22" s="25" t="n"/>
      <c r="E22" s="17" t="n"/>
      <c r="F22" s="19">
        <f>IF(E22="","",_xlfn.IMAGE(E22))</f>
        <v/>
      </c>
      <c r="G22" s="17" t="n"/>
      <c r="H22" s="39" t="n"/>
      <c r="I22" s="7" t="n"/>
      <c r="J22" s="25" t="n"/>
      <c r="K22" s="28" t="n"/>
      <c r="L22" s="6" t="n"/>
      <c r="M22" s="6" t="n"/>
      <c r="N22" s="6" t="n"/>
      <c r="O22" s="6" t="n"/>
      <c r="P22" s="8" t="n"/>
      <c r="Q22" s="7" t="n"/>
      <c r="R22" s="9" t="n"/>
      <c r="S22" s="10">
        <f>IF($C22="","",$I22*$R22)</f>
        <v/>
      </c>
      <c r="T22" s="10">
        <f>IF($C22="","",(IF($N22="Purchased",$H22,0)+$Q22))</f>
        <v/>
      </c>
      <c r="U22" s="10">
        <f>IF($C22="","",$S22-$T22)</f>
        <v/>
      </c>
      <c r="V22" s="11">
        <f>IF(OR($C22="",$I22=0),"",CEILING($T22/$I22,1))</f>
        <v/>
      </c>
      <c r="W22" s="6" t="n"/>
      <c r="X22">
        <f>IF(C22="","",LOWER(SUBSTITUTE(SUBSTITUTE(C22," ","-"),"'",""))&amp;".jpg")</f>
        <v/>
      </c>
      <c r="Y22">
        <f>IF(X22="","","/inventory/"&amp;X22)</f>
        <v/>
      </c>
      <c r="Z22">
        <f>IF(O22="Available","available",IF(OR(O22="Rented",O22="Cleaning",O22="Repair"),"unavailable",IF(O22="Retired","unavailable","")))</f>
        <v/>
      </c>
    </row>
    <row r="23" ht="150" customHeight="1">
      <c r="A23" t="inlineStr">
        <is>
          <t>W022</t>
        </is>
      </c>
      <c r="B23" s="6" t="n"/>
      <c r="C23" s="21" t="n"/>
      <c r="D23" s="25" t="n"/>
      <c r="E23" s="6" t="n"/>
      <c r="F23" s="19">
        <f>IF(E23="","",_xlfn.IMAGE(E23))</f>
        <v/>
      </c>
      <c r="G23" s="17" t="n"/>
      <c r="H23" s="39" t="n"/>
      <c r="I23" s="7" t="n"/>
      <c r="J23" s="25" t="n"/>
      <c r="K23" s="28" t="n"/>
      <c r="L23" s="6" t="n"/>
      <c r="M23" s="6" t="n"/>
      <c r="N23" s="6" t="n"/>
      <c r="O23" s="6" t="n"/>
      <c r="P23" s="8" t="n"/>
      <c r="Q23" s="7" t="n"/>
      <c r="R23" s="9" t="n"/>
      <c r="S23" s="10">
        <f>IF($C23="","",$I23*$R23)</f>
        <v/>
      </c>
      <c r="T23" s="10">
        <f>IF($C23="","",(IF($N23="Purchased",$H23,0)+$Q23))</f>
        <v/>
      </c>
      <c r="U23" s="10">
        <f>IF($C23="","",$S23-$T23)</f>
        <v/>
      </c>
      <c r="V23" s="11">
        <f>IF(OR($C23="",$I23=0),"",CEILING($T23/$I23,1))</f>
        <v/>
      </c>
      <c r="W23" s="6" t="n"/>
      <c r="X23">
        <f>IF(C23="","",LOWER(SUBSTITUTE(SUBSTITUTE(C23," ","-"),"'",""))&amp;".jpg")</f>
        <v/>
      </c>
      <c r="Y23">
        <f>IF(X23="","","/inventory/"&amp;X23)</f>
        <v/>
      </c>
      <c r="Z23">
        <f>IF(O23="Available","available",IF(OR(O23="Rented",O23="Cleaning",O23="Repair"),"unavailable",IF(O23="Retired","unavailable","")))</f>
        <v/>
      </c>
    </row>
    <row r="24" ht="150" customHeight="1">
      <c r="A24" t="inlineStr">
        <is>
          <t>W023</t>
        </is>
      </c>
      <c r="B24" s="6" t="n"/>
      <c r="C24" s="21" t="n"/>
      <c r="D24" s="25" t="n"/>
      <c r="E24" s="6" t="n"/>
      <c r="F24" s="19">
        <f>IF(E24="","",_xlfn.IMAGE(E24))</f>
        <v/>
      </c>
      <c r="G24" s="17" t="n"/>
      <c r="H24" s="39" t="n"/>
      <c r="I24" s="7" t="n"/>
      <c r="J24" s="25" t="n"/>
      <c r="K24" s="28" t="n"/>
      <c r="L24" s="6" t="n"/>
      <c r="M24" s="6" t="n"/>
      <c r="N24" s="6" t="n"/>
      <c r="O24" s="6" t="n"/>
      <c r="P24" s="8" t="n"/>
      <c r="Q24" s="7" t="n"/>
      <c r="R24" s="9" t="n"/>
      <c r="S24" s="10">
        <f>IF($C24="","",$I24*$R24)</f>
        <v/>
      </c>
      <c r="T24" s="10">
        <f>IF($C24="","",(IF($N24="Purchased",$H24,0)+$Q24))</f>
        <v/>
      </c>
      <c r="U24" s="10">
        <f>IF($C24="","",$S24-$T24)</f>
        <v/>
      </c>
      <c r="V24" s="11">
        <f>IF(OR($C24="",$I24=0),"",CEILING($T24/$I24,1))</f>
        <v/>
      </c>
      <c r="W24" s="6" t="n"/>
      <c r="X24">
        <f>IF(C24="","",LOWER(SUBSTITUTE(SUBSTITUTE(C24," ","-"),"'",""))&amp;".jpg")</f>
        <v/>
      </c>
      <c r="Y24">
        <f>IF(X24="","","/inventory/"&amp;X24)</f>
        <v/>
      </c>
      <c r="Z24">
        <f>IF(O24="Available","available",IF(OR(O24="Rented",O24="Cleaning",O24="Repair"),"unavailable",IF(O24="Retired","unavailable","")))</f>
        <v/>
      </c>
    </row>
    <row r="25" ht="150" customHeight="1">
      <c r="A25" t="inlineStr">
        <is>
          <t>W024</t>
        </is>
      </c>
      <c r="B25" s="6" t="n"/>
      <c r="C25" s="21" t="n"/>
      <c r="D25" s="25" t="n"/>
      <c r="E25" s="6" t="n"/>
      <c r="F25" s="19">
        <f>IF(E25="","",_xlfn.IMAGE(E25))</f>
        <v/>
      </c>
      <c r="G25" s="17" t="n"/>
      <c r="H25" s="39" t="n"/>
      <c r="I25" s="7" t="n"/>
      <c r="J25" s="25" t="n"/>
      <c r="K25" s="28" t="n"/>
      <c r="L25" s="6" t="n"/>
      <c r="M25" s="6" t="n"/>
      <c r="N25" s="6" t="n"/>
      <c r="O25" s="6" t="n"/>
      <c r="P25" s="8" t="n"/>
      <c r="Q25" s="7" t="n"/>
      <c r="R25" s="9" t="n"/>
      <c r="S25" s="10">
        <f>IF($C25="","",$I25*$R25)</f>
        <v/>
      </c>
      <c r="T25" s="10">
        <f>IF($C25="","",(IF($N25="Purchased",$H25,0)+$Q25))</f>
        <v/>
      </c>
      <c r="U25" s="10">
        <f>IF($C25="","",$S25-$T25)</f>
        <v/>
      </c>
      <c r="V25" s="11">
        <f>IF(OR($C25="",$I25=0),"",CEILING($T25/$I25,1))</f>
        <v/>
      </c>
      <c r="W25" s="6" t="n"/>
      <c r="X25">
        <f>IF(C25="","",LOWER(SUBSTITUTE(SUBSTITUTE(C25," ","-"),"'",""))&amp;".jpg")</f>
        <v/>
      </c>
      <c r="Y25">
        <f>IF(X25="","","/inventory/"&amp;X25)</f>
        <v/>
      </c>
      <c r="Z25">
        <f>IF(O25="Available","available",IF(OR(O25="Rented",O25="Cleaning",O25="Repair"),"unavailable",IF(O25="Retired","unavailable","")))</f>
        <v/>
      </c>
    </row>
    <row r="26" ht="150" customHeight="1">
      <c r="A26" t="inlineStr">
        <is>
          <t>W025</t>
        </is>
      </c>
      <c r="B26" s="6" t="n"/>
      <c r="C26" s="21" t="n"/>
      <c r="D26" s="25" t="n"/>
      <c r="E26" s="6" t="n"/>
      <c r="F26" s="19">
        <f>IF(E26="","",_xlfn.IMAGE(E26))</f>
        <v/>
      </c>
      <c r="G26" s="17" t="n"/>
      <c r="H26" s="39" t="n"/>
      <c r="I26" s="7" t="n"/>
      <c r="J26" s="25" t="n"/>
      <c r="K26" s="28" t="n"/>
      <c r="L26" s="6" t="n"/>
      <c r="M26" s="6" t="n"/>
      <c r="N26" s="6" t="n"/>
      <c r="O26" s="6" t="n"/>
      <c r="P26" s="8" t="n"/>
      <c r="Q26" s="7" t="n"/>
      <c r="R26" s="9" t="n"/>
      <c r="S26" s="10">
        <f>IF($C26="","",$I26*$R26)</f>
        <v/>
      </c>
      <c r="T26" s="10">
        <f>IF($C26="","",(IF($N26="Purchased",$H26,0)+$Q26))</f>
        <v/>
      </c>
      <c r="U26" s="10">
        <f>IF($C26="","",$S26-$T26)</f>
        <v/>
      </c>
      <c r="V26" s="11">
        <f>IF(OR($C26="",$I26=0),"",CEILING($T26/$I26,1))</f>
        <v/>
      </c>
      <c r="W26" s="6" t="n"/>
      <c r="X26">
        <f>IF(C26="","",LOWER(SUBSTITUTE(SUBSTITUTE(C26," ","-"),"'",""))&amp;".jpg")</f>
        <v/>
      </c>
      <c r="Y26">
        <f>IF(X26="","","/inventory/"&amp;X26)</f>
        <v/>
      </c>
      <c r="Z26">
        <f>IF(O26="Available","available",IF(OR(O26="Rented",O26="Cleaning",O26="Repair"),"unavailable",IF(O26="Retired","unavailable","")))</f>
        <v/>
      </c>
    </row>
    <row r="27" ht="150" customHeight="1">
      <c r="A27" t="inlineStr">
        <is>
          <t>W026</t>
        </is>
      </c>
      <c r="B27" s="6" t="n"/>
      <c r="C27" s="21" t="n"/>
      <c r="D27" s="25" t="n"/>
      <c r="E27" s="6" t="n"/>
      <c r="F27" s="19">
        <f>IF(E27="","",_xlfn.IMAGE(E27))</f>
        <v/>
      </c>
      <c r="G27" s="17" t="n"/>
      <c r="H27" s="39" t="n"/>
      <c r="I27" s="7" t="n"/>
      <c r="J27" s="25" t="n"/>
      <c r="K27" s="28" t="n"/>
      <c r="L27" s="6" t="n"/>
      <c r="M27" s="6" t="n"/>
      <c r="N27" s="6" t="n"/>
      <c r="O27" s="6" t="n"/>
      <c r="P27" s="8" t="n"/>
      <c r="Q27" s="7" t="n"/>
      <c r="R27" s="9" t="n"/>
      <c r="S27" s="10">
        <f>IF($C27="","",$I27*$R27)</f>
        <v/>
      </c>
      <c r="T27" s="10">
        <f>IF($C27="","",(IF($N27="Purchased",$H27,0)+$Q27))</f>
        <v/>
      </c>
      <c r="U27" s="10">
        <f>IF($C27="","",$S27-$T27)</f>
        <v/>
      </c>
      <c r="V27" s="11">
        <f>IF(OR($C27="",$I27=0),"",CEILING($T27/$I27,1))</f>
        <v/>
      </c>
      <c r="W27" s="6" t="n"/>
      <c r="X27">
        <f>IF(C27="","",LOWER(SUBSTITUTE(SUBSTITUTE(C27," ","-"),"'",""))&amp;".jpg")</f>
        <v/>
      </c>
      <c r="Y27">
        <f>IF(X27="","","/inventory/"&amp;X27)</f>
        <v/>
      </c>
      <c r="Z27">
        <f>IF(O27="Available","available",IF(OR(O27="Rented",O27="Cleaning",O27="Repair"),"unavailable",IF(O27="Retired","unavailable","")))</f>
        <v/>
      </c>
    </row>
    <row r="28" ht="150" customHeight="1">
      <c r="A28" t="inlineStr">
        <is>
          <t>W027</t>
        </is>
      </c>
      <c r="B28" s="6" t="n"/>
      <c r="C28" s="21" t="n"/>
      <c r="D28" s="25" t="n"/>
      <c r="E28" s="6" t="n"/>
      <c r="F28" s="19">
        <f>IF(E28="","",_xlfn.IMAGE(E28))</f>
        <v/>
      </c>
      <c r="G28" s="17" t="n"/>
      <c r="H28" s="39" t="n"/>
      <c r="I28" s="7" t="n"/>
      <c r="J28" s="25" t="n"/>
      <c r="K28" s="28" t="n"/>
      <c r="L28" s="6" t="n"/>
      <c r="M28" s="6" t="n"/>
      <c r="N28" s="6" t="n"/>
      <c r="O28" s="6" t="n"/>
      <c r="P28" s="8" t="n"/>
      <c r="Q28" s="7" t="n"/>
      <c r="R28" s="9" t="n"/>
      <c r="S28" s="10">
        <f>IF($C28="","",$I28*$R28)</f>
        <v/>
      </c>
      <c r="T28" s="10">
        <f>IF($C28="","",(IF($N28="Purchased",$H28,0)+$Q28))</f>
        <v/>
      </c>
      <c r="U28" s="10">
        <f>IF($C28="","",$S28-$T28)</f>
        <v/>
      </c>
      <c r="V28" s="11">
        <f>IF(OR($C28="",$I28=0),"",CEILING($T28/$I28,1))</f>
        <v/>
      </c>
      <c r="W28" s="6" t="n"/>
      <c r="X28">
        <f>IF(C28="","",LOWER(SUBSTITUTE(SUBSTITUTE(C28," ","-"),"'",""))&amp;".jpg")</f>
        <v/>
      </c>
      <c r="Y28">
        <f>IF(X28="","","/inventory/"&amp;X28)</f>
        <v/>
      </c>
      <c r="Z28">
        <f>IF(O28="Available","available",IF(OR(O28="Rented",O28="Cleaning",O28="Repair"),"unavailable",IF(O28="Retired","unavailable","")))</f>
        <v/>
      </c>
    </row>
    <row r="29" ht="150" customHeight="1">
      <c r="A29" t="inlineStr">
        <is>
          <t>W028</t>
        </is>
      </c>
      <c r="B29" s="6" t="n"/>
      <c r="C29" s="21" t="n"/>
      <c r="D29" s="25" t="n"/>
      <c r="E29" s="6" t="n"/>
      <c r="F29" s="19">
        <f>IF(E29="","",_xlfn.IMAGE(E29))</f>
        <v/>
      </c>
      <c r="G29" s="17" t="n"/>
      <c r="H29" s="39" t="n"/>
      <c r="I29" s="7" t="n"/>
      <c r="J29" s="25" t="n"/>
      <c r="K29" s="28" t="n"/>
      <c r="L29" s="6" t="n"/>
      <c r="M29" s="6" t="n"/>
      <c r="N29" s="6" t="n"/>
      <c r="O29" s="6" t="n"/>
      <c r="P29" s="8" t="n"/>
      <c r="Q29" s="7" t="n"/>
      <c r="R29" s="9" t="n"/>
      <c r="S29" s="10">
        <f>IF($C29="","",$I29*$R29)</f>
        <v/>
      </c>
      <c r="T29" s="10">
        <f>IF($C29="","",(IF($N29="Purchased",$H29,0)+$Q29))</f>
        <v/>
      </c>
      <c r="U29" s="10">
        <f>IF($C29="","",$S29-$T29)</f>
        <v/>
      </c>
      <c r="V29" s="11">
        <f>IF(OR($C29="",$I29=0),"",CEILING($T29/$I29,1))</f>
        <v/>
      </c>
      <c r="W29" s="6" t="n"/>
      <c r="X29">
        <f>IF(C29="","",LOWER(SUBSTITUTE(SUBSTITUTE(C29," ","-"),"'",""))&amp;".jpg")</f>
        <v/>
      </c>
      <c r="Y29">
        <f>IF(X29="","","/inventory/"&amp;X29)</f>
        <v/>
      </c>
      <c r="Z29">
        <f>IF(O29="Available","available",IF(OR(O29="Rented",O29="Cleaning",O29="Repair"),"unavailable",IF(O29="Retired","unavailable","")))</f>
        <v/>
      </c>
    </row>
    <row r="30" ht="150" customHeight="1">
      <c r="A30" t="inlineStr">
        <is>
          <t>W029</t>
        </is>
      </c>
      <c r="B30" s="6" t="n"/>
      <c r="C30" s="21" t="n"/>
      <c r="D30" s="25" t="n"/>
      <c r="E30" s="6" t="n"/>
      <c r="F30" s="19">
        <f>IF(E30="","",_xlfn.IMAGE(E30))</f>
        <v/>
      </c>
      <c r="G30" s="17" t="n"/>
      <c r="H30" s="39" t="n"/>
      <c r="I30" s="7" t="n"/>
      <c r="J30" s="25" t="n"/>
      <c r="K30" s="28" t="n"/>
      <c r="L30" s="6" t="n"/>
      <c r="M30" s="6" t="n"/>
      <c r="N30" s="6" t="n"/>
      <c r="O30" s="6" t="n"/>
      <c r="P30" s="8" t="n"/>
      <c r="Q30" s="7" t="n"/>
      <c r="R30" s="9" t="n"/>
      <c r="S30" s="10">
        <f>IF($C30="","",$I30*$R30)</f>
        <v/>
      </c>
      <c r="T30" s="10">
        <f>IF($C30="","",(IF($N30="Purchased",$H30,0)+$Q30))</f>
        <v/>
      </c>
      <c r="U30" s="10">
        <f>IF($C30="","",$S30-$T30)</f>
        <v/>
      </c>
      <c r="V30" s="11">
        <f>IF(OR($C30="",$I30=0),"",CEILING($T30/$I30,1))</f>
        <v/>
      </c>
      <c r="W30" s="6" t="n"/>
      <c r="X30">
        <f>IF(C30="","",LOWER(SUBSTITUTE(SUBSTITUTE(C30," ","-"),"'",""))&amp;".jpg")</f>
        <v/>
      </c>
      <c r="Y30">
        <f>IF(X30="","","/inventory/"&amp;X30)</f>
        <v/>
      </c>
      <c r="Z30">
        <f>IF(O30="Available","available",IF(OR(O30="Rented",O30="Cleaning",O30="Repair"),"unavailable",IF(O30="Retired","unavailable","")))</f>
        <v/>
      </c>
    </row>
    <row r="31" ht="150" customHeight="1">
      <c r="A31" t="inlineStr">
        <is>
          <t>W030</t>
        </is>
      </c>
      <c r="B31" s="6" t="n"/>
      <c r="C31" s="21" t="n"/>
      <c r="D31" s="25" t="n"/>
      <c r="E31" s="6" t="n"/>
      <c r="F31" s="19">
        <f>IF(E31="","",_xlfn.IMAGE(E31))</f>
        <v/>
      </c>
      <c r="G31" s="17" t="n"/>
      <c r="H31" s="39" t="n"/>
      <c r="I31" s="7" t="n"/>
      <c r="J31" s="25" t="n"/>
      <c r="K31" s="28" t="n"/>
      <c r="L31" s="6" t="n"/>
      <c r="M31" s="6" t="n"/>
      <c r="N31" s="6" t="n"/>
      <c r="O31" s="6" t="n"/>
      <c r="P31" s="8" t="n"/>
      <c r="Q31" s="7" t="n"/>
      <c r="R31" s="9" t="n"/>
      <c r="S31" s="10">
        <f>IF($C31="","",$I31*$R31)</f>
        <v/>
      </c>
      <c r="T31" s="10">
        <f>IF($C31="","",(IF($N31="Purchased",$H31,0)+$Q31))</f>
        <v/>
      </c>
      <c r="U31" s="10">
        <f>IF($C31="","",$S31-$T31)</f>
        <v/>
      </c>
      <c r="V31" s="11">
        <f>IF(OR($C31="",$I31=0),"",CEILING($T31/$I31,1))</f>
        <v/>
      </c>
      <c r="W31" s="6" t="n"/>
      <c r="X31">
        <f>IF(C31="","",LOWER(SUBSTITUTE(SUBSTITUTE(C31," ","-"),"'",""))&amp;".jpg")</f>
        <v/>
      </c>
      <c r="Y31">
        <f>IF(X31="","","/inventory/"&amp;X31)</f>
        <v/>
      </c>
      <c r="Z31">
        <f>IF(O31="Available","available",IF(OR(O31="Rented",O31="Cleaning",O31="Repair"),"unavailable",IF(O31="Retired","unavailable","")))</f>
        <v/>
      </c>
    </row>
    <row r="32" ht="150" customHeight="1">
      <c r="A32" t="inlineStr">
        <is>
          <t>W031</t>
        </is>
      </c>
      <c r="B32" s="6" t="n"/>
      <c r="C32" s="21" t="n"/>
      <c r="D32" s="25" t="n"/>
      <c r="E32" s="6" t="n"/>
      <c r="F32" s="19">
        <f>IF(E32="","",_xlfn.IMAGE(E32))</f>
        <v/>
      </c>
      <c r="G32" s="17" t="n"/>
      <c r="H32" s="39" t="n"/>
      <c r="I32" s="7" t="n"/>
      <c r="J32" s="25" t="n"/>
      <c r="K32" s="28" t="n"/>
      <c r="L32" s="6" t="n"/>
      <c r="M32" s="6" t="n"/>
      <c r="N32" s="6" t="n"/>
      <c r="O32" s="6" t="n"/>
      <c r="P32" s="8" t="n"/>
      <c r="Q32" s="7" t="n"/>
      <c r="R32" s="9" t="n"/>
      <c r="S32" s="10">
        <f>IF($C32="","",$I32*$R32)</f>
        <v/>
      </c>
      <c r="T32" s="10">
        <f>IF($C32="","",(IF($N32="Purchased",$H32,0)+$Q32))</f>
        <v/>
      </c>
      <c r="U32" s="10">
        <f>IF($C32="","",$S32-$T32)</f>
        <v/>
      </c>
      <c r="V32" s="11">
        <f>IF(OR($C32="",$I32=0),"",CEILING($T32/$I32,1))</f>
        <v/>
      </c>
      <c r="W32" s="6" t="n"/>
      <c r="X32">
        <f>IF(C32="","",LOWER(SUBSTITUTE(SUBSTITUTE(C32," ","-"),"'",""))&amp;".jpg")</f>
        <v/>
      </c>
      <c r="Y32">
        <f>IF(X32="","","/inventory/"&amp;X32)</f>
        <v/>
      </c>
      <c r="Z32">
        <f>IF(O32="Available","available",IF(OR(O32="Rented",O32="Cleaning",O32="Repair"),"unavailable",IF(O32="Retired","unavailable","")))</f>
        <v/>
      </c>
    </row>
    <row r="33" ht="150" customHeight="1">
      <c r="A33" t="inlineStr">
        <is>
          <t>W032</t>
        </is>
      </c>
      <c r="B33" s="6" t="n"/>
      <c r="C33" s="21" t="n"/>
      <c r="D33" s="25" t="n"/>
      <c r="E33" s="6" t="n"/>
      <c r="F33" s="19">
        <f>IF(E33="","",_xlfn.IMAGE(E33))</f>
        <v/>
      </c>
      <c r="G33" s="17" t="n"/>
      <c r="H33" s="39" t="n"/>
      <c r="I33" s="7" t="n"/>
      <c r="J33" s="25" t="n"/>
      <c r="K33" s="28" t="n"/>
      <c r="L33" s="6" t="n"/>
      <c r="M33" s="6" t="n"/>
      <c r="N33" s="6" t="n"/>
      <c r="O33" s="6" t="n"/>
      <c r="P33" s="8" t="n"/>
      <c r="Q33" s="7" t="n"/>
      <c r="R33" s="9" t="n"/>
      <c r="S33" s="10">
        <f>IF($C33="","",$I33*$R33)</f>
        <v/>
      </c>
      <c r="T33" s="10">
        <f>IF($C33="","",(IF($N33="Purchased",$H33,0)+$Q33))</f>
        <v/>
      </c>
      <c r="U33" s="10">
        <f>IF($C33="","",$S33-$T33)</f>
        <v/>
      </c>
      <c r="V33" s="11">
        <f>IF(OR($C33="",$I33=0),"",CEILING($T33/$I33,1))</f>
        <v/>
      </c>
      <c r="W33" s="6" t="n"/>
      <c r="X33">
        <f>IF(C33="","",LOWER(SUBSTITUTE(SUBSTITUTE(C33," ","-"),"'",""))&amp;".jpg")</f>
        <v/>
      </c>
      <c r="Y33">
        <f>IF(X33="","","/inventory/"&amp;X33)</f>
        <v/>
      </c>
      <c r="Z33">
        <f>IF(O33="Available","available",IF(OR(O33="Rented",O33="Cleaning",O33="Repair"),"unavailable",IF(O33="Retired","unavailable","")))</f>
        <v/>
      </c>
    </row>
    <row r="34" ht="150" customHeight="1">
      <c r="A34" t="inlineStr">
        <is>
          <t>W033</t>
        </is>
      </c>
      <c r="B34" s="6" t="n"/>
      <c r="C34" s="21" t="n"/>
      <c r="D34" s="25" t="n"/>
      <c r="E34" s="6" t="n"/>
      <c r="F34" s="19">
        <f>IF(E34="","",_xlfn.IMAGE(E34))</f>
        <v/>
      </c>
      <c r="G34" s="17" t="n"/>
      <c r="H34" s="39" t="n"/>
      <c r="I34" s="7" t="n"/>
      <c r="J34" s="25" t="n"/>
      <c r="K34" s="28" t="n"/>
      <c r="L34" s="6" t="n"/>
      <c r="M34" s="6" t="n"/>
      <c r="N34" s="6" t="n"/>
      <c r="O34" s="6" t="n"/>
      <c r="P34" s="8" t="n"/>
      <c r="Q34" s="7" t="n"/>
      <c r="R34" s="9" t="n"/>
      <c r="S34" s="10">
        <f>IF($C34="","",$I34*$R34)</f>
        <v/>
      </c>
      <c r="T34" s="10">
        <f>IF($C34="","",(IF($N34="Purchased",$H34,0)+$Q34))</f>
        <v/>
      </c>
      <c r="U34" s="10">
        <f>IF($C34="","",$S34-$T34)</f>
        <v/>
      </c>
      <c r="V34" s="11">
        <f>IF(OR($C34="",$I34=0),"",CEILING($T34/$I34,1))</f>
        <v/>
      </c>
      <c r="W34" s="6" t="n"/>
      <c r="X34">
        <f>IF(C34="","",LOWER(SUBSTITUTE(SUBSTITUTE(C34," ","-"),"'",""))&amp;".jpg")</f>
        <v/>
      </c>
      <c r="Y34">
        <f>IF(X34="","","/inventory/"&amp;X34)</f>
        <v/>
      </c>
      <c r="Z34">
        <f>IF(O34="Available","available",IF(OR(O34="Rented",O34="Cleaning",O34="Repair"),"unavailable",IF(O34="Retired","unavailable","")))</f>
        <v/>
      </c>
    </row>
    <row r="35" ht="150" customHeight="1">
      <c r="A35" t="inlineStr">
        <is>
          <t>W034</t>
        </is>
      </c>
      <c r="B35" s="6" t="n"/>
      <c r="C35" s="21" t="n"/>
      <c r="D35" s="25" t="n"/>
      <c r="E35" s="6" t="n"/>
      <c r="F35" s="19">
        <f>IF(E35="","",_xlfn.IMAGE(E35))</f>
        <v/>
      </c>
      <c r="G35" s="17" t="n"/>
      <c r="H35" s="39" t="n"/>
      <c r="I35" s="7" t="n"/>
      <c r="J35" s="25" t="n"/>
      <c r="K35" s="28" t="n"/>
      <c r="L35" s="6" t="n"/>
      <c r="M35" s="6" t="n"/>
      <c r="N35" s="6" t="n"/>
      <c r="O35" s="6" t="n"/>
      <c r="P35" s="8" t="n"/>
      <c r="Q35" s="7" t="n"/>
      <c r="R35" s="9" t="n"/>
      <c r="S35" s="10">
        <f>IF($C35="","",$I35*$R35)</f>
        <v/>
      </c>
      <c r="T35" s="10">
        <f>IF($C35="","",(IF($N35="Purchased",$H35,0)+$Q35))</f>
        <v/>
      </c>
      <c r="U35" s="10">
        <f>IF($C35="","",$S35-$T35)</f>
        <v/>
      </c>
      <c r="V35" s="11">
        <f>IF(OR($C35="",$I35=0),"",CEILING($T35/$I35,1))</f>
        <v/>
      </c>
      <c r="W35" s="6" t="n"/>
      <c r="X35">
        <f>IF(C35="","",LOWER(SUBSTITUTE(SUBSTITUTE(C35," ","-"),"'",""))&amp;".jpg")</f>
        <v/>
      </c>
      <c r="Y35">
        <f>IF(X35="","","/inventory/"&amp;X35)</f>
        <v/>
      </c>
      <c r="Z35">
        <f>IF(O35="Available","available",IF(OR(O35="Rented",O35="Cleaning",O35="Repair"),"unavailable",IF(O35="Retired","unavailable","")))</f>
        <v/>
      </c>
    </row>
    <row r="36" ht="150" customHeight="1">
      <c r="A36" t="inlineStr">
        <is>
          <t>W035</t>
        </is>
      </c>
      <c r="B36" s="6" t="n"/>
      <c r="C36" s="21" t="n"/>
      <c r="D36" s="25" t="n"/>
      <c r="E36" s="6" t="n"/>
      <c r="F36" s="19">
        <f>IF(E36="","",_xlfn.IMAGE(E36))</f>
        <v/>
      </c>
      <c r="G36" s="17" t="n"/>
      <c r="H36" s="39" t="n"/>
      <c r="I36" s="7" t="n"/>
      <c r="J36" s="25" t="n"/>
      <c r="K36" s="28" t="n"/>
      <c r="L36" s="6" t="n"/>
      <c r="M36" s="6" t="n"/>
      <c r="N36" s="6" t="n"/>
      <c r="O36" s="6" t="n"/>
      <c r="P36" s="8" t="n"/>
      <c r="Q36" s="7" t="n"/>
      <c r="R36" s="9" t="n"/>
      <c r="S36" s="10">
        <f>IF($C36="","",$I36*$R36)</f>
        <v/>
      </c>
      <c r="T36" s="10">
        <f>IF($C36="","",(IF($N36="Purchased",$H36,0)+$Q36))</f>
        <v/>
      </c>
      <c r="U36" s="10">
        <f>IF($C36="","",$S36-$T36)</f>
        <v/>
      </c>
      <c r="V36" s="11">
        <f>IF(OR($C36="",$I36=0),"",CEILING($T36/$I36,1))</f>
        <v/>
      </c>
      <c r="W36" s="6" t="n"/>
      <c r="X36">
        <f>IF(C36="","",LOWER(SUBSTITUTE(SUBSTITUTE(C36," ","-"),"'",""))&amp;".jpg")</f>
        <v/>
      </c>
      <c r="Y36">
        <f>IF(X36="","","/inventory/"&amp;X36)</f>
        <v/>
      </c>
      <c r="Z36">
        <f>IF(O36="Available","available",IF(OR(O36="Rented",O36="Cleaning",O36="Repair"),"unavailable",IF(O36="Retired","unavailable","")))</f>
        <v/>
      </c>
    </row>
    <row r="37" ht="150" customHeight="1">
      <c r="A37" t="inlineStr">
        <is>
          <t>W036</t>
        </is>
      </c>
      <c r="B37" s="6" t="n"/>
      <c r="C37" s="21" t="n"/>
      <c r="D37" s="25" t="n"/>
      <c r="E37" s="6" t="n"/>
      <c r="F37" s="19">
        <f>IF(E37="","",_xlfn.IMAGE(E37))</f>
        <v/>
      </c>
      <c r="G37" s="17" t="n"/>
      <c r="H37" s="39" t="n"/>
      <c r="I37" s="7" t="n"/>
      <c r="J37" s="25" t="n"/>
      <c r="K37" s="28" t="n"/>
      <c r="L37" s="6" t="n"/>
      <c r="M37" s="6" t="n"/>
      <c r="N37" s="6" t="n"/>
      <c r="O37" s="6" t="n"/>
      <c r="P37" s="8" t="n"/>
      <c r="Q37" s="7" t="n"/>
      <c r="R37" s="9" t="n"/>
      <c r="S37" s="10">
        <f>IF($C37="","",$I37*$R37)</f>
        <v/>
      </c>
      <c r="T37" s="10">
        <f>IF($C37="","",(IF($N37="Purchased",$H37,0)+$Q37))</f>
        <v/>
      </c>
      <c r="U37" s="10">
        <f>IF($C37="","",$S37-$T37)</f>
        <v/>
      </c>
      <c r="V37" s="11">
        <f>IF(OR($C37="",$I37=0),"",CEILING($T37/$I37,1))</f>
        <v/>
      </c>
      <c r="W37" s="6" t="n"/>
      <c r="X37">
        <f>IF(C37="","",LOWER(SUBSTITUTE(SUBSTITUTE(C37," ","-"),"'",""))&amp;".jpg")</f>
        <v/>
      </c>
      <c r="Y37">
        <f>IF(X37="","","/inventory/"&amp;X37)</f>
        <v/>
      </c>
      <c r="Z37">
        <f>IF(O37="Available","available",IF(OR(O37="Rented",O37="Cleaning",O37="Repair"),"unavailable",IF(O37="Retired","unavailable","")))</f>
        <v/>
      </c>
    </row>
    <row r="38" ht="150" customHeight="1">
      <c r="A38" t="inlineStr">
        <is>
          <t>W037</t>
        </is>
      </c>
      <c r="B38" s="6" t="n"/>
      <c r="C38" s="21" t="n"/>
      <c r="D38" s="25" t="n"/>
      <c r="E38" s="6" t="n"/>
      <c r="F38" s="19">
        <f>IF(E38="","",_xlfn.IMAGE(E38))</f>
        <v/>
      </c>
      <c r="G38" s="17" t="n"/>
      <c r="H38" s="39" t="n"/>
      <c r="I38" s="7" t="n"/>
      <c r="J38" s="25" t="n"/>
      <c r="K38" s="28" t="n"/>
      <c r="L38" s="6" t="n"/>
      <c r="M38" s="6" t="n"/>
      <c r="N38" s="6" t="n"/>
      <c r="O38" s="6" t="n"/>
      <c r="P38" s="8" t="n"/>
      <c r="Q38" s="7" t="n"/>
      <c r="R38" s="9" t="n"/>
      <c r="S38" s="10">
        <f>IF($C38="","",$I38*$R38)</f>
        <v/>
      </c>
      <c r="T38" s="10">
        <f>IF($C38="","",(IF($N38="Purchased",$H38,0)+$Q38))</f>
        <v/>
      </c>
      <c r="U38" s="10">
        <f>IF($C38="","",$S38-$T38)</f>
        <v/>
      </c>
      <c r="V38" s="11">
        <f>IF(OR($C38="",$I38=0),"",CEILING($T38/$I38,1))</f>
        <v/>
      </c>
      <c r="W38" s="6" t="n"/>
      <c r="X38">
        <f>IF(C38="","",LOWER(SUBSTITUTE(SUBSTITUTE(C38," ","-"),"'",""))&amp;".jpg")</f>
        <v/>
      </c>
      <c r="Y38">
        <f>IF(X38="","","/inventory/"&amp;X38)</f>
        <v/>
      </c>
      <c r="Z38">
        <f>IF(O38="Available","available",IF(OR(O38="Rented",O38="Cleaning",O38="Repair"),"unavailable",IF(O38="Retired","unavailable","")))</f>
        <v/>
      </c>
    </row>
    <row r="39" ht="150" customHeight="1">
      <c r="A39" t="inlineStr">
        <is>
          <t>W038</t>
        </is>
      </c>
      <c r="B39" s="6" t="n"/>
      <c r="C39" s="21" t="n"/>
      <c r="D39" s="25" t="n"/>
      <c r="E39" s="6" t="n"/>
      <c r="F39" s="19">
        <f>IF(E39="","",_xlfn.IMAGE(E39))</f>
        <v/>
      </c>
      <c r="G39" s="17" t="n"/>
      <c r="H39" s="39" t="n"/>
      <c r="I39" s="7" t="n"/>
      <c r="J39" s="25" t="n"/>
      <c r="K39" s="28" t="n"/>
      <c r="L39" s="6" t="n"/>
      <c r="M39" s="6" t="n"/>
      <c r="N39" s="6" t="n"/>
      <c r="O39" s="6" t="n"/>
      <c r="P39" s="8" t="n"/>
      <c r="Q39" s="7" t="n"/>
      <c r="R39" s="9" t="n"/>
      <c r="S39" s="10">
        <f>IF($C39="","",$I39*$R39)</f>
        <v/>
      </c>
      <c r="T39" s="10">
        <f>IF($C39="","",(IF($N39="Purchased",$H39,0)+$Q39))</f>
        <v/>
      </c>
      <c r="U39" s="10">
        <f>IF($C39="","",$S39-$T39)</f>
        <v/>
      </c>
      <c r="V39" s="11">
        <f>IF(OR($C39="",$I39=0),"",CEILING($T39/$I39,1))</f>
        <v/>
      </c>
      <c r="W39" s="6" t="n"/>
      <c r="X39">
        <f>IF(C39="","",LOWER(SUBSTITUTE(SUBSTITUTE(C39," ","-"),"'",""))&amp;".jpg")</f>
        <v/>
      </c>
      <c r="Y39">
        <f>IF(X39="","","/inventory/"&amp;X39)</f>
        <v/>
      </c>
      <c r="Z39">
        <f>IF(O39="Available","available",IF(OR(O39="Rented",O39="Cleaning",O39="Repair"),"unavailable",IF(O39="Retired","unavailable","")))</f>
        <v/>
      </c>
    </row>
    <row r="40" ht="150" customHeight="1">
      <c r="A40" t="inlineStr">
        <is>
          <t>W039</t>
        </is>
      </c>
      <c r="B40" s="6" t="n"/>
      <c r="C40" s="21" t="n"/>
      <c r="D40" s="25" t="n"/>
      <c r="E40" s="6" t="n"/>
      <c r="F40" s="19">
        <f>IF(E40="","",_xlfn.IMAGE(E40))</f>
        <v/>
      </c>
      <c r="G40" s="17" t="n"/>
      <c r="H40" s="39" t="n"/>
      <c r="I40" s="7" t="n"/>
      <c r="J40" s="25" t="n"/>
      <c r="K40" s="28" t="n"/>
      <c r="L40" s="6" t="n"/>
      <c r="M40" s="6" t="n"/>
      <c r="N40" s="6" t="n"/>
      <c r="O40" s="6" t="n"/>
      <c r="P40" s="8" t="n"/>
      <c r="Q40" s="7" t="n"/>
      <c r="R40" s="9" t="n"/>
      <c r="S40" s="10">
        <f>IF($C40="","",$I40*$R40)</f>
        <v/>
      </c>
      <c r="T40" s="10">
        <f>IF($C40="","",(IF($N40="Purchased",$H40,0)+$Q40))</f>
        <v/>
      </c>
      <c r="U40" s="10">
        <f>IF($C40="","",$S40-$T40)</f>
        <v/>
      </c>
      <c r="V40" s="11">
        <f>IF(OR($C40="",$I40=0),"",CEILING($T40/$I40,1))</f>
        <v/>
      </c>
      <c r="W40" s="6" t="n"/>
      <c r="X40">
        <f>IF(C40="","",LOWER(SUBSTITUTE(SUBSTITUTE(C40," ","-"),"'",""))&amp;".jpg")</f>
        <v/>
      </c>
      <c r="Y40">
        <f>IF(X40="","","/inventory/"&amp;X40)</f>
        <v/>
      </c>
      <c r="Z40">
        <f>IF(O40="Available","available",IF(OR(O40="Rented",O40="Cleaning",O40="Repair"),"unavailable",IF(O40="Retired","unavailable","")))</f>
        <v/>
      </c>
    </row>
    <row r="41" ht="150" customHeight="1">
      <c r="A41" t="inlineStr">
        <is>
          <t>W040</t>
        </is>
      </c>
      <c r="B41" s="6" t="n"/>
      <c r="C41" s="21" t="n"/>
      <c r="D41" s="25" t="n"/>
      <c r="E41" s="6" t="n"/>
      <c r="F41" s="19">
        <f>IF(E41="","",_xlfn.IMAGE(E41))</f>
        <v/>
      </c>
      <c r="G41" s="17" t="n"/>
      <c r="H41" s="39" t="n"/>
      <c r="I41" s="7" t="n"/>
      <c r="J41" s="25" t="n"/>
      <c r="K41" s="28" t="n"/>
      <c r="L41" s="6" t="n"/>
      <c r="M41" s="6" t="n"/>
      <c r="N41" s="6" t="n"/>
      <c r="O41" s="6" t="n"/>
      <c r="P41" s="8" t="n"/>
      <c r="Q41" s="7" t="n"/>
      <c r="R41" s="9" t="n"/>
      <c r="S41" s="10">
        <f>IF($C41="","",$I41*$R41)</f>
        <v/>
      </c>
      <c r="T41" s="10">
        <f>IF($C41="","",(IF($N41="Purchased",$H41,0)+$Q41))</f>
        <v/>
      </c>
      <c r="U41" s="10">
        <f>IF($C41="","",$S41-$T41)</f>
        <v/>
      </c>
      <c r="V41" s="11">
        <f>IF(OR($C41="",$I41=0),"",CEILING($T41/$I41,1))</f>
        <v/>
      </c>
      <c r="W41" s="6" t="n"/>
      <c r="X41">
        <f>IF(C41="","",LOWER(SUBSTITUTE(SUBSTITUTE(C41," ","-"),"'",""))&amp;".jpg")</f>
        <v/>
      </c>
      <c r="Y41">
        <f>IF(X41="","","/inventory/"&amp;X41)</f>
        <v/>
      </c>
      <c r="Z41">
        <f>IF(O41="Available","available",IF(OR(O41="Rented",O41="Cleaning",O41="Repair"),"unavailable",IF(O41="Retired","unavailable","")))</f>
        <v/>
      </c>
    </row>
    <row r="42" ht="150" customHeight="1">
      <c r="A42" t="inlineStr">
        <is>
          <t>W041</t>
        </is>
      </c>
      <c r="B42" s="6" t="n"/>
      <c r="C42" s="21" t="n"/>
      <c r="D42" s="25" t="n"/>
      <c r="E42" s="6" t="n"/>
      <c r="F42" s="19">
        <f>IF(E42="","",_xlfn.IMAGE(E42))</f>
        <v/>
      </c>
      <c r="G42" s="17" t="n"/>
      <c r="H42" s="39" t="n"/>
      <c r="I42" s="7" t="n"/>
      <c r="J42" s="25" t="n"/>
      <c r="K42" s="28" t="n"/>
      <c r="L42" s="6" t="n"/>
      <c r="M42" s="6" t="n"/>
      <c r="N42" s="6" t="n"/>
      <c r="O42" s="6" t="n"/>
      <c r="P42" s="8" t="n"/>
      <c r="Q42" s="7" t="n"/>
      <c r="R42" s="9" t="n"/>
      <c r="S42" s="10">
        <f>IF($C42="","",$I42*$R42)</f>
        <v/>
      </c>
      <c r="T42" s="10">
        <f>IF($C42="","",(IF($N42="Purchased",$H42,0)+$Q42))</f>
        <v/>
      </c>
      <c r="U42" s="10">
        <f>IF($C42="","",$S42-$T42)</f>
        <v/>
      </c>
      <c r="V42" s="11">
        <f>IF(OR($C42="",$I42=0),"",CEILING($T42/$I42,1))</f>
        <v/>
      </c>
      <c r="W42" s="6" t="n"/>
      <c r="X42">
        <f>IF(C42="","",LOWER(SUBSTITUTE(SUBSTITUTE(C42," ","-"),"'",""))&amp;".jpg")</f>
        <v/>
      </c>
      <c r="Y42">
        <f>IF(X42="","","/inventory/"&amp;X42)</f>
        <v/>
      </c>
      <c r="Z42">
        <f>IF(O42="Available","available",IF(OR(O42="Rented",O42="Cleaning",O42="Repair"),"unavailable",IF(O42="Retired","unavailable","")))</f>
        <v/>
      </c>
    </row>
    <row r="43" ht="150" customHeight="1">
      <c r="A43" t="inlineStr">
        <is>
          <t>W042</t>
        </is>
      </c>
      <c r="B43" s="6" t="n"/>
      <c r="C43" s="21" t="n"/>
      <c r="D43" s="25" t="n"/>
      <c r="E43" s="6" t="n"/>
      <c r="F43" s="19">
        <f>IF(E43="","",_xlfn.IMAGE(E43))</f>
        <v/>
      </c>
      <c r="G43" s="17" t="n"/>
      <c r="H43" s="39" t="n"/>
      <c r="I43" s="7" t="n"/>
      <c r="J43" s="25" t="n"/>
      <c r="K43" s="28" t="n"/>
      <c r="L43" s="6" t="n"/>
      <c r="M43" s="6" t="n"/>
      <c r="N43" s="6" t="n"/>
      <c r="O43" s="6" t="n"/>
      <c r="P43" s="8" t="n"/>
      <c r="Q43" s="7" t="n"/>
      <c r="R43" s="9" t="n"/>
      <c r="S43" s="10">
        <f>IF($C43="","",$I43*$R43)</f>
        <v/>
      </c>
      <c r="T43" s="10">
        <f>IF($C43="","",(IF($N43="Purchased",$H43,0)+$Q43))</f>
        <v/>
      </c>
      <c r="U43" s="10">
        <f>IF($C43="","",$S43-$T43)</f>
        <v/>
      </c>
      <c r="V43" s="11">
        <f>IF(OR($C43="",$I43=0),"",CEILING($T43/$I43,1))</f>
        <v/>
      </c>
      <c r="W43" s="6" t="n"/>
      <c r="X43">
        <f>IF(C43="","",LOWER(SUBSTITUTE(SUBSTITUTE(C43," ","-"),"'",""))&amp;".jpg")</f>
        <v/>
      </c>
      <c r="Y43">
        <f>IF(X43="","","/inventory/"&amp;X43)</f>
        <v/>
      </c>
      <c r="Z43">
        <f>IF(O43="Available","available",IF(OR(O43="Rented",O43="Cleaning",O43="Repair"),"unavailable",IF(O43="Retired","unavailable","")))</f>
        <v/>
      </c>
    </row>
    <row r="44" ht="150" customHeight="1">
      <c r="A44" t="inlineStr">
        <is>
          <t>W043</t>
        </is>
      </c>
      <c r="B44" s="6" t="n"/>
      <c r="C44" s="21" t="n"/>
      <c r="D44" s="25" t="n"/>
      <c r="E44" s="6" t="n"/>
      <c r="F44" s="19">
        <f>IF(E44="","",_xlfn.IMAGE(E44))</f>
        <v/>
      </c>
      <c r="G44" s="17" t="n"/>
      <c r="H44" s="39" t="n"/>
      <c r="I44" s="7" t="n"/>
      <c r="J44" s="25" t="n"/>
      <c r="K44" s="28" t="n"/>
      <c r="L44" s="6" t="n"/>
      <c r="M44" s="6" t="n"/>
      <c r="N44" s="6" t="n"/>
      <c r="O44" s="6" t="n"/>
      <c r="P44" s="8" t="n"/>
      <c r="Q44" s="7" t="n"/>
      <c r="R44" s="9" t="n"/>
      <c r="S44" s="10">
        <f>IF($C44="","",$I44*$R44)</f>
        <v/>
      </c>
      <c r="T44" s="10">
        <f>IF($C44="","",(IF($N44="Purchased",$H44,0)+$Q44))</f>
        <v/>
      </c>
      <c r="U44" s="10">
        <f>IF($C44="","",$S44-$T44)</f>
        <v/>
      </c>
      <c r="V44" s="11">
        <f>IF(OR($C44="",$I44=0),"",CEILING($T44/$I44,1))</f>
        <v/>
      </c>
      <c r="W44" s="6" t="n"/>
      <c r="X44">
        <f>IF(C44="","",LOWER(SUBSTITUTE(SUBSTITUTE(C44," ","-"),"'",""))&amp;".jpg")</f>
        <v/>
      </c>
      <c r="Y44">
        <f>IF(X44="","","/inventory/"&amp;X44)</f>
        <v/>
      </c>
      <c r="Z44">
        <f>IF(O44="Available","available",IF(OR(O44="Rented",O44="Cleaning",O44="Repair"),"unavailable",IF(O44="Retired","unavailable","")))</f>
        <v/>
      </c>
    </row>
    <row r="45" ht="150" customHeight="1">
      <c r="A45" t="inlineStr">
        <is>
          <t>W044</t>
        </is>
      </c>
      <c r="B45" s="6" t="n"/>
      <c r="C45" s="21" t="n"/>
      <c r="D45" s="25" t="n"/>
      <c r="E45" s="6" t="n"/>
      <c r="F45" s="19">
        <f>IF(E45="","",_xlfn.IMAGE(E45))</f>
        <v/>
      </c>
      <c r="G45" s="17" t="n"/>
      <c r="H45" s="39" t="n"/>
      <c r="I45" s="7" t="n"/>
      <c r="J45" s="25" t="n"/>
      <c r="K45" s="28" t="n"/>
      <c r="L45" s="6" t="n"/>
      <c r="M45" s="6" t="n"/>
      <c r="N45" s="6" t="n"/>
      <c r="O45" s="6" t="n"/>
      <c r="P45" s="8" t="n"/>
      <c r="Q45" s="7" t="n"/>
      <c r="R45" s="9" t="n"/>
      <c r="S45" s="10">
        <f>IF($C45="","",$I45*$R45)</f>
        <v/>
      </c>
      <c r="T45" s="10">
        <f>IF($C45="","",(IF($N45="Purchased",$H45,0)+$Q45))</f>
        <v/>
      </c>
      <c r="U45" s="10">
        <f>IF($C45="","",$S45-$T45)</f>
        <v/>
      </c>
      <c r="V45" s="11">
        <f>IF(OR($C45="",$I45=0),"",CEILING($T45/$I45,1))</f>
        <v/>
      </c>
      <c r="W45" s="6" t="n"/>
      <c r="X45">
        <f>IF(C45="","",LOWER(SUBSTITUTE(SUBSTITUTE(C45," ","-"),"'",""))&amp;".jpg")</f>
        <v/>
      </c>
      <c r="Y45">
        <f>IF(X45="","","/inventory/"&amp;X45)</f>
        <v/>
      </c>
      <c r="Z45">
        <f>IF(O45="Available","available",IF(OR(O45="Rented",O45="Cleaning",O45="Repair"),"unavailable",IF(O45="Retired","unavailable","")))</f>
        <v/>
      </c>
    </row>
    <row r="46" ht="150" customHeight="1">
      <c r="A46" t="inlineStr">
        <is>
          <t>W045</t>
        </is>
      </c>
      <c r="B46" s="6" t="n"/>
      <c r="C46" s="21" t="n"/>
      <c r="D46" s="25" t="n"/>
      <c r="E46" s="6" t="n"/>
      <c r="F46" s="19">
        <f>IF(E46="","",_xlfn.IMAGE(E46))</f>
        <v/>
      </c>
      <c r="G46" s="17" t="n"/>
      <c r="H46" s="39" t="n"/>
      <c r="I46" s="7" t="n"/>
      <c r="J46" s="25" t="n"/>
      <c r="K46" s="28" t="n"/>
      <c r="L46" s="6" t="n"/>
      <c r="M46" s="6" t="n"/>
      <c r="N46" s="6" t="n"/>
      <c r="O46" s="6" t="n"/>
      <c r="P46" s="8" t="n"/>
      <c r="Q46" s="7" t="n"/>
      <c r="R46" s="9" t="n"/>
      <c r="S46" s="10">
        <f>IF($C46="","",$I46*$R46)</f>
        <v/>
      </c>
      <c r="T46" s="10">
        <f>IF($C46="","",(IF($N46="Purchased",$H46,0)+$Q46))</f>
        <v/>
      </c>
      <c r="U46" s="10">
        <f>IF($C46="","",$S46-$T46)</f>
        <v/>
      </c>
      <c r="V46" s="11">
        <f>IF(OR($C46="",$I46=0),"",CEILING($T46/$I46,1))</f>
        <v/>
      </c>
      <c r="W46" s="6" t="n"/>
      <c r="X46">
        <f>IF(C46="","",LOWER(SUBSTITUTE(SUBSTITUTE(C46," ","-"),"'",""))&amp;".jpg")</f>
        <v/>
      </c>
      <c r="Y46">
        <f>IF(X46="","","/inventory/"&amp;X46)</f>
        <v/>
      </c>
      <c r="Z46">
        <f>IF(O46="Available","available",IF(OR(O46="Rented",O46="Cleaning",O46="Repair"),"unavailable",IF(O46="Retired","unavailable","")))</f>
        <v/>
      </c>
    </row>
    <row r="47" ht="150" customHeight="1">
      <c r="A47" t="inlineStr">
        <is>
          <t>W046</t>
        </is>
      </c>
      <c r="B47" s="6" t="n"/>
      <c r="C47" s="21" t="n"/>
      <c r="D47" s="25" t="n"/>
      <c r="E47" s="6" t="n"/>
      <c r="F47" s="19">
        <f>IF(E47="","",_xlfn.IMAGE(E47))</f>
        <v/>
      </c>
      <c r="G47" s="17" t="n"/>
      <c r="H47" s="39" t="n"/>
      <c r="I47" s="7" t="n"/>
      <c r="J47" s="25" t="n"/>
      <c r="K47" s="28" t="n"/>
      <c r="L47" s="6" t="n"/>
      <c r="M47" s="6" t="n"/>
      <c r="N47" s="6" t="n"/>
      <c r="O47" s="6" t="n"/>
      <c r="P47" s="8" t="n"/>
      <c r="Q47" s="7" t="n"/>
      <c r="R47" s="9" t="n"/>
      <c r="S47" s="10">
        <f>IF($C47="","",$I47*$R47)</f>
        <v/>
      </c>
      <c r="T47" s="10">
        <f>IF($C47="","",(IF($N47="Purchased",$H47,0)+$Q47))</f>
        <v/>
      </c>
      <c r="U47" s="10">
        <f>IF($C47="","",$S47-$T47)</f>
        <v/>
      </c>
      <c r="V47" s="11">
        <f>IF(OR($C47="",$I47=0),"",CEILING($T47/$I47,1))</f>
        <v/>
      </c>
      <c r="W47" s="6" t="n"/>
      <c r="X47">
        <f>IF(C47="","",LOWER(SUBSTITUTE(SUBSTITUTE(C47," ","-"),"'",""))&amp;".jpg")</f>
        <v/>
      </c>
      <c r="Y47">
        <f>IF(X47="","","/inventory/"&amp;X47)</f>
        <v/>
      </c>
      <c r="Z47">
        <f>IF(O47="Available","available",IF(OR(O47="Rented",O47="Cleaning",O47="Repair"),"unavailable",IF(O47="Retired","unavailable","")))</f>
        <v/>
      </c>
    </row>
    <row r="48" ht="150" customHeight="1">
      <c r="A48" t="inlineStr">
        <is>
          <t>W047</t>
        </is>
      </c>
      <c r="B48" s="6" t="n"/>
      <c r="C48" s="21" t="n"/>
      <c r="D48" s="25" t="n"/>
      <c r="E48" s="6" t="n"/>
      <c r="F48" s="19">
        <f>IF(E48="","",_xlfn.IMAGE(E48))</f>
        <v/>
      </c>
      <c r="G48" s="17" t="n"/>
      <c r="H48" s="39" t="n"/>
      <c r="I48" s="7" t="n"/>
      <c r="J48" s="25" t="n"/>
      <c r="K48" s="28" t="n"/>
      <c r="L48" s="6" t="n"/>
      <c r="M48" s="6" t="n"/>
      <c r="N48" s="6" t="n"/>
      <c r="O48" s="6" t="n"/>
      <c r="P48" s="8" t="n"/>
      <c r="Q48" s="7" t="n"/>
      <c r="R48" s="9" t="n"/>
      <c r="S48" s="10">
        <f>IF($C48="","",$I48*$R48)</f>
        <v/>
      </c>
      <c r="T48" s="10">
        <f>IF($C48="","",(IF($N48="Purchased",$H48,0)+$Q48))</f>
        <v/>
      </c>
      <c r="U48" s="10">
        <f>IF($C48="","",$S48-$T48)</f>
        <v/>
      </c>
      <c r="V48" s="11">
        <f>IF(OR($C48="",$I48=0),"",CEILING($T48/$I48,1))</f>
        <v/>
      </c>
      <c r="W48" s="6" t="n"/>
      <c r="X48">
        <f>IF(C48="","",LOWER(SUBSTITUTE(SUBSTITUTE(C48," ","-"),"'",""))&amp;".jpg")</f>
        <v/>
      </c>
      <c r="Y48">
        <f>IF(X48="","","/inventory/"&amp;X48)</f>
        <v/>
      </c>
      <c r="Z48">
        <f>IF(O48="Available","available",IF(OR(O48="Rented",O48="Cleaning",O48="Repair"),"unavailable",IF(O48="Retired","unavailable","")))</f>
        <v/>
      </c>
    </row>
    <row r="49" ht="150" customHeight="1">
      <c r="A49" t="inlineStr">
        <is>
          <t>W048</t>
        </is>
      </c>
      <c r="B49" s="6" t="n"/>
      <c r="C49" s="21" t="n"/>
      <c r="D49" s="25" t="n"/>
      <c r="E49" s="6" t="n"/>
      <c r="F49" s="19">
        <f>IF(E49="","",_xlfn.IMAGE(E49))</f>
        <v/>
      </c>
      <c r="G49" s="17" t="n"/>
      <c r="H49" s="39" t="n"/>
      <c r="I49" s="7" t="n"/>
      <c r="J49" s="25" t="n"/>
      <c r="K49" s="28" t="n"/>
      <c r="L49" s="6" t="n"/>
      <c r="M49" s="6" t="n"/>
      <c r="N49" s="6" t="n"/>
      <c r="O49" s="6" t="n"/>
      <c r="P49" s="8" t="n"/>
      <c r="Q49" s="7" t="n"/>
      <c r="R49" s="9" t="n"/>
      <c r="S49" s="10">
        <f>IF($C49="","",$I49*$R49)</f>
        <v/>
      </c>
      <c r="T49" s="10">
        <f>IF($C49="","",(IF($N49="Purchased",$H49,0)+$Q49))</f>
        <v/>
      </c>
      <c r="U49" s="10">
        <f>IF($C49="","",$S49-$T49)</f>
        <v/>
      </c>
      <c r="V49" s="11">
        <f>IF(OR($C49="",$I49=0),"",CEILING($T49/$I49,1))</f>
        <v/>
      </c>
      <c r="W49" s="6" t="n"/>
      <c r="X49">
        <f>IF(C49="","",LOWER(SUBSTITUTE(SUBSTITUTE(C49," ","-"),"'",""))&amp;".jpg")</f>
        <v/>
      </c>
      <c r="Y49">
        <f>IF(X49="","","/inventory/"&amp;X49)</f>
        <v/>
      </c>
      <c r="Z49">
        <f>IF(O49="Available","available",IF(OR(O49="Rented",O49="Cleaning",O49="Repair"),"unavailable",IF(O49="Retired","unavailable","")))</f>
        <v/>
      </c>
    </row>
    <row r="50" ht="150" customHeight="1">
      <c r="A50" t="inlineStr">
        <is>
          <t>W049</t>
        </is>
      </c>
      <c r="B50" s="6" t="n"/>
      <c r="C50" s="21" t="n"/>
      <c r="D50" s="25" t="n"/>
      <c r="E50" s="6" t="n"/>
      <c r="F50" s="19">
        <f>IF(E50="","",_xlfn.IMAGE(E50))</f>
        <v/>
      </c>
      <c r="G50" s="17" t="n"/>
      <c r="H50" s="39" t="n"/>
      <c r="I50" s="7" t="n"/>
      <c r="J50" s="25" t="n"/>
      <c r="K50" s="28" t="n"/>
      <c r="L50" s="6" t="n"/>
      <c r="M50" s="6" t="n"/>
      <c r="N50" s="6" t="n"/>
      <c r="O50" s="6" t="n"/>
      <c r="P50" s="8" t="n"/>
      <c r="Q50" s="7" t="n"/>
      <c r="R50" s="9" t="n"/>
      <c r="S50" s="10">
        <f>IF($C50="","",$I50*$R50)</f>
        <v/>
      </c>
      <c r="T50" s="10">
        <f>IF($C50="","",(IF($N50="Purchased",$H50,0)+$Q50))</f>
        <v/>
      </c>
      <c r="U50" s="10">
        <f>IF($C50="","",$S50-$T50)</f>
        <v/>
      </c>
      <c r="V50" s="11">
        <f>IF(OR($C50="",$I50=0),"",CEILING($T50/$I50,1))</f>
        <v/>
      </c>
      <c r="W50" s="6" t="n"/>
      <c r="X50">
        <f>IF(C50="","",LOWER(SUBSTITUTE(SUBSTITUTE(C50," ","-"),"'",""))&amp;".jpg")</f>
        <v/>
      </c>
      <c r="Y50">
        <f>IF(X50="","","/inventory/"&amp;X50)</f>
        <v/>
      </c>
      <c r="Z50">
        <f>IF(O50="Available","available",IF(OR(O50="Rented",O50="Cleaning",O50="Repair"),"unavailable",IF(O50="Retired","unavailable","")))</f>
        <v/>
      </c>
    </row>
    <row r="51" ht="150" customHeight="1">
      <c r="A51" t="inlineStr">
        <is>
          <t>W050</t>
        </is>
      </c>
      <c r="B51" s="6" t="n"/>
      <c r="C51" s="21" t="n"/>
      <c r="D51" s="25" t="n"/>
      <c r="E51" s="6" t="n"/>
      <c r="F51" s="19">
        <f>IF(E51="","",_xlfn.IMAGE(E51))</f>
        <v/>
      </c>
      <c r="G51" s="17" t="n"/>
      <c r="H51" s="39" t="n"/>
      <c r="I51" s="7" t="n"/>
      <c r="J51" s="25" t="n"/>
      <c r="K51" s="28" t="n"/>
      <c r="L51" s="6" t="n"/>
      <c r="M51" s="6" t="n"/>
      <c r="N51" s="6" t="n"/>
      <c r="O51" s="6" t="n"/>
      <c r="P51" s="8" t="n"/>
      <c r="Q51" s="7" t="n"/>
      <c r="R51" s="9" t="n"/>
      <c r="S51" s="10">
        <f>IF($C51="","",$I51*$R51)</f>
        <v/>
      </c>
      <c r="T51" s="10">
        <f>IF($C51="","",(IF($N51="Purchased",$H51,0)+$Q51))</f>
        <v/>
      </c>
      <c r="U51" s="10">
        <f>IF($C51="","",$S51-$T51)</f>
        <v/>
      </c>
      <c r="V51" s="11">
        <f>IF(OR($C51="",$I51=0),"",CEILING($T51/$I51,1))</f>
        <v/>
      </c>
      <c r="W51" s="6" t="n"/>
      <c r="X51">
        <f>IF(C51="","",LOWER(SUBSTITUTE(SUBSTITUTE(C51," ","-"),"'",""))&amp;".jpg")</f>
        <v/>
      </c>
      <c r="Y51">
        <f>IF(X51="","","/inventory/"&amp;X51)</f>
        <v/>
      </c>
      <c r="Z51">
        <f>IF(O51="Available","available",IF(OR(O51="Rented",O51="Cleaning",O51="Repair"),"unavailable",IF(O51="Retired","unavailable","")))</f>
        <v/>
      </c>
    </row>
    <row r="52" ht="150" customHeight="1">
      <c r="A52" t="inlineStr">
        <is>
          <t>W051</t>
        </is>
      </c>
      <c r="B52" s="6" t="n"/>
      <c r="C52" s="21" t="n"/>
      <c r="D52" s="25" t="n"/>
      <c r="E52" s="6" t="n"/>
      <c r="F52" s="19">
        <f>IF(E52="","",_xlfn.IMAGE(E52))</f>
        <v/>
      </c>
      <c r="G52" s="17" t="n"/>
      <c r="H52" s="39" t="n"/>
      <c r="I52" s="7" t="n"/>
      <c r="J52" s="25" t="n"/>
      <c r="K52" s="28" t="n"/>
      <c r="L52" s="6" t="n"/>
      <c r="M52" s="6" t="n"/>
      <c r="N52" s="6" t="n"/>
      <c r="O52" s="6" t="n"/>
      <c r="P52" s="8" t="n"/>
      <c r="Q52" s="7" t="n"/>
      <c r="R52" s="9" t="n"/>
      <c r="S52" s="10">
        <f>IF($C52="","",$I52*$R52)</f>
        <v/>
      </c>
      <c r="T52" s="10">
        <f>IF($C52="","",(IF($N52="Purchased",$H52,0)+$Q52))</f>
        <v/>
      </c>
      <c r="U52" s="10">
        <f>IF($C52="","",$S52-$T52)</f>
        <v/>
      </c>
      <c r="V52" s="11">
        <f>IF(OR($C52="",$I52=0),"",CEILING($T52/$I52,1))</f>
        <v/>
      </c>
      <c r="W52" s="6" t="n"/>
      <c r="X52">
        <f>IF(C52="","",LOWER(SUBSTITUTE(SUBSTITUTE(C52," ","-"),"'",""))&amp;".jpg")</f>
        <v/>
      </c>
      <c r="Y52">
        <f>IF(X52="","","/inventory/"&amp;X52)</f>
        <v/>
      </c>
      <c r="Z52">
        <f>IF(O52="Available","available",IF(OR(O52="Rented",O52="Cleaning",O52="Repair"),"unavailable",IF(O52="Retired","unavailable","")))</f>
        <v/>
      </c>
    </row>
    <row r="53" ht="150" customHeight="1">
      <c r="A53" t="inlineStr">
        <is>
          <t>W052</t>
        </is>
      </c>
      <c r="B53" s="6" t="n"/>
      <c r="C53" s="21" t="n"/>
      <c r="D53" s="25" t="n"/>
      <c r="E53" s="6" t="n"/>
      <c r="F53" s="19">
        <f>IF(E53="","",_xlfn.IMAGE(E53))</f>
        <v/>
      </c>
      <c r="G53" s="17" t="n"/>
      <c r="H53" s="39" t="n"/>
      <c r="I53" s="7" t="n"/>
      <c r="J53" s="25" t="n"/>
      <c r="K53" s="28" t="n"/>
      <c r="L53" s="6" t="n"/>
      <c r="M53" s="6" t="n"/>
      <c r="N53" s="6" t="n"/>
      <c r="O53" s="6" t="n"/>
      <c r="P53" s="8" t="n"/>
      <c r="Q53" s="7" t="n"/>
      <c r="R53" s="9" t="n"/>
      <c r="S53" s="10">
        <f>IF($C53="","",$I53*$R53)</f>
        <v/>
      </c>
      <c r="T53" s="10">
        <f>IF($C53="","",(IF($N53="Purchased",$H53,0)+$Q53))</f>
        <v/>
      </c>
      <c r="U53" s="10">
        <f>IF($C53="","",$S53-$T53)</f>
        <v/>
      </c>
      <c r="V53" s="11">
        <f>IF(OR($C53="",$I53=0),"",CEILING($T53/$I53,1))</f>
        <v/>
      </c>
      <c r="W53" s="6" t="n"/>
      <c r="X53">
        <f>IF(C53="","",LOWER(SUBSTITUTE(SUBSTITUTE(C53," ","-"),"'",""))&amp;".jpg")</f>
        <v/>
      </c>
      <c r="Y53">
        <f>IF(X53="","","/inventory/"&amp;X53)</f>
        <v/>
      </c>
      <c r="Z53">
        <f>IF(O53="Available","available",IF(OR(O53="Rented",O53="Cleaning",O53="Repair"),"unavailable",IF(O53="Retired","unavailable","")))</f>
        <v/>
      </c>
    </row>
    <row r="54" ht="150" customHeight="1">
      <c r="A54" t="inlineStr">
        <is>
          <t>W053</t>
        </is>
      </c>
      <c r="B54" s="6" t="n"/>
      <c r="C54" s="21" t="n"/>
      <c r="D54" s="25" t="n"/>
      <c r="E54" s="6" t="n"/>
      <c r="F54" s="19">
        <f>IF(E54="","",_xlfn.IMAGE(E54))</f>
        <v/>
      </c>
      <c r="G54" s="17" t="n"/>
      <c r="H54" s="39" t="n"/>
      <c r="I54" s="7" t="n"/>
      <c r="J54" s="25" t="n"/>
      <c r="K54" s="28" t="n"/>
      <c r="L54" s="6" t="n"/>
      <c r="M54" s="6" t="n"/>
      <c r="N54" s="6" t="n"/>
      <c r="O54" s="6" t="n"/>
      <c r="P54" s="8" t="n"/>
      <c r="Q54" s="7" t="n"/>
      <c r="R54" s="9" t="n"/>
      <c r="S54" s="10">
        <f>IF($C54="","",$I54*$R54)</f>
        <v/>
      </c>
      <c r="T54" s="10">
        <f>IF($C54="","",(IF($N54="Purchased",$H54,0)+$Q54))</f>
        <v/>
      </c>
      <c r="U54" s="10">
        <f>IF($C54="","",$S54-$T54)</f>
        <v/>
      </c>
      <c r="V54" s="11">
        <f>IF(OR($C54="",$I54=0),"",CEILING($T54/$I54,1))</f>
        <v/>
      </c>
      <c r="W54" s="6" t="n"/>
      <c r="X54">
        <f>IF(C54="","",LOWER(SUBSTITUTE(SUBSTITUTE(C54," ","-"),"'",""))&amp;".jpg")</f>
        <v/>
      </c>
      <c r="Y54">
        <f>IF(X54="","","/inventory/"&amp;X54)</f>
        <v/>
      </c>
      <c r="Z54">
        <f>IF(O54="Available","available",IF(OR(O54="Rented",O54="Cleaning",O54="Repair"),"unavailable",IF(O54="Retired","unavailable","")))</f>
        <v/>
      </c>
    </row>
    <row r="55" ht="150" customHeight="1">
      <c r="A55" t="inlineStr">
        <is>
          <t>W054</t>
        </is>
      </c>
      <c r="B55" s="6" t="n"/>
      <c r="C55" s="21" t="n"/>
      <c r="D55" s="25" t="n"/>
      <c r="E55" s="6" t="n"/>
      <c r="F55" s="19">
        <f>IF(E55="","",_xlfn.IMAGE(E55))</f>
        <v/>
      </c>
      <c r="G55" s="17" t="n"/>
      <c r="H55" s="39" t="n"/>
      <c r="I55" s="7" t="n"/>
      <c r="J55" s="25" t="n"/>
      <c r="K55" s="28" t="n"/>
      <c r="L55" s="6" t="n"/>
      <c r="M55" s="6" t="n"/>
      <c r="N55" s="6" t="n"/>
      <c r="O55" s="6" t="n"/>
      <c r="P55" s="8" t="n"/>
      <c r="Q55" s="7" t="n"/>
      <c r="R55" s="9" t="n"/>
      <c r="S55" s="10">
        <f>IF($C55="","",$I55*$R55)</f>
        <v/>
      </c>
      <c r="T55" s="10">
        <f>IF($C55="","",(IF($N55="Purchased",$H55,0)+$Q55))</f>
        <v/>
      </c>
      <c r="U55" s="10">
        <f>IF($C55="","",$S55-$T55)</f>
        <v/>
      </c>
      <c r="V55" s="11">
        <f>IF(OR($C55="",$I55=0),"",CEILING($T55/$I55,1))</f>
        <v/>
      </c>
      <c r="W55" s="6" t="n"/>
      <c r="X55">
        <f>IF(C55="","",LOWER(SUBSTITUTE(SUBSTITUTE(C55," ","-"),"'",""))&amp;".jpg")</f>
        <v/>
      </c>
      <c r="Y55">
        <f>IF(X55="","","/inventory/"&amp;X55)</f>
        <v/>
      </c>
      <c r="Z55">
        <f>IF(O55="Available","available",IF(OR(O55="Rented",O55="Cleaning",O55="Repair"),"unavailable",IF(O55="Retired","unavailable","")))</f>
        <v/>
      </c>
    </row>
    <row r="56" ht="150" customHeight="1">
      <c r="A56" t="inlineStr">
        <is>
          <t>W055</t>
        </is>
      </c>
      <c r="B56" s="6" t="n"/>
      <c r="C56" s="21" t="n"/>
      <c r="D56" s="25" t="n"/>
      <c r="E56" s="6" t="n"/>
      <c r="F56" s="19">
        <f>IF(E56="","",_xlfn.IMAGE(E56))</f>
        <v/>
      </c>
      <c r="G56" s="17" t="n"/>
      <c r="H56" s="39" t="n"/>
      <c r="I56" s="7" t="n"/>
      <c r="J56" s="25" t="n"/>
      <c r="K56" s="28" t="n"/>
      <c r="L56" s="6" t="n"/>
      <c r="M56" s="6" t="n"/>
      <c r="N56" s="6" t="n"/>
      <c r="O56" s="6" t="n"/>
      <c r="P56" s="8" t="n"/>
      <c r="Q56" s="7" t="n"/>
      <c r="R56" s="9" t="n"/>
      <c r="S56" s="10">
        <f>IF($C56="","",$I56*$R56)</f>
        <v/>
      </c>
      <c r="T56" s="10">
        <f>IF($C56="","",(IF($N56="Purchased",$H56,0)+$Q56))</f>
        <v/>
      </c>
      <c r="U56" s="10">
        <f>IF($C56="","",$S56-$T56)</f>
        <v/>
      </c>
      <c r="V56" s="11">
        <f>IF(OR($C56="",$I56=0),"",CEILING($T56/$I56,1))</f>
        <v/>
      </c>
      <c r="W56" s="6" t="n"/>
      <c r="X56">
        <f>IF(C56="","",LOWER(SUBSTITUTE(SUBSTITUTE(C56," ","-"),"'",""))&amp;".jpg")</f>
        <v/>
      </c>
      <c r="Y56">
        <f>IF(X56="","","/inventory/"&amp;X56)</f>
        <v/>
      </c>
      <c r="Z56">
        <f>IF(O56="Available","available",IF(OR(O56="Rented",O56="Cleaning",O56="Repair"),"unavailable",IF(O56="Retired","unavailable","")))</f>
        <v/>
      </c>
    </row>
    <row r="57" ht="150" customHeight="1">
      <c r="A57" t="inlineStr">
        <is>
          <t>W056</t>
        </is>
      </c>
      <c r="B57" s="6" t="n"/>
      <c r="C57" s="21" t="n"/>
      <c r="D57" s="25" t="n"/>
      <c r="E57" s="6" t="n"/>
      <c r="F57" s="19">
        <f>IF(E57="","",_xlfn.IMAGE(E57))</f>
        <v/>
      </c>
      <c r="G57" s="17" t="n"/>
      <c r="H57" s="39" t="n"/>
      <c r="I57" s="7" t="n"/>
      <c r="J57" s="25" t="n"/>
      <c r="K57" s="28" t="n"/>
      <c r="L57" s="6" t="n"/>
      <c r="M57" s="6" t="n"/>
      <c r="N57" s="6" t="n"/>
      <c r="O57" s="6" t="n"/>
      <c r="P57" s="8" t="n"/>
      <c r="Q57" s="7" t="n"/>
      <c r="R57" s="9" t="n"/>
      <c r="S57" s="10">
        <f>IF($C57="","",$I57*$R57)</f>
        <v/>
      </c>
      <c r="T57" s="10">
        <f>IF($C57="","",(IF($N57="Purchased",$H57,0)+$Q57))</f>
        <v/>
      </c>
      <c r="U57" s="10">
        <f>IF($C57="","",$S57-$T57)</f>
        <v/>
      </c>
      <c r="V57" s="11">
        <f>IF(OR($C57="",$I57=0),"",CEILING($T57/$I57,1))</f>
        <v/>
      </c>
      <c r="W57" s="6" t="n"/>
      <c r="X57">
        <f>IF(C57="","",LOWER(SUBSTITUTE(SUBSTITUTE(C57," ","-"),"'",""))&amp;".jpg")</f>
        <v/>
      </c>
      <c r="Y57">
        <f>IF(X57="","","/inventory/"&amp;X57)</f>
        <v/>
      </c>
      <c r="Z57">
        <f>IF(O57="Available","available",IF(OR(O57="Rented",O57="Cleaning",O57="Repair"),"unavailable",IF(O57="Retired","unavailable","")))</f>
        <v/>
      </c>
    </row>
    <row r="58" ht="150" customHeight="1">
      <c r="A58" t="inlineStr">
        <is>
          <t>W057</t>
        </is>
      </c>
      <c r="B58" s="6" t="n"/>
      <c r="C58" s="21" t="n"/>
      <c r="D58" s="25" t="n"/>
      <c r="E58" s="6" t="n"/>
      <c r="F58" s="19">
        <f>IF(E58="","",_xlfn.IMAGE(E58))</f>
        <v/>
      </c>
      <c r="G58" s="17" t="n"/>
      <c r="H58" s="39" t="n"/>
      <c r="I58" s="7" t="n"/>
      <c r="J58" s="25" t="n"/>
      <c r="K58" s="28" t="n"/>
      <c r="L58" s="6" t="n"/>
      <c r="M58" s="6" t="n"/>
      <c r="N58" s="6" t="n"/>
      <c r="O58" s="6" t="n"/>
      <c r="P58" s="8" t="n"/>
      <c r="Q58" s="7" t="n"/>
      <c r="R58" s="9" t="n"/>
      <c r="S58" s="10">
        <f>IF($C58="","",$I58*$R58)</f>
        <v/>
      </c>
      <c r="T58" s="10">
        <f>IF($C58="","",(IF($N58="Purchased",$H58,0)+$Q58))</f>
        <v/>
      </c>
      <c r="U58" s="10">
        <f>IF($C58="","",$S58-$T58)</f>
        <v/>
      </c>
      <c r="V58" s="11">
        <f>IF(OR($C58="",$I58=0),"",CEILING($T58/$I58,1))</f>
        <v/>
      </c>
      <c r="W58" s="6" t="n"/>
      <c r="X58">
        <f>IF(C58="","",LOWER(SUBSTITUTE(SUBSTITUTE(C58," ","-"),"'",""))&amp;".jpg")</f>
        <v/>
      </c>
      <c r="Y58">
        <f>IF(X58="","","/inventory/"&amp;X58)</f>
        <v/>
      </c>
      <c r="Z58">
        <f>IF(O58="Available","available",IF(OR(O58="Rented",O58="Cleaning",O58="Repair"),"unavailable",IF(O58="Retired","unavailable","")))</f>
        <v/>
      </c>
    </row>
    <row r="59" ht="150" customHeight="1">
      <c r="A59" t="inlineStr">
        <is>
          <t>W058</t>
        </is>
      </c>
      <c r="B59" s="6" t="n"/>
      <c r="C59" s="21" t="n"/>
      <c r="D59" s="25" t="n"/>
      <c r="E59" s="6" t="n"/>
      <c r="F59" s="19">
        <f>IF(E59="","",_xlfn.IMAGE(E59))</f>
        <v/>
      </c>
      <c r="G59" s="17" t="n"/>
      <c r="H59" s="39" t="n"/>
      <c r="I59" s="7" t="n"/>
      <c r="J59" s="25" t="n"/>
      <c r="K59" s="28" t="n"/>
      <c r="L59" s="6" t="n"/>
      <c r="M59" s="6" t="n"/>
      <c r="N59" s="6" t="n"/>
      <c r="O59" s="6" t="n"/>
      <c r="P59" s="8" t="n"/>
      <c r="Q59" s="7" t="n"/>
      <c r="R59" s="9" t="n"/>
      <c r="S59" s="10">
        <f>IF($C59="","",$I59*$R59)</f>
        <v/>
      </c>
      <c r="T59" s="10">
        <f>IF($C59="","",(IF($N59="Purchased",$H59,0)+$Q59))</f>
        <v/>
      </c>
      <c r="U59" s="10">
        <f>IF($C59="","",$S59-$T59)</f>
        <v/>
      </c>
      <c r="V59" s="11">
        <f>IF(OR($C59="",$I59=0),"",CEILING($T59/$I59,1))</f>
        <v/>
      </c>
      <c r="W59" s="6" t="n"/>
      <c r="X59">
        <f>IF(C59="","",LOWER(SUBSTITUTE(SUBSTITUTE(C59," ","-"),"'",""))&amp;".jpg")</f>
        <v/>
      </c>
      <c r="Y59">
        <f>IF(X59="","","/inventory/"&amp;X59)</f>
        <v/>
      </c>
      <c r="Z59">
        <f>IF(O59="Available","available",IF(OR(O59="Rented",O59="Cleaning",O59="Repair"),"unavailable",IF(O59="Retired","unavailable","")))</f>
        <v/>
      </c>
    </row>
    <row r="60" ht="150" customHeight="1">
      <c r="A60" t="inlineStr">
        <is>
          <t>W059</t>
        </is>
      </c>
      <c r="B60" s="6" t="n"/>
      <c r="C60" s="21" t="n"/>
      <c r="D60" s="25" t="n"/>
      <c r="E60" s="6" t="n"/>
      <c r="F60" s="19">
        <f>IF(E60="","",_xlfn.IMAGE(E60))</f>
        <v/>
      </c>
      <c r="G60" s="17" t="n"/>
      <c r="H60" s="39" t="n"/>
      <c r="I60" s="7" t="n"/>
      <c r="J60" s="25" t="n"/>
      <c r="K60" s="28" t="n"/>
      <c r="L60" s="6" t="n"/>
      <c r="M60" s="6" t="n"/>
      <c r="N60" s="6" t="n"/>
      <c r="O60" s="6" t="n"/>
      <c r="P60" s="8" t="n"/>
      <c r="Q60" s="7" t="n"/>
      <c r="R60" s="9" t="n"/>
      <c r="S60" s="10">
        <f>IF($C60="","",$I60*$R60)</f>
        <v/>
      </c>
      <c r="T60" s="10">
        <f>IF($C60="","",(IF($N60="Purchased",$H60,0)+$Q60))</f>
        <v/>
      </c>
      <c r="U60" s="10">
        <f>IF($C60="","",$S60-$T60)</f>
        <v/>
      </c>
      <c r="V60" s="11">
        <f>IF(OR($C60="",$I60=0),"",CEILING($T60/$I60,1))</f>
        <v/>
      </c>
      <c r="W60" s="6" t="n"/>
      <c r="X60">
        <f>IF(C60="","",LOWER(SUBSTITUTE(SUBSTITUTE(C60," ","-"),"'",""))&amp;".jpg")</f>
        <v/>
      </c>
      <c r="Y60">
        <f>IF(X60="","","/inventory/"&amp;X60)</f>
        <v/>
      </c>
      <c r="Z60">
        <f>IF(O60="Available","available",IF(OR(O60="Rented",O60="Cleaning",O60="Repair"),"unavailable",IF(O60="Retired","unavailable","")))</f>
        <v/>
      </c>
    </row>
    <row r="61" ht="150" customHeight="1">
      <c r="A61" t="inlineStr">
        <is>
          <t>W060</t>
        </is>
      </c>
      <c r="B61" s="6" t="n"/>
      <c r="C61" s="21" t="n"/>
      <c r="D61" s="25" t="n"/>
      <c r="E61" s="6" t="n"/>
      <c r="F61" s="19">
        <f>IF(E61="","",_xlfn.IMAGE(E61))</f>
        <v/>
      </c>
      <c r="G61" s="17" t="n"/>
      <c r="H61" s="39" t="n"/>
      <c r="I61" s="7" t="n"/>
      <c r="J61" s="25" t="n"/>
      <c r="K61" s="28" t="n"/>
      <c r="L61" s="6" t="n"/>
      <c r="M61" s="6" t="n"/>
      <c r="N61" s="6" t="n"/>
      <c r="O61" s="6" t="n"/>
      <c r="P61" s="8" t="n"/>
      <c r="Q61" s="7" t="n"/>
      <c r="R61" s="9" t="n"/>
      <c r="S61" s="10">
        <f>IF($C61="","",$I61*$R61)</f>
        <v/>
      </c>
      <c r="T61" s="10">
        <f>IF($C61="","",(IF($N61="Purchased",$H61,0)+$Q61))</f>
        <v/>
      </c>
      <c r="U61" s="10">
        <f>IF($C61="","",$S61-$T61)</f>
        <v/>
      </c>
      <c r="V61" s="11">
        <f>IF(OR($C61="",$I61=0),"",CEILING($T61/$I61,1))</f>
        <v/>
      </c>
      <c r="W61" s="6" t="n"/>
      <c r="X61">
        <f>IF(C61="","",LOWER(SUBSTITUTE(SUBSTITUTE(C61," ","-"),"'",""))&amp;".jpg")</f>
        <v/>
      </c>
      <c r="Y61">
        <f>IF(X61="","","/inventory/"&amp;X61)</f>
        <v/>
      </c>
      <c r="Z61">
        <f>IF(O61="Available","available",IF(OR(O61="Rented",O61="Cleaning",O61="Repair"),"unavailable",IF(O61="Retired","unavailable","")))</f>
        <v/>
      </c>
    </row>
    <row r="62" ht="150" customHeight="1">
      <c r="A62" t="inlineStr">
        <is>
          <t>W061</t>
        </is>
      </c>
      <c r="B62" s="6" t="n"/>
      <c r="C62" s="21" t="n"/>
      <c r="D62" s="25" t="n"/>
      <c r="E62" s="6" t="n"/>
      <c r="F62" s="19">
        <f>IF(E62="","",_xlfn.IMAGE(E62))</f>
        <v/>
      </c>
      <c r="G62" s="17" t="n"/>
      <c r="H62" s="39" t="n"/>
      <c r="I62" s="7" t="n"/>
      <c r="J62" s="25" t="n"/>
      <c r="K62" s="28" t="n"/>
      <c r="L62" s="6" t="n"/>
      <c r="M62" s="6" t="n"/>
      <c r="N62" s="6" t="n"/>
      <c r="O62" s="6" t="n"/>
      <c r="P62" s="8" t="n"/>
      <c r="Q62" s="7" t="n"/>
      <c r="R62" s="9" t="n"/>
      <c r="S62" s="10">
        <f>IF($C62="","",$I62*$R62)</f>
        <v/>
      </c>
      <c r="T62" s="10">
        <f>IF($C62="","",(IF($N62="Purchased",$H62,0)+$Q62))</f>
        <v/>
      </c>
      <c r="U62" s="10">
        <f>IF($C62="","",$S62-$T62)</f>
        <v/>
      </c>
      <c r="V62" s="11">
        <f>IF(OR($C62="",$I62=0),"",CEILING($T62/$I62,1))</f>
        <v/>
      </c>
      <c r="W62" s="6" t="n"/>
      <c r="X62">
        <f>IF(C62="","",LOWER(SUBSTITUTE(SUBSTITUTE(C62," ","-"),"'",""))&amp;".jpg")</f>
        <v/>
      </c>
      <c r="Y62">
        <f>IF(X62="","","/inventory/"&amp;X62)</f>
        <v/>
      </c>
      <c r="Z62">
        <f>IF(O62="Available","available",IF(OR(O62="Rented",O62="Cleaning",O62="Repair"),"unavailable",IF(O62="Retired","unavailable","")))</f>
        <v/>
      </c>
    </row>
    <row r="63" ht="150" customHeight="1">
      <c r="A63" t="inlineStr">
        <is>
          <t>W062</t>
        </is>
      </c>
      <c r="B63" s="6" t="n"/>
      <c r="C63" s="21" t="n"/>
      <c r="D63" s="25" t="n"/>
      <c r="E63" s="6" t="n"/>
      <c r="F63" s="19">
        <f>IF(E63="","",_xlfn.IMAGE(E63))</f>
        <v/>
      </c>
      <c r="G63" s="17" t="n"/>
      <c r="H63" s="39" t="n"/>
      <c r="I63" s="7" t="n"/>
      <c r="J63" s="25" t="n"/>
      <c r="K63" s="28" t="n"/>
      <c r="L63" s="6" t="n"/>
      <c r="M63" s="6" t="n"/>
      <c r="N63" s="6" t="n"/>
      <c r="O63" s="6" t="n"/>
      <c r="P63" s="8" t="n"/>
      <c r="Q63" s="7" t="n"/>
      <c r="R63" s="9" t="n"/>
      <c r="S63" s="10">
        <f>IF($C63="","",$I63*$R63)</f>
        <v/>
      </c>
      <c r="T63" s="10">
        <f>IF($C63="","",(IF($N63="Purchased",$H63,0)+$Q63))</f>
        <v/>
      </c>
      <c r="U63" s="10">
        <f>IF($C63="","",$S63-$T63)</f>
        <v/>
      </c>
      <c r="V63" s="11">
        <f>IF(OR($C63="",$I63=0),"",CEILING($T63/$I63,1))</f>
        <v/>
      </c>
      <c r="W63" s="6" t="n"/>
      <c r="X63">
        <f>IF(C63="","",LOWER(SUBSTITUTE(SUBSTITUTE(C63," ","-"),"'",""))&amp;".jpg")</f>
        <v/>
      </c>
      <c r="Y63">
        <f>IF(X63="","","/inventory/"&amp;X63)</f>
        <v/>
      </c>
      <c r="Z63">
        <f>IF(O63="Available","available",IF(OR(O63="Rented",O63="Cleaning",O63="Repair"),"unavailable",IF(O63="Retired","unavailable","")))</f>
        <v/>
      </c>
    </row>
    <row r="64" ht="150" customHeight="1">
      <c r="A64" t="inlineStr">
        <is>
          <t>W063</t>
        </is>
      </c>
      <c r="B64" s="6" t="n"/>
      <c r="C64" s="21" t="n"/>
      <c r="D64" s="25" t="n"/>
      <c r="E64" s="6" t="n"/>
      <c r="F64" s="19">
        <f>IF(E64="","",_xlfn.IMAGE(E64))</f>
        <v/>
      </c>
      <c r="G64" s="17" t="n"/>
      <c r="H64" s="39" t="n"/>
      <c r="I64" s="7" t="n"/>
      <c r="J64" s="25" t="n"/>
      <c r="K64" s="28" t="n"/>
      <c r="L64" s="6" t="n"/>
      <c r="M64" s="6" t="n"/>
      <c r="N64" s="6" t="n"/>
      <c r="O64" s="6" t="n"/>
      <c r="P64" s="8" t="n"/>
      <c r="Q64" s="7" t="n"/>
      <c r="R64" s="9" t="n"/>
      <c r="S64" s="10">
        <f>IF($C64="","",$I64*$R64)</f>
        <v/>
      </c>
      <c r="T64" s="10">
        <f>IF($C64="","",(IF($N64="Purchased",$H64,0)+$Q64))</f>
        <v/>
      </c>
      <c r="U64" s="10">
        <f>IF($C64="","",$S64-$T64)</f>
        <v/>
      </c>
      <c r="V64" s="11">
        <f>IF(OR($C64="",$I64=0),"",CEILING($T64/$I64,1))</f>
        <v/>
      </c>
      <c r="W64" s="6" t="n"/>
      <c r="X64">
        <f>IF(C64="","",LOWER(SUBSTITUTE(SUBSTITUTE(C64," ","-"),"'",""))&amp;".jpg")</f>
        <v/>
      </c>
      <c r="Y64">
        <f>IF(X64="","","/inventory/"&amp;X64)</f>
        <v/>
      </c>
      <c r="Z64">
        <f>IF(O64="Available","available",IF(OR(O64="Rented",O64="Cleaning",O64="Repair"),"unavailable",IF(O64="Retired","unavailable","")))</f>
        <v/>
      </c>
    </row>
    <row r="65" ht="150" customHeight="1">
      <c r="A65" t="inlineStr">
        <is>
          <t>W064</t>
        </is>
      </c>
      <c r="B65" s="6" t="n"/>
      <c r="C65" s="21" t="n"/>
      <c r="D65" s="25" t="n"/>
      <c r="E65" s="6" t="n"/>
      <c r="F65" s="19">
        <f>IF(E65="","",_xlfn.IMAGE(E65))</f>
        <v/>
      </c>
      <c r="G65" s="17" t="n"/>
      <c r="H65" s="39" t="n"/>
      <c r="I65" s="7" t="n"/>
      <c r="J65" s="25" t="n"/>
      <c r="K65" s="28" t="n"/>
      <c r="L65" s="6" t="n"/>
      <c r="M65" s="6" t="n"/>
      <c r="N65" s="6" t="n"/>
      <c r="O65" s="6" t="n"/>
      <c r="P65" s="8" t="n"/>
      <c r="Q65" s="7" t="n"/>
      <c r="R65" s="9" t="n"/>
      <c r="S65" s="10">
        <f>IF($C65="","",$I65*$R65)</f>
        <v/>
      </c>
      <c r="T65" s="10">
        <f>IF($C65="","",(IF($N65="Purchased",$H65,0)+$Q65))</f>
        <v/>
      </c>
      <c r="U65" s="10">
        <f>IF($C65="","",$S65-$T65)</f>
        <v/>
      </c>
      <c r="V65" s="11">
        <f>IF(OR($C65="",$I65=0),"",CEILING($T65/$I65,1))</f>
        <v/>
      </c>
      <c r="W65" s="6" t="n"/>
      <c r="X65">
        <f>IF(C65="","",LOWER(SUBSTITUTE(SUBSTITUTE(C65," ","-"),"'",""))&amp;".jpg")</f>
        <v/>
      </c>
      <c r="Y65">
        <f>IF(X65="","","/inventory/"&amp;X65)</f>
        <v/>
      </c>
      <c r="Z65">
        <f>IF(O65="Available","available",IF(OR(O65="Rented",O65="Cleaning",O65="Repair"),"unavailable",IF(O65="Retired","unavailable","")))</f>
        <v/>
      </c>
    </row>
    <row r="66" ht="150" customHeight="1">
      <c r="A66" t="inlineStr">
        <is>
          <t>W065</t>
        </is>
      </c>
      <c r="B66" s="6" t="n"/>
      <c r="C66" s="21" t="n"/>
      <c r="D66" s="25" t="n"/>
      <c r="E66" s="6" t="n"/>
      <c r="F66" s="19">
        <f>IF(E66="","",_xlfn.IMAGE(E66))</f>
        <v/>
      </c>
      <c r="G66" s="17" t="n"/>
      <c r="H66" s="39" t="n"/>
      <c r="I66" s="7" t="n"/>
      <c r="J66" s="25" t="n"/>
      <c r="K66" s="28" t="n"/>
      <c r="L66" s="6" t="n"/>
      <c r="M66" s="6" t="n"/>
      <c r="N66" s="6" t="n"/>
      <c r="O66" s="6" t="n"/>
      <c r="P66" s="8" t="n"/>
      <c r="Q66" s="7" t="n"/>
      <c r="R66" s="9" t="n"/>
      <c r="S66" s="10">
        <f>IF($C66="","",$I66*$R66)</f>
        <v/>
      </c>
      <c r="T66" s="10">
        <f>IF($C66="","",(IF($N66="Purchased",$H66,0)+$Q66))</f>
        <v/>
      </c>
      <c r="U66" s="10">
        <f>IF($C66="","",$S66-$T66)</f>
        <v/>
      </c>
      <c r="V66" s="11">
        <f>IF(OR($C66="",$I66=0),"",CEILING($T66/$I66,1))</f>
        <v/>
      </c>
      <c r="W66" s="6" t="n"/>
      <c r="X66">
        <f>IF(C66="","",LOWER(SUBSTITUTE(SUBSTITUTE(C66," ","-"),"'",""))&amp;".jpg")</f>
        <v/>
      </c>
      <c r="Y66">
        <f>IF(X66="","","/inventory/"&amp;X66)</f>
        <v/>
      </c>
      <c r="Z66">
        <f>IF(O66="Available","available",IF(OR(O66="Rented",O66="Cleaning",O66="Repair"),"unavailable",IF(O66="Retired","unavailable","")))</f>
        <v/>
      </c>
    </row>
    <row r="67" ht="150" customHeight="1">
      <c r="A67" t="inlineStr">
        <is>
          <t>W066</t>
        </is>
      </c>
      <c r="B67" s="6" t="n"/>
      <c r="C67" s="21" t="n"/>
      <c r="D67" s="25" t="n"/>
      <c r="E67" s="6" t="n"/>
      <c r="F67" s="19">
        <f>IF(E67="","",_xlfn.IMAGE(E67))</f>
        <v/>
      </c>
      <c r="G67" s="17" t="n"/>
      <c r="H67" s="39" t="n"/>
      <c r="I67" s="7" t="n"/>
      <c r="J67" s="25" t="n"/>
      <c r="K67" s="28" t="n"/>
      <c r="L67" s="6" t="n"/>
      <c r="M67" s="6" t="n"/>
      <c r="N67" s="6" t="n"/>
      <c r="O67" s="6" t="n"/>
      <c r="P67" s="8" t="n"/>
      <c r="Q67" s="7" t="n"/>
      <c r="R67" s="9" t="n"/>
      <c r="S67" s="10">
        <f>IF($C67="","",$I67*$R67)</f>
        <v/>
      </c>
      <c r="T67" s="10">
        <f>IF($C67="","",(IF($N67="Purchased",$H67,0)+$Q67))</f>
        <v/>
      </c>
      <c r="U67" s="10">
        <f>IF($C67="","",$S67-$T67)</f>
        <v/>
      </c>
      <c r="V67" s="11">
        <f>IF(OR($C67="",$I67=0),"",CEILING($T67/$I67,1))</f>
        <v/>
      </c>
      <c r="W67" s="6" t="n"/>
      <c r="X67">
        <f>IF(C67="","",LOWER(SUBSTITUTE(SUBSTITUTE(C67," ","-"),"'",""))&amp;".jpg")</f>
        <v/>
      </c>
      <c r="Y67">
        <f>IF(X67="","","/inventory/"&amp;X67)</f>
        <v/>
      </c>
      <c r="Z67">
        <f>IF(O67="Available","available",IF(OR(O67="Rented",O67="Cleaning",O67="Repair"),"unavailable",IF(O67="Retired","unavailable","")))</f>
        <v/>
      </c>
    </row>
    <row r="68" ht="150" customHeight="1">
      <c r="A68" t="inlineStr">
        <is>
          <t>W067</t>
        </is>
      </c>
      <c r="B68" s="6" t="n"/>
      <c r="C68" s="21" t="n"/>
      <c r="D68" s="25" t="n"/>
      <c r="E68" s="6" t="n"/>
      <c r="F68" s="19">
        <f>IF(E68="","",_xlfn.IMAGE(E68))</f>
        <v/>
      </c>
      <c r="G68" s="17" t="n"/>
      <c r="H68" s="39" t="n"/>
      <c r="I68" s="7" t="n"/>
      <c r="J68" s="25" t="n"/>
      <c r="K68" s="28" t="n"/>
      <c r="L68" s="6" t="n"/>
      <c r="M68" s="6" t="n"/>
      <c r="N68" s="6" t="n"/>
      <c r="O68" s="6" t="n"/>
      <c r="P68" s="8" t="n"/>
      <c r="Q68" s="7" t="n"/>
      <c r="R68" s="9" t="n"/>
      <c r="S68" s="10">
        <f>IF($C68="","",$I68*$R68)</f>
        <v/>
      </c>
      <c r="T68" s="10">
        <f>IF($C68="","",(IF($N68="Purchased",$H68,0)+$Q68))</f>
        <v/>
      </c>
      <c r="U68" s="10">
        <f>IF($C68="","",$S68-$T68)</f>
        <v/>
      </c>
      <c r="V68" s="11">
        <f>IF(OR($C68="",$I68=0),"",CEILING($T68/$I68,1))</f>
        <v/>
      </c>
      <c r="W68" s="6" t="n"/>
      <c r="X68">
        <f>IF(C68="","",LOWER(SUBSTITUTE(SUBSTITUTE(C68," ","-"),"'",""))&amp;".jpg")</f>
        <v/>
      </c>
      <c r="Y68">
        <f>IF(X68="","","/inventory/"&amp;X68)</f>
        <v/>
      </c>
      <c r="Z68">
        <f>IF(O68="Available","available",IF(OR(O68="Rented",O68="Cleaning",O68="Repair"),"unavailable",IF(O68="Retired","unavailable","")))</f>
        <v/>
      </c>
    </row>
    <row r="69" ht="150" customHeight="1">
      <c r="A69" t="inlineStr">
        <is>
          <t>W068</t>
        </is>
      </c>
      <c r="B69" s="6" t="n"/>
      <c r="C69" s="21" t="n"/>
      <c r="D69" s="25" t="n"/>
      <c r="E69" s="6" t="n"/>
      <c r="F69" s="19">
        <f>IF(E69="","",_xlfn.IMAGE(E69))</f>
        <v/>
      </c>
      <c r="G69" s="17" t="n"/>
      <c r="H69" s="39" t="n"/>
      <c r="I69" s="7" t="n"/>
      <c r="J69" s="25" t="n"/>
      <c r="K69" s="28" t="n"/>
      <c r="L69" s="6" t="n"/>
      <c r="M69" s="6" t="n"/>
      <c r="N69" s="6" t="n"/>
      <c r="O69" s="6" t="n"/>
      <c r="P69" s="8" t="n"/>
      <c r="Q69" s="7" t="n"/>
      <c r="R69" s="9" t="n"/>
      <c r="S69" s="10">
        <f>IF($C69="","",$I69*$R69)</f>
        <v/>
      </c>
      <c r="T69" s="10">
        <f>IF($C69="","",(IF($N69="Purchased",$H69,0)+$Q69))</f>
        <v/>
      </c>
      <c r="U69" s="10">
        <f>IF($C69="","",$S69-$T69)</f>
        <v/>
      </c>
      <c r="V69" s="11">
        <f>IF(OR($C69="",$I69=0),"",CEILING($T69/$I69,1))</f>
        <v/>
      </c>
      <c r="W69" s="6" t="n"/>
      <c r="X69">
        <f>IF(C69="","",LOWER(SUBSTITUTE(SUBSTITUTE(C69," ","-"),"'",""))&amp;".jpg")</f>
        <v/>
      </c>
      <c r="Y69">
        <f>IF(X69="","","/inventory/"&amp;X69)</f>
        <v/>
      </c>
      <c r="Z69">
        <f>IF(O69="Available","available",IF(OR(O69="Rented",O69="Cleaning",O69="Repair"),"unavailable",IF(O69="Retired","unavailable","")))</f>
        <v/>
      </c>
    </row>
    <row r="70" ht="150" customHeight="1">
      <c r="A70" t="inlineStr">
        <is>
          <t>W069</t>
        </is>
      </c>
      <c r="B70" s="6" t="n"/>
      <c r="C70" s="21" t="n"/>
      <c r="D70" s="25" t="n"/>
      <c r="E70" s="6" t="n"/>
      <c r="F70" s="19">
        <f>IF(E70="","",_xlfn.IMAGE(E70))</f>
        <v/>
      </c>
      <c r="G70" s="17" t="n"/>
      <c r="H70" s="39" t="n"/>
      <c r="I70" s="7" t="n"/>
      <c r="J70" s="25" t="n"/>
      <c r="K70" s="28" t="n"/>
      <c r="L70" s="6" t="n"/>
      <c r="M70" s="6" t="n"/>
      <c r="N70" s="6" t="n"/>
      <c r="O70" s="6" t="n"/>
      <c r="P70" s="8" t="n"/>
      <c r="Q70" s="7" t="n"/>
      <c r="R70" s="9" t="n"/>
      <c r="S70" s="10">
        <f>IF($C70="","",$I70*$R70)</f>
        <v/>
      </c>
      <c r="T70" s="10">
        <f>IF($C70="","",(IF($N70="Purchased",$H70,0)+$Q70))</f>
        <v/>
      </c>
      <c r="U70" s="10">
        <f>IF($C70="","",$S70-$T70)</f>
        <v/>
      </c>
      <c r="V70" s="11">
        <f>IF(OR($C70="",$I70=0),"",CEILING($T70/$I70,1))</f>
        <v/>
      </c>
      <c r="W70" s="6" t="n"/>
      <c r="X70">
        <f>IF(C70="","",LOWER(SUBSTITUTE(SUBSTITUTE(C70," ","-"),"'",""))&amp;".jpg")</f>
        <v/>
      </c>
      <c r="Y70">
        <f>IF(X70="","","/inventory/"&amp;X70)</f>
        <v/>
      </c>
      <c r="Z70">
        <f>IF(O70="Available","available",IF(OR(O70="Rented",O70="Cleaning",O70="Repair"),"unavailable",IF(O70="Retired","unavailable","")))</f>
        <v/>
      </c>
    </row>
    <row r="71" ht="150" customHeight="1">
      <c r="A71" t="inlineStr">
        <is>
          <t>W070</t>
        </is>
      </c>
      <c r="B71" s="6" t="n"/>
      <c r="C71" s="21" t="n"/>
      <c r="D71" s="25" t="n"/>
      <c r="E71" s="6" t="n"/>
      <c r="F71" s="19">
        <f>IF(E71="","",_xlfn.IMAGE(E71))</f>
        <v/>
      </c>
      <c r="G71" s="17" t="n"/>
      <c r="H71" s="39" t="n"/>
      <c r="I71" s="7" t="n"/>
      <c r="J71" s="25" t="n"/>
      <c r="K71" s="28" t="n"/>
      <c r="L71" s="6" t="n"/>
      <c r="M71" s="6" t="n"/>
      <c r="N71" s="6" t="n"/>
      <c r="O71" s="6" t="n"/>
      <c r="P71" s="8" t="n"/>
      <c r="Q71" s="7" t="n"/>
      <c r="R71" s="9" t="n"/>
      <c r="S71" s="10">
        <f>IF($C71="","",$I71*$R71)</f>
        <v/>
      </c>
      <c r="T71" s="10">
        <f>IF($C71="","",(IF($N71="Purchased",$H71,0)+$Q71))</f>
        <v/>
      </c>
      <c r="U71" s="10">
        <f>IF($C71="","",$S71-$T71)</f>
        <v/>
      </c>
      <c r="V71" s="11">
        <f>IF(OR($C71="",$I71=0),"",CEILING($T71/$I71,1))</f>
        <v/>
      </c>
      <c r="W71" s="6" t="n"/>
      <c r="X71">
        <f>IF(C71="","",LOWER(SUBSTITUTE(SUBSTITUTE(C71," ","-"),"'",""))&amp;".jpg")</f>
        <v/>
      </c>
      <c r="Y71">
        <f>IF(X71="","","/inventory/"&amp;X71)</f>
        <v/>
      </c>
      <c r="Z71">
        <f>IF(O71="Available","available",IF(OR(O71="Rented",O71="Cleaning",O71="Repair"),"unavailable",IF(O71="Retired","unavailable","")))</f>
        <v/>
      </c>
    </row>
    <row r="72" ht="150" customHeight="1">
      <c r="A72" t="inlineStr">
        <is>
          <t>W071</t>
        </is>
      </c>
      <c r="B72" s="6" t="n"/>
      <c r="C72" s="21" t="n"/>
      <c r="D72" s="25" t="n"/>
      <c r="E72" s="6" t="n"/>
      <c r="F72" s="19">
        <f>IF(E72="","",_xlfn.IMAGE(E72))</f>
        <v/>
      </c>
      <c r="G72" s="17" t="n"/>
      <c r="H72" s="39" t="n"/>
      <c r="I72" s="7" t="n"/>
      <c r="J72" s="25" t="n"/>
      <c r="K72" s="28" t="n"/>
      <c r="L72" s="6" t="n"/>
      <c r="M72" s="6" t="n"/>
      <c r="N72" s="6" t="n"/>
      <c r="O72" s="6" t="n"/>
      <c r="P72" s="8" t="n"/>
      <c r="Q72" s="7" t="n"/>
      <c r="R72" s="9" t="n"/>
      <c r="S72" s="10">
        <f>IF($C72="","",$I72*$R72)</f>
        <v/>
      </c>
      <c r="T72" s="10">
        <f>IF($C72="","",(IF($N72="Purchased",$H72,0)+$Q72))</f>
        <v/>
      </c>
      <c r="U72" s="10">
        <f>IF($C72="","",$S72-$T72)</f>
        <v/>
      </c>
      <c r="V72" s="11">
        <f>IF(OR($C72="",$I72=0),"",CEILING($T72/$I72,1))</f>
        <v/>
      </c>
      <c r="W72" s="6" t="n"/>
      <c r="X72">
        <f>IF(C72="","",LOWER(SUBSTITUTE(SUBSTITUTE(C72," ","-"),"'",""))&amp;".jpg")</f>
        <v/>
      </c>
      <c r="Y72">
        <f>IF(X72="","","/inventory/"&amp;X72)</f>
        <v/>
      </c>
      <c r="Z72">
        <f>IF(O72="Available","available",IF(OR(O72="Rented",O72="Cleaning",O72="Repair"),"unavailable",IF(O72="Retired","unavailable","")))</f>
        <v/>
      </c>
    </row>
    <row r="73" ht="150" customHeight="1">
      <c r="A73" t="inlineStr">
        <is>
          <t>W072</t>
        </is>
      </c>
      <c r="B73" s="6" t="n"/>
      <c r="C73" s="21" t="n"/>
      <c r="D73" s="25" t="n"/>
      <c r="E73" s="6" t="n"/>
      <c r="F73" s="19">
        <f>IF(E73="","",_xlfn.IMAGE(E73))</f>
        <v/>
      </c>
      <c r="G73" s="17" t="n"/>
      <c r="H73" s="39" t="n"/>
      <c r="I73" s="7" t="n"/>
      <c r="J73" s="25" t="n"/>
      <c r="K73" s="28" t="n"/>
      <c r="L73" s="6" t="n"/>
      <c r="M73" s="6" t="n"/>
      <c r="N73" s="6" t="n"/>
      <c r="O73" s="6" t="n"/>
      <c r="P73" s="8" t="n"/>
      <c r="Q73" s="7" t="n"/>
      <c r="R73" s="9" t="n"/>
      <c r="S73" s="10">
        <f>IF($C73="","",$I73*$R73)</f>
        <v/>
      </c>
      <c r="T73" s="10">
        <f>IF($C73="","",(IF($N73="Purchased",$H73,0)+$Q73))</f>
        <v/>
      </c>
      <c r="U73" s="10">
        <f>IF($C73="","",$S73-$T73)</f>
        <v/>
      </c>
      <c r="V73" s="11">
        <f>IF(OR($C73="",$I73=0),"",CEILING($T73/$I73,1))</f>
        <v/>
      </c>
      <c r="W73" s="6" t="n"/>
      <c r="X73">
        <f>IF(C73="","",LOWER(SUBSTITUTE(SUBSTITUTE(C73," ","-"),"'",""))&amp;".jpg")</f>
        <v/>
      </c>
      <c r="Y73">
        <f>IF(X73="","","/inventory/"&amp;X73)</f>
        <v/>
      </c>
      <c r="Z73">
        <f>IF(O73="Available","available",IF(OR(O73="Rented",O73="Cleaning",O73="Repair"),"unavailable",IF(O73="Retired","unavailable","")))</f>
        <v/>
      </c>
    </row>
    <row r="74" ht="150" customHeight="1">
      <c r="A74" t="inlineStr">
        <is>
          <t>W073</t>
        </is>
      </c>
      <c r="B74" s="6" t="n"/>
      <c r="C74" s="21" t="n"/>
      <c r="D74" s="25" t="n"/>
      <c r="E74" s="6" t="n"/>
      <c r="F74" s="19">
        <f>IF(E74="","",_xlfn.IMAGE(E74))</f>
        <v/>
      </c>
      <c r="G74" s="17" t="n"/>
      <c r="H74" s="39" t="n"/>
      <c r="I74" s="7" t="n"/>
      <c r="J74" s="25" t="n"/>
      <c r="K74" s="28" t="n"/>
      <c r="L74" s="6" t="n"/>
      <c r="M74" s="6" t="n"/>
      <c r="N74" s="6" t="n"/>
      <c r="O74" s="6" t="n"/>
      <c r="P74" s="8" t="n"/>
      <c r="Q74" s="7" t="n"/>
      <c r="R74" s="9" t="n"/>
      <c r="S74" s="10">
        <f>IF($C74="","",$I74*$R74)</f>
        <v/>
      </c>
      <c r="T74" s="10">
        <f>IF($C74="","",(IF($N74="Purchased",$H74,0)+$Q74))</f>
        <v/>
      </c>
      <c r="U74" s="10">
        <f>IF($C74="","",$S74-$T74)</f>
        <v/>
      </c>
      <c r="V74" s="11">
        <f>IF(OR($C74="",$I74=0),"",CEILING($T74/$I74,1))</f>
        <v/>
      </c>
      <c r="W74" s="6" t="n"/>
      <c r="X74">
        <f>IF(C74="","",LOWER(SUBSTITUTE(SUBSTITUTE(C74," ","-"),"'",""))&amp;".jpg")</f>
        <v/>
      </c>
      <c r="Y74">
        <f>IF(X74="","","/inventory/"&amp;X74)</f>
        <v/>
      </c>
      <c r="Z74">
        <f>IF(O74="Available","available",IF(OR(O74="Rented",O74="Cleaning",O74="Repair"),"unavailable",IF(O74="Retired","unavailable","")))</f>
        <v/>
      </c>
    </row>
    <row r="75" ht="150" customHeight="1">
      <c r="A75" t="inlineStr">
        <is>
          <t>W074</t>
        </is>
      </c>
      <c r="B75" s="6" t="n"/>
      <c r="C75" s="21" t="n"/>
      <c r="D75" s="25" t="n"/>
      <c r="E75" s="6" t="n"/>
      <c r="F75" s="19">
        <f>IF(E75="","",_xlfn.IMAGE(E75))</f>
        <v/>
      </c>
      <c r="G75" s="17" t="n"/>
      <c r="H75" s="39" t="n"/>
      <c r="I75" s="7" t="n"/>
      <c r="J75" s="25" t="n"/>
      <c r="K75" s="28" t="n"/>
      <c r="L75" s="6" t="n"/>
      <c r="M75" s="6" t="n"/>
      <c r="N75" s="6" t="n"/>
      <c r="O75" s="6" t="n"/>
      <c r="P75" s="8" t="n"/>
      <c r="Q75" s="7" t="n"/>
      <c r="R75" s="9" t="n"/>
      <c r="S75" s="10">
        <f>IF($C75="","",$I75*$R75)</f>
        <v/>
      </c>
      <c r="T75" s="10">
        <f>IF($C75="","",(IF($N75="Purchased",$H75,0)+$Q75))</f>
        <v/>
      </c>
      <c r="U75" s="10">
        <f>IF($C75="","",$S75-$T75)</f>
        <v/>
      </c>
      <c r="V75" s="11">
        <f>IF(OR($C75="",$I75=0),"",CEILING($T75/$I75,1))</f>
        <v/>
      </c>
      <c r="W75" s="6" t="n"/>
      <c r="X75">
        <f>IF(C75="","",LOWER(SUBSTITUTE(SUBSTITUTE(C75," ","-"),"'",""))&amp;".jpg")</f>
        <v/>
      </c>
      <c r="Y75">
        <f>IF(X75="","","/inventory/"&amp;X75)</f>
        <v/>
      </c>
      <c r="Z75">
        <f>IF(O75="Available","available",IF(OR(O75="Rented",O75="Cleaning",O75="Repair"),"unavailable",IF(O75="Retired","unavailable","")))</f>
        <v/>
      </c>
    </row>
    <row r="76" ht="150" customHeight="1">
      <c r="A76" t="inlineStr">
        <is>
          <t>W075</t>
        </is>
      </c>
      <c r="B76" s="6" t="n"/>
      <c r="C76" s="21" t="n"/>
      <c r="D76" s="25" t="n"/>
      <c r="E76" s="6" t="n"/>
      <c r="F76" s="19">
        <f>IF(E76="","",_xlfn.IMAGE(E76))</f>
        <v/>
      </c>
      <c r="G76" s="17" t="n"/>
      <c r="H76" s="39" t="n"/>
      <c r="I76" s="7" t="n"/>
      <c r="J76" s="25" t="n"/>
      <c r="K76" s="28" t="n"/>
      <c r="L76" s="6" t="n"/>
      <c r="M76" s="6" t="n"/>
      <c r="N76" s="6" t="n"/>
      <c r="O76" s="6" t="n"/>
      <c r="P76" s="8" t="n"/>
      <c r="Q76" s="7" t="n"/>
      <c r="R76" s="9" t="n"/>
      <c r="S76" s="10">
        <f>IF($C76="","",$I76*$R76)</f>
        <v/>
      </c>
      <c r="T76" s="10">
        <f>IF($C76="","",(IF($N76="Purchased",$H76,0)+$Q76))</f>
        <v/>
      </c>
      <c r="U76" s="10">
        <f>IF($C76="","",$S76-$T76)</f>
        <v/>
      </c>
      <c r="V76" s="11">
        <f>IF(OR($C76="",$I76=0),"",CEILING($T76/$I76,1))</f>
        <v/>
      </c>
      <c r="W76" s="6" t="n"/>
      <c r="X76">
        <f>IF(C76="","",LOWER(SUBSTITUTE(SUBSTITUTE(C76," ","-"),"'",""))&amp;".jpg")</f>
        <v/>
      </c>
      <c r="Y76">
        <f>IF(X76="","","/inventory/"&amp;X76)</f>
        <v/>
      </c>
      <c r="Z76">
        <f>IF(O76="Available","available",IF(OR(O76="Rented",O76="Cleaning",O76="Repair"),"unavailable",IF(O76="Retired","unavailable","")))</f>
        <v/>
      </c>
    </row>
    <row r="77" ht="150" customHeight="1">
      <c r="A77" t="inlineStr">
        <is>
          <t>W076</t>
        </is>
      </c>
      <c r="B77" s="6" t="n"/>
      <c r="C77" s="21" t="n"/>
      <c r="D77" s="25" t="n"/>
      <c r="E77" s="6" t="n"/>
      <c r="F77" s="19">
        <f>IF(E77="","",_xlfn.IMAGE(E77))</f>
        <v/>
      </c>
      <c r="G77" s="17" t="n"/>
      <c r="H77" s="39" t="n"/>
      <c r="I77" s="7" t="n"/>
      <c r="J77" s="25" t="n"/>
      <c r="K77" s="28" t="n"/>
      <c r="L77" s="6" t="n"/>
      <c r="M77" s="6" t="n"/>
      <c r="N77" s="6" t="n"/>
      <c r="O77" s="6" t="n"/>
      <c r="P77" s="8" t="n"/>
      <c r="Q77" s="7" t="n"/>
      <c r="R77" s="9" t="n"/>
      <c r="S77" s="10">
        <f>IF($C77="","",$I77*$R77)</f>
        <v/>
      </c>
      <c r="T77" s="10">
        <f>IF($C77="","",(IF($N77="Purchased",$H77,0)+$Q77))</f>
        <v/>
      </c>
      <c r="U77" s="10">
        <f>IF($C77="","",$S77-$T77)</f>
        <v/>
      </c>
      <c r="V77" s="11">
        <f>IF(OR($C77="",$I77=0),"",CEILING($T77/$I77,1))</f>
        <v/>
      </c>
      <c r="W77" s="6" t="n"/>
      <c r="X77">
        <f>IF(C77="","",LOWER(SUBSTITUTE(SUBSTITUTE(C77," ","-"),"'",""))&amp;".jpg")</f>
        <v/>
      </c>
      <c r="Y77">
        <f>IF(X77="","","/inventory/"&amp;X77)</f>
        <v/>
      </c>
      <c r="Z77">
        <f>IF(O77="Available","available",IF(OR(O77="Rented",O77="Cleaning",O77="Repair"),"unavailable",IF(O77="Retired","unavailable","")))</f>
        <v/>
      </c>
    </row>
    <row r="78" ht="150" customHeight="1">
      <c r="A78" t="inlineStr">
        <is>
          <t>W077</t>
        </is>
      </c>
      <c r="B78" s="6" t="n"/>
      <c r="C78" s="21" t="n"/>
      <c r="D78" s="25" t="n"/>
      <c r="E78" s="6" t="n"/>
      <c r="F78" s="19">
        <f>IF(E78="","",_xlfn.IMAGE(E78))</f>
        <v/>
      </c>
      <c r="G78" s="17" t="n"/>
      <c r="H78" s="39" t="n"/>
      <c r="I78" s="7" t="n"/>
      <c r="J78" s="25" t="n"/>
      <c r="K78" s="28" t="n"/>
      <c r="L78" s="6" t="n"/>
      <c r="M78" s="6" t="n"/>
      <c r="N78" s="6" t="n"/>
      <c r="O78" s="6" t="n"/>
      <c r="P78" s="8" t="n"/>
      <c r="Q78" s="7" t="n"/>
      <c r="R78" s="9" t="n"/>
      <c r="S78" s="10">
        <f>IF($C78="","",$I78*$R78)</f>
        <v/>
      </c>
      <c r="T78" s="10">
        <f>IF($C78="","",(IF($N78="Purchased",$H78,0)+$Q78))</f>
        <v/>
      </c>
      <c r="U78" s="10">
        <f>IF($C78="","",$S78-$T78)</f>
        <v/>
      </c>
      <c r="V78" s="11">
        <f>IF(OR($C78="",$I78=0),"",CEILING($T78/$I78,1))</f>
        <v/>
      </c>
      <c r="W78" s="6" t="n"/>
      <c r="X78">
        <f>IF(C78="","",LOWER(SUBSTITUTE(SUBSTITUTE(C78," ","-"),"'",""))&amp;".jpg")</f>
        <v/>
      </c>
      <c r="Y78">
        <f>IF(X78="","","/inventory/"&amp;X78)</f>
        <v/>
      </c>
      <c r="Z78">
        <f>IF(O78="Available","available",IF(OR(O78="Rented",O78="Cleaning",O78="Repair"),"unavailable",IF(O78="Retired","unavailable","")))</f>
        <v/>
      </c>
    </row>
    <row r="79" ht="150" customHeight="1">
      <c r="A79" t="inlineStr">
        <is>
          <t>W078</t>
        </is>
      </c>
      <c r="B79" s="6" t="n"/>
      <c r="C79" s="21" t="n"/>
      <c r="D79" s="25" t="n"/>
      <c r="E79" s="6" t="n"/>
      <c r="F79" s="19">
        <f>IF(E79="","",_xlfn.IMAGE(E79))</f>
        <v/>
      </c>
      <c r="G79" s="17" t="n"/>
      <c r="H79" s="39" t="n"/>
      <c r="I79" s="7" t="n"/>
      <c r="J79" s="25" t="n"/>
      <c r="K79" s="28" t="n"/>
      <c r="L79" s="6" t="n"/>
      <c r="M79" s="6" t="n"/>
      <c r="N79" s="6" t="n"/>
      <c r="O79" s="6" t="n"/>
      <c r="P79" s="8" t="n"/>
      <c r="Q79" s="7" t="n"/>
      <c r="R79" s="9" t="n"/>
      <c r="S79" s="10">
        <f>IF($C79="","",$I79*$R79)</f>
        <v/>
      </c>
      <c r="T79" s="10">
        <f>IF($C79="","",(IF($N79="Purchased",$H79,0)+$Q79))</f>
        <v/>
      </c>
      <c r="U79" s="10">
        <f>IF($C79="","",$S79-$T79)</f>
        <v/>
      </c>
      <c r="V79" s="11">
        <f>IF(OR($C79="",$I79=0),"",CEILING($T79/$I79,1))</f>
        <v/>
      </c>
      <c r="W79" s="6" t="n"/>
      <c r="X79">
        <f>IF(C79="","",LOWER(SUBSTITUTE(SUBSTITUTE(C79," ","-"),"'",""))&amp;".jpg")</f>
        <v/>
      </c>
      <c r="Y79">
        <f>IF(X79="","","/inventory/"&amp;X79)</f>
        <v/>
      </c>
      <c r="Z79">
        <f>IF(O79="Available","available",IF(OR(O79="Rented",O79="Cleaning",O79="Repair"),"unavailable",IF(O79="Retired","unavailable","")))</f>
        <v/>
      </c>
    </row>
    <row r="80" ht="150" customHeight="1">
      <c r="A80" t="inlineStr">
        <is>
          <t>W079</t>
        </is>
      </c>
      <c r="B80" s="6" t="n"/>
      <c r="C80" s="21" t="n"/>
      <c r="D80" s="25" t="n"/>
      <c r="E80" s="6" t="n"/>
      <c r="F80" s="19">
        <f>IF(E80="","",_xlfn.IMAGE(E80))</f>
        <v/>
      </c>
      <c r="G80" s="17" t="n"/>
      <c r="H80" s="39" t="n"/>
      <c r="I80" s="7" t="n"/>
      <c r="J80" s="25" t="n"/>
      <c r="K80" s="28" t="n"/>
      <c r="L80" s="6" t="n"/>
      <c r="M80" s="6" t="n"/>
      <c r="N80" s="6" t="n"/>
      <c r="O80" s="6" t="n"/>
      <c r="P80" s="8" t="n"/>
      <c r="Q80" s="7" t="n"/>
      <c r="R80" s="9" t="n"/>
      <c r="S80" s="10">
        <f>IF($C80="","",$I80*$R80)</f>
        <v/>
      </c>
      <c r="T80" s="10">
        <f>IF($C80="","",(IF($N80="Purchased",$H80,0)+$Q80))</f>
        <v/>
      </c>
      <c r="U80" s="10">
        <f>IF($C80="","",$S80-$T80)</f>
        <v/>
      </c>
      <c r="V80" s="11">
        <f>IF(OR($C80="",$I80=0),"",CEILING($T80/$I80,1))</f>
        <v/>
      </c>
      <c r="W80" s="6" t="n"/>
      <c r="X80">
        <f>IF(C80="","",LOWER(SUBSTITUTE(SUBSTITUTE(C80," ","-"),"'",""))&amp;".jpg")</f>
        <v/>
      </c>
      <c r="Y80">
        <f>IF(X80="","","/inventory/"&amp;X80)</f>
        <v/>
      </c>
      <c r="Z80">
        <f>IF(O80="Available","available",IF(OR(O80="Rented",O80="Cleaning",O80="Repair"),"unavailable",IF(O80="Retired","unavailable","")))</f>
        <v/>
      </c>
    </row>
    <row r="81" ht="150" customHeight="1">
      <c r="A81" t="inlineStr">
        <is>
          <t>W080</t>
        </is>
      </c>
      <c r="B81" s="6" t="n"/>
      <c r="C81" s="21" t="n"/>
      <c r="D81" s="25" t="n"/>
      <c r="E81" s="6" t="n"/>
      <c r="F81" s="19">
        <f>IF(E81="","",_xlfn.IMAGE(E81))</f>
        <v/>
      </c>
      <c r="G81" s="17" t="n"/>
      <c r="H81" s="39" t="n"/>
      <c r="I81" s="7" t="n"/>
      <c r="J81" s="25" t="n"/>
      <c r="K81" s="28" t="n"/>
      <c r="L81" s="6" t="n"/>
      <c r="M81" s="6" t="n"/>
      <c r="N81" s="6" t="n"/>
      <c r="O81" s="6" t="n"/>
      <c r="P81" s="8" t="n"/>
      <c r="Q81" s="7" t="n"/>
      <c r="R81" s="9" t="n"/>
      <c r="S81" s="10">
        <f>IF($C81="","",$I81*$R81)</f>
        <v/>
      </c>
      <c r="T81" s="10">
        <f>IF($C81="","",(IF($N81="Purchased",$H81,0)+$Q81))</f>
        <v/>
      </c>
      <c r="U81" s="10">
        <f>IF($C81="","",$S81-$T81)</f>
        <v/>
      </c>
      <c r="V81" s="11">
        <f>IF(OR($C81="",$I81=0),"",CEILING($T81/$I81,1))</f>
        <v/>
      </c>
      <c r="W81" s="6" t="n"/>
      <c r="X81">
        <f>IF(C81="","",LOWER(SUBSTITUTE(SUBSTITUTE(C81," ","-"),"'",""))&amp;".jpg")</f>
        <v/>
      </c>
      <c r="Y81">
        <f>IF(X81="","","/inventory/"&amp;X81)</f>
        <v/>
      </c>
      <c r="Z81">
        <f>IF(O81="Available","available",IF(OR(O81="Rented",O81="Cleaning",O81="Repair"),"unavailable",IF(O81="Retired","unavailable","")))</f>
        <v/>
      </c>
    </row>
    <row r="82" ht="150" customHeight="1">
      <c r="A82" t="inlineStr">
        <is>
          <t>W081</t>
        </is>
      </c>
      <c r="B82" s="6" t="n"/>
      <c r="C82" s="21" t="n"/>
      <c r="D82" s="25" t="n"/>
      <c r="E82" s="6" t="n"/>
      <c r="F82" s="19">
        <f>IF(E82="","",_xlfn.IMAGE(E82))</f>
        <v/>
      </c>
      <c r="G82" s="17" t="n"/>
      <c r="H82" s="39" t="n"/>
      <c r="I82" s="7" t="n"/>
      <c r="J82" s="25" t="n"/>
      <c r="K82" s="28" t="n"/>
      <c r="L82" s="6" t="n"/>
      <c r="M82" s="6" t="n"/>
      <c r="N82" s="6" t="n"/>
      <c r="O82" s="6" t="n"/>
      <c r="P82" s="8" t="n"/>
      <c r="Q82" s="7" t="n"/>
      <c r="R82" s="9" t="n"/>
      <c r="S82" s="10">
        <f>IF($C82="","",$I82*$R82)</f>
        <v/>
      </c>
      <c r="T82" s="10">
        <f>IF($C82="","",(IF($N82="Purchased",$H82,0)+$Q82))</f>
        <v/>
      </c>
      <c r="U82" s="10">
        <f>IF($C82="","",$S82-$T82)</f>
        <v/>
      </c>
      <c r="V82" s="11">
        <f>IF(OR($C82="",$I82=0),"",CEILING($T82/$I82,1))</f>
        <v/>
      </c>
      <c r="W82" s="6" t="n"/>
      <c r="X82">
        <f>IF(C82="","",LOWER(SUBSTITUTE(SUBSTITUTE(C82," ","-"),"'",""))&amp;".jpg")</f>
        <v/>
      </c>
      <c r="Y82">
        <f>IF(X82="","","/inventory/"&amp;X82)</f>
        <v/>
      </c>
      <c r="Z82">
        <f>IF(O82="Available","available",IF(OR(O82="Rented",O82="Cleaning",O82="Repair"),"unavailable",IF(O82="Retired","unavailable","")))</f>
        <v/>
      </c>
    </row>
    <row r="83" ht="150" customHeight="1">
      <c r="A83" t="inlineStr">
        <is>
          <t>W082</t>
        </is>
      </c>
      <c r="B83" s="6" t="n"/>
      <c r="C83" s="21" t="n"/>
      <c r="D83" s="25" t="n"/>
      <c r="E83" s="6" t="n"/>
      <c r="F83" s="19">
        <f>IF(E83="","",_xlfn.IMAGE(E83))</f>
        <v/>
      </c>
      <c r="G83" s="17" t="n"/>
      <c r="H83" s="39" t="n"/>
      <c r="I83" s="7" t="n"/>
      <c r="J83" s="25" t="n"/>
      <c r="K83" s="28" t="n"/>
      <c r="L83" s="6" t="n"/>
      <c r="M83" s="6" t="n"/>
      <c r="N83" s="6" t="n"/>
      <c r="O83" s="6" t="n"/>
      <c r="P83" s="8" t="n"/>
      <c r="Q83" s="7" t="n"/>
      <c r="R83" s="9" t="n"/>
      <c r="S83" s="10">
        <f>IF($C83="","",$I83*$R83)</f>
        <v/>
      </c>
      <c r="T83" s="10">
        <f>IF($C83="","",(IF($N83="Purchased",$H83,0)+$Q83))</f>
        <v/>
      </c>
      <c r="U83" s="10">
        <f>IF($C83="","",$S83-$T83)</f>
        <v/>
      </c>
      <c r="V83" s="11">
        <f>IF(OR($C83="",$I83=0),"",CEILING($T83/$I83,1))</f>
        <v/>
      </c>
      <c r="W83" s="6" t="n"/>
      <c r="X83">
        <f>IF(C83="","",LOWER(SUBSTITUTE(SUBSTITUTE(C83," ","-"),"'",""))&amp;".jpg")</f>
        <v/>
      </c>
      <c r="Y83">
        <f>IF(X83="","","/inventory/"&amp;X83)</f>
        <v/>
      </c>
      <c r="Z83">
        <f>IF(O83="Available","available",IF(OR(O83="Rented",O83="Cleaning",O83="Repair"),"unavailable",IF(O83="Retired","unavailable","")))</f>
        <v/>
      </c>
    </row>
    <row r="84" ht="150" customHeight="1">
      <c r="A84" t="inlineStr">
        <is>
          <t>W083</t>
        </is>
      </c>
      <c r="B84" s="6" t="n"/>
      <c r="C84" s="21" t="n"/>
      <c r="D84" s="25" t="n"/>
      <c r="E84" s="6" t="n"/>
      <c r="F84" s="19">
        <f>IF(E84="","",_xlfn.IMAGE(E84))</f>
        <v/>
      </c>
      <c r="G84" s="17" t="n"/>
      <c r="H84" s="39" t="n"/>
      <c r="I84" s="7" t="n"/>
      <c r="J84" s="25" t="n"/>
      <c r="K84" s="28" t="n"/>
      <c r="L84" s="6" t="n"/>
      <c r="M84" s="6" t="n"/>
      <c r="N84" s="6" t="n"/>
      <c r="O84" s="6" t="n"/>
      <c r="P84" s="8" t="n"/>
      <c r="Q84" s="7" t="n"/>
      <c r="R84" s="9" t="n"/>
      <c r="S84" s="10">
        <f>IF($C84="","",$I84*$R84)</f>
        <v/>
      </c>
      <c r="T84" s="10">
        <f>IF($C84="","",(IF($N84="Purchased",$H84,0)+$Q84))</f>
        <v/>
      </c>
      <c r="U84" s="10">
        <f>IF($C84="","",$S84-$T84)</f>
        <v/>
      </c>
      <c r="V84" s="11">
        <f>IF(OR($C84="",$I84=0),"",CEILING($T84/$I84,1))</f>
        <v/>
      </c>
      <c r="W84" s="6" t="n"/>
      <c r="X84">
        <f>IF(C84="","",LOWER(SUBSTITUTE(SUBSTITUTE(C84," ","-"),"'",""))&amp;".jpg")</f>
        <v/>
      </c>
      <c r="Y84">
        <f>IF(X84="","","/inventory/"&amp;X84)</f>
        <v/>
      </c>
      <c r="Z84">
        <f>IF(O84="Available","available",IF(OR(O84="Rented",O84="Cleaning",O84="Repair"),"unavailable",IF(O84="Retired","unavailable","")))</f>
        <v/>
      </c>
    </row>
    <row r="85" ht="150" customHeight="1">
      <c r="A85" t="inlineStr">
        <is>
          <t>W084</t>
        </is>
      </c>
      <c r="B85" s="6" t="n"/>
      <c r="C85" s="21" t="n"/>
      <c r="D85" s="25" t="n"/>
      <c r="E85" s="6" t="n"/>
      <c r="F85" s="19">
        <f>IF(E85="","",_xlfn.IMAGE(E85))</f>
        <v/>
      </c>
      <c r="G85" s="17" t="n"/>
      <c r="H85" s="39" t="n"/>
      <c r="I85" s="7" t="n"/>
      <c r="J85" s="25" t="n"/>
      <c r="K85" s="28" t="n"/>
      <c r="L85" s="6" t="n"/>
      <c r="M85" s="6" t="n"/>
      <c r="N85" s="6" t="n"/>
      <c r="O85" s="6" t="n"/>
      <c r="P85" s="8" t="n"/>
      <c r="Q85" s="7" t="n"/>
      <c r="R85" s="9" t="n"/>
      <c r="S85" s="10">
        <f>IF($C85="","",$I85*$R85)</f>
        <v/>
      </c>
      <c r="T85" s="10">
        <f>IF($C85="","",(IF($N85="Purchased",$H85,0)+$Q85))</f>
        <v/>
      </c>
      <c r="U85" s="10">
        <f>IF($C85="","",$S85-$T85)</f>
        <v/>
      </c>
      <c r="V85" s="11">
        <f>IF(OR($C85="",$I85=0),"",CEILING($T85/$I85,1))</f>
        <v/>
      </c>
      <c r="W85" s="6" t="n"/>
      <c r="X85">
        <f>IF(C85="","",LOWER(SUBSTITUTE(SUBSTITUTE(C85," ","-"),"'",""))&amp;".jpg")</f>
        <v/>
      </c>
      <c r="Y85">
        <f>IF(X85="","","/inventory/"&amp;X85)</f>
        <v/>
      </c>
      <c r="Z85">
        <f>IF(O85="Available","available",IF(OR(O85="Rented",O85="Cleaning",O85="Repair"),"unavailable",IF(O85="Retired","unavailable","")))</f>
        <v/>
      </c>
    </row>
    <row r="86" ht="150" customHeight="1">
      <c r="A86" t="inlineStr">
        <is>
          <t>W085</t>
        </is>
      </c>
      <c r="B86" s="6" t="n"/>
      <c r="C86" s="21" t="n"/>
      <c r="D86" s="25" t="n"/>
      <c r="E86" s="6" t="n"/>
      <c r="F86" s="19">
        <f>IF(E86="","",_xlfn.IMAGE(E86))</f>
        <v/>
      </c>
      <c r="G86" s="17" t="n"/>
      <c r="H86" s="39" t="n"/>
      <c r="I86" s="7" t="n"/>
      <c r="J86" s="25" t="n"/>
      <c r="K86" s="28" t="n"/>
      <c r="L86" s="6" t="n"/>
      <c r="M86" s="6" t="n"/>
      <c r="N86" s="6" t="n"/>
      <c r="O86" s="6" t="n"/>
      <c r="P86" s="8" t="n"/>
      <c r="Q86" s="7" t="n"/>
      <c r="R86" s="9" t="n"/>
      <c r="S86" s="10">
        <f>IF($C86="","",$I86*$R86)</f>
        <v/>
      </c>
      <c r="T86" s="10">
        <f>IF($C86="","",(IF($N86="Purchased",$H86,0)+$Q86))</f>
        <v/>
      </c>
      <c r="U86" s="10">
        <f>IF($C86="","",$S86-$T86)</f>
        <v/>
      </c>
      <c r="V86" s="11">
        <f>IF(OR($C86="",$I86=0),"",CEILING($T86/$I86,1))</f>
        <v/>
      </c>
      <c r="W86" s="6" t="n"/>
      <c r="X86">
        <f>IF(C86="","",LOWER(SUBSTITUTE(SUBSTITUTE(C86," ","-"),"'",""))&amp;".jpg")</f>
        <v/>
      </c>
      <c r="Y86">
        <f>IF(X86="","","/inventory/"&amp;X86)</f>
        <v/>
      </c>
      <c r="Z86">
        <f>IF(O86="Available","available",IF(OR(O86="Rented",O86="Cleaning",O86="Repair"),"unavailable",IF(O86="Retired","unavailable","")))</f>
        <v/>
      </c>
    </row>
    <row r="87" ht="150" customHeight="1">
      <c r="A87" t="inlineStr">
        <is>
          <t>W086</t>
        </is>
      </c>
      <c r="B87" s="6" t="n"/>
      <c r="C87" s="21" t="n"/>
      <c r="D87" s="25" t="n"/>
      <c r="E87" s="6" t="n"/>
      <c r="F87" s="19">
        <f>IF(E87="","",_xlfn.IMAGE(E87))</f>
        <v/>
      </c>
      <c r="G87" s="17" t="n"/>
      <c r="H87" s="39" t="n"/>
      <c r="I87" s="7" t="n"/>
      <c r="J87" s="25" t="n"/>
      <c r="K87" s="28" t="n"/>
      <c r="L87" s="6" t="n"/>
      <c r="M87" s="6" t="n"/>
      <c r="N87" s="6" t="n"/>
      <c r="O87" s="6" t="n"/>
      <c r="P87" s="8" t="n"/>
      <c r="Q87" s="7" t="n"/>
      <c r="R87" s="9" t="n"/>
      <c r="S87" s="10">
        <f>IF($C87="","",$I87*$R87)</f>
        <v/>
      </c>
      <c r="T87" s="10">
        <f>IF($C87="","",(IF($N87="Purchased",$H87,0)+$Q87))</f>
        <v/>
      </c>
      <c r="U87" s="10">
        <f>IF($C87="","",$S87-$T87)</f>
        <v/>
      </c>
      <c r="V87" s="11">
        <f>IF(OR($C87="",$I87=0),"",CEILING($T87/$I87,1))</f>
        <v/>
      </c>
      <c r="W87" s="6" t="n"/>
      <c r="X87">
        <f>IF(C87="","",LOWER(SUBSTITUTE(SUBSTITUTE(C87," ","-"),"'",""))&amp;".jpg")</f>
        <v/>
      </c>
      <c r="Y87">
        <f>IF(X87="","","/inventory/"&amp;X87)</f>
        <v/>
      </c>
      <c r="Z87">
        <f>IF(O87="Available","available",IF(OR(O87="Rented",O87="Cleaning",O87="Repair"),"unavailable",IF(O87="Retired","unavailable","")))</f>
        <v/>
      </c>
    </row>
    <row r="88" ht="150" customHeight="1">
      <c r="A88" t="inlineStr">
        <is>
          <t>W087</t>
        </is>
      </c>
      <c r="B88" s="6" t="n"/>
      <c r="C88" s="21" t="n"/>
      <c r="D88" s="25" t="n"/>
      <c r="E88" s="6" t="n"/>
      <c r="F88" s="19">
        <f>IF(E88="","",_xlfn.IMAGE(E88))</f>
        <v/>
      </c>
      <c r="G88" s="17" t="n"/>
      <c r="H88" s="39" t="n"/>
      <c r="I88" s="7" t="n"/>
      <c r="J88" s="25" t="n"/>
      <c r="K88" s="28" t="n"/>
      <c r="L88" s="6" t="n"/>
      <c r="M88" s="6" t="n"/>
      <c r="N88" s="6" t="n"/>
      <c r="O88" s="6" t="n"/>
      <c r="P88" s="8" t="n"/>
      <c r="Q88" s="7" t="n"/>
      <c r="R88" s="9" t="n"/>
      <c r="S88" s="10">
        <f>IF($C88="","",$I88*$R88)</f>
        <v/>
      </c>
      <c r="T88" s="10">
        <f>IF($C88="","",(IF($N88="Purchased",$H88,0)+$Q88))</f>
        <v/>
      </c>
      <c r="U88" s="10">
        <f>IF($C88="","",$S88-$T88)</f>
        <v/>
      </c>
      <c r="V88" s="11">
        <f>IF(OR($C88="",$I88=0),"",CEILING($T88/$I88,1))</f>
        <v/>
      </c>
      <c r="W88" s="6" t="n"/>
      <c r="X88">
        <f>IF(C88="","",LOWER(SUBSTITUTE(SUBSTITUTE(C88," ","-"),"'",""))&amp;".jpg")</f>
        <v/>
      </c>
      <c r="Y88">
        <f>IF(X88="","","/inventory/"&amp;X88)</f>
        <v/>
      </c>
      <c r="Z88">
        <f>IF(O88="Available","available",IF(OR(O88="Rented",O88="Cleaning",O88="Repair"),"unavailable",IF(O88="Retired","unavailable","")))</f>
        <v/>
      </c>
    </row>
    <row r="89" ht="150" customHeight="1">
      <c r="A89" t="inlineStr">
        <is>
          <t>W088</t>
        </is>
      </c>
      <c r="B89" s="6" t="n"/>
      <c r="C89" s="21" t="n"/>
      <c r="D89" s="25" t="n"/>
      <c r="E89" s="6" t="n"/>
      <c r="F89" s="19">
        <f>IF(E89="","",_xlfn.IMAGE(E89))</f>
        <v/>
      </c>
      <c r="G89" s="17" t="n"/>
      <c r="H89" s="39" t="n"/>
      <c r="I89" s="7" t="n"/>
      <c r="J89" s="25" t="n"/>
      <c r="K89" s="28" t="n"/>
      <c r="L89" s="6" t="n"/>
      <c r="M89" s="6" t="n"/>
      <c r="N89" s="6" t="n"/>
      <c r="O89" s="6" t="n"/>
      <c r="P89" s="8" t="n"/>
      <c r="Q89" s="7" t="n"/>
      <c r="R89" s="9" t="n"/>
      <c r="S89" s="10">
        <f>IF($C89="","",$I89*$R89)</f>
        <v/>
      </c>
      <c r="T89" s="10">
        <f>IF($C89="","",(IF($N89="Purchased",$H89,0)+$Q89))</f>
        <v/>
      </c>
      <c r="U89" s="10">
        <f>IF($C89="","",$S89-$T89)</f>
        <v/>
      </c>
      <c r="V89" s="11">
        <f>IF(OR($C89="",$I89=0),"",CEILING($T89/$I89,1))</f>
        <v/>
      </c>
      <c r="W89" s="6" t="n"/>
      <c r="X89">
        <f>IF(C89="","",LOWER(SUBSTITUTE(SUBSTITUTE(C89," ","-"),"'",""))&amp;".jpg")</f>
        <v/>
      </c>
      <c r="Y89">
        <f>IF(X89="","","/inventory/"&amp;X89)</f>
        <v/>
      </c>
      <c r="Z89">
        <f>IF(O89="Available","available",IF(OR(O89="Rented",O89="Cleaning",O89="Repair"),"unavailable",IF(O89="Retired","unavailable","")))</f>
        <v/>
      </c>
    </row>
    <row r="90" ht="150" customHeight="1">
      <c r="A90" t="inlineStr">
        <is>
          <t>W089</t>
        </is>
      </c>
      <c r="B90" s="6" t="n"/>
      <c r="C90" s="21" t="n"/>
      <c r="D90" s="25" t="n"/>
      <c r="E90" s="6" t="n"/>
      <c r="F90" s="19">
        <f>IF(E90="","",_xlfn.IMAGE(E90))</f>
        <v/>
      </c>
      <c r="G90" s="17" t="n"/>
      <c r="H90" s="39" t="n"/>
      <c r="I90" s="7" t="n"/>
      <c r="J90" s="25" t="n"/>
      <c r="K90" s="28" t="n"/>
      <c r="L90" s="6" t="n"/>
      <c r="M90" s="6" t="n"/>
      <c r="N90" s="6" t="n"/>
      <c r="O90" s="6" t="n"/>
      <c r="P90" s="8" t="n"/>
      <c r="Q90" s="7" t="n"/>
      <c r="R90" s="9" t="n"/>
      <c r="S90" s="10">
        <f>IF($C90="","",$I90*$R90)</f>
        <v/>
      </c>
      <c r="T90" s="10">
        <f>IF($C90="","",(IF($N90="Purchased",$H90,0)+$Q90))</f>
        <v/>
      </c>
      <c r="U90" s="10">
        <f>IF($C90="","",$S90-$T90)</f>
        <v/>
      </c>
      <c r="V90" s="11">
        <f>IF(OR($C90="",$I90=0),"",CEILING($T90/$I90,1))</f>
        <v/>
      </c>
      <c r="W90" s="6" t="n"/>
      <c r="X90">
        <f>IF(C90="","",LOWER(SUBSTITUTE(SUBSTITUTE(C90," ","-"),"'",""))&amp;".jpg")</f>
        <v/>
      </c>
      <c r="Y90">
        <f>IF(X90="","","/inventory/"&amp;X90)</f>
        <v/>
      </c>
      <c r="Z90">
        <f>IF(O90="Available","available",IF(OR(O90="Rented",O90="Cleaning",O90="Repair"),"unavailable",IF(O90="Retired","unavailable","")))</f>
        <v/>
      </c>
    </row>
    <row r="91" ht="150" customHeight="1">
      <c r="A91" t="inlineStr">
        <is>
          <t>W090</t>
        </is>
      </c>
      <c r="B91" s="6" t="n"/>
      <c r="C91" s="21" t="n"/>
      <c r="D91" s="25" t="n"/>
      <c r="E91" s="6" t="n"/>
      <c r="F91" s="19">
        <f>IF(E91="","",_xlfn.IMAGE(E91))</f>
        <v/>
      </c>
      <c r="G91" s="17" t="n"/>
      <c r="H91" s="39" t="n"/>
      <c r="I91" s="7" t="n"/>
      <c r="J91" s="25" t="n"/>
      <c r="K91" s="28" t="n"/>
      <c r="L91" s="6" t="n"/>
      <c r="M91" s="6" t="n"/>
      <c r="N91" s="6" t="n"/>
      <c r="O91" s="6" t="n"/>
      <c r="P91" s="8" t="n"/>
      <c r="Q91" s="7" t="n"/>
      <c r="R91" s="9" t="n"/>
      <c r="S91" s="10">
        <f>IF($C91="","",$I91*$R91)</f>
        <v/>
      </c>
      <c r="T91" s="10">
        <f>IF($C91="","",(IF($N91="Purchased",$H91,0)+$Q91))</f>
        <v/>
      </c>
      <c r="U91" s="10">
        <f>IF($C91="","",$S91-$T91)</f>
        <v/>
      </c>
      <c r="V91" s="11">
        <f>IF(OR($C91="",$I91=0),"",CEILING($T91/$I91,1))</f>
        <v/>
      </c>
      <c r="W91" s="6" t="n"/>
      <c r="X91">
        <f>IF(C91="","",LOWER(SUBSTITUTE(SUBSTITUTE(C91," ","-"),"'",""))&amp;".jpg")</f>
        <v/>
      </c>
      <c r="Y91">
        <f>IF(X91="","","/inventory/"&amp;X91)</f>
        <v/>
      </c>
      <c r="Z91">
        <f>IF(O91="Available","available",IF(OR(O91="Rented",O91="Cleaning",O91="Repair"),"unavailable",IF(O91="Retired","unavailable","")))</f>
        <v/>
      </c>
    </row>
    <row r="92" ht="150" customHeight="1">
      <c r="A92" t="inlineStr">
        <is>
          <t>W091</t>
        </is>
      </c>
      <c r="B92" s="6" t="n"/>
      <c r="C92" s="21" t="n"/>
      <c r="D92" s="25" t="n"/>
      <c r="E92" s="6" t="n"/>
      <c r="F92" s="19">
        <f>IF(E92="","",_xlfn.IMAGE(E92))</f>
        <v/>
      </c>
      <c r="G92" s="17" t="n"/>
      <c r="H92" s="39" t="n"/>
      <c r="I92" s="7" t="n"/>
      <c r="J92" s="25" t="n"/>
      <c r="K92" s="28" t="n"/>
      <c r="L92" s="6" t="n"/>
      <c r="M92" s="6" t="n"/>
      <c r="N92" s="6" t="n"/>
      <c r="O92" s="6" t="n"/>
      <c r="P92" s="8" t="n"/>
      <c r="Q92" s="7" t="n"/>
      <c r="R92" s="9" t="n"/>
      <c r="S92" s="10">
        <f>IF($C92="","",$I92*$R92)</f>
        <v/>
      </c>
      <c r="T92" s="10">
        <f>IF($C92="","",(IF($N92="Purchased",$H92,0)+$Q92))</f>
        <v/>
      </c>
      <c r="U92" s="10">
        <f>IF($C92="","",$S92-$T92)</f>
        <v/>
      </c>
      <c r="V92" s="11">
        <f>IF(OR($C92="",$I92=0),"",CEILING($T92/$I92,1))</f>
        <v/>
      </c>
      <c r="W92" s="6" t="n"/>
      <c r="X92">
        <f>IF(C92="","",LOWER(SUBSTITUTE(SUBSTITUTE(C92," ","-"),"'",""))&amp;".jpg")</f>
        <v/>
      </c>
      <c r="Y92">
        <f>IF(X92="","","/inventory/"&amp;X92)</f>
        <v/>
      </c>
      <c r="Z92">
        <f>IF(O92="Available","available",IF(OR(O92="Rented",O92="Cleaning",O92="Repair"),"unavailable",IF(O92="Retired","unavailable","")))</f>
        <v/>
      </c>
    </row>
    <row r="93" ht="150" customHeight="1">
      <c r="A93" t="inlineStr">
        <is>
          <t>W092</t>
        </is>
      </c>
      <c r="B93" s="6" t="n"/>
      <c r="C93" s="21" t="n"/>
      <c r="D93" s="25" t="n"/>
      <c r="E93" s="6" t="n"/>
      <c r="F93" s="19">
        <f>IF(E93="","",_xlfn.IMAGE(E93))</f>
        <v/>
      </c>
      <c r="G93" s="17" t="n"/>
      <c r="H93" s="39" t="n"/>
      <c r="I93" s="7" t="n"/>
      <c r="J93" s="25" t="n"/>
      <c r="K93" s="28" t="n"/>
      <c r="L93" s="6" t="n"/>
      <c r="M93" s="6" t="n"/>
      <c r="N93" s="6" t="n"/>
      <c r="O93" s="6" t="n"/>
      <c r="P93" s="8" t="n"/>
      <c r="Q93" s="7" t="n"/>
      <c r="R93" s="9" t="n"/>
      <c r="S93" s="10">
        <f>IF($C93="","",$I93*$R93)</f>
        <v/>
      </c>
      <c r="T93" s="10">
        <f>IF($C93="","",(IF($N93="Purchased",$H93,0)+$Q93))</f>
        <v/>
      </c>
      <c r="U93" s="10">
        <f>IF($C93="","",$S93-$T93)</f>
        <v/>
      </c>
      <c r="V93" s="11">
        <f>IF(OR($C93="",$I93=0),"",CEILING($T93/$I93,1))</f>
        <v/>
      </c>
      <c r="W93" s="6" t="n"/>
      <c r="X93">
        <f>IF(C93="","",LOWER(SUBSTITUTE(SUBSTITUTE(C93," ","-"),"'",""))&amp;".jpg")</f>
        <v/>
      </c>
      <c r="Y93">
        <f>IF(X93="","","/inventory/"&amp;X93)</f>
        <v/>
      </c>
      <c r="Z93">
        <f>IF(O93="Available","available",IF(OR(O93="Rented",O93="Cleaning",O93="Repair"),"unavailable",IF(O93="Retired","unavailable","")))</f>
        <v/>
      </c>
    </row>
    <row r="94" ht="150" customHeight="1">
      <c r="A94" t="inlineStr">
        <is>
          <t>W093</t>
        </is>
      </c>
      <c r="B94" s="6" t="n"/>
      <c r="C94" s="21" t="n"/>
      <c r="D94" s="25" t="n"/>
      <c r="E94" s="6" t="n"/>
      <c r="F94" s="19">
        <f>IF(E94="","",_xlfn.IMAGE(E94))</f>
        <v/>
      </c>
      <c r="G94" s="17" t="n"/>
      <c r="H94" s="39" t="n"/>
      <c r="I94" s="7" t="n"/>
      <c r="J94" s="25" t="n"/>
      <c r="K94" s="28" t="n"/>
      <c r="L94" s="6" t="n"/>
      <c r="M94" s="6" t="n"/>
      <c r="N94" s="6" t="n"/>
      <c r="O94" s="6" t="n"/>
      <c r="P94" s="8" t="n"/>
      <c r="Q94" s="7" t="n"/>
      <c r="R94" s="9" t="n"/>
      <c r="S94" s="10">
        <f>IF($C94="","",$I94*$R94)</f>
        <v/>
      </c>
      <c r="T94" s="10">
        <f>IF($C94="","",(IF($N94="Purchased",$H94,0)+$Q94))</f>
        <v/>
      </c>
      <c r="U94" s="10">
        <f>IF($C94="","",$S94-$T94)</f>
        <v/>
      </c>
      <c r="V94" s="11">
        <f>IF(OR($C94="",$I94=0),"",CEILING($T94/$I94,1))</f>
        <v/>
      </c>
      <c r="W94" s="6" t="n"/>
      <c r="X94">
        <f>IF(C94="","",LOWER(SUBSTITUTE(SUBSTITUTE(C94," ","-"),"'",""))&amp;".jpg")</f>
        <v/>
      </c>
      <c r="Y94">
        <f>IF(X94="","","/inventory/"&amp;X94)</f>
        <v/>
      </c>
      <c r="Z94">
        <f>IF(O94="Available","available",IF(OR(O94="Rented",O94="Cleaning",O94="Repair"),"unavailable",IF(O94="Retired","unavailable","")))</f>
        <v/>
      </c>
    </row>
    <row r="95" ht="150" customHeight="1">
      <c r="A95" t="inlineStr">
        <is>
          <t>W094</t>
        </is>
      </c>
      <c r="B95" s="6" t="n"/>
      <c r="C95" s="21" t="n"/>
      <c r="D95" s="25" t="n"/>
      <c r="E95" s="6" t="n"/>
      <c r="F95" s="19">
        <f>IF(E95="","",_xlfn.IMAGE(E95))</f>
        <v/>
      </c>
      <c r="G95" s="17" t="n"/>
      <c r="H95" s="39" t="n"/>
      <c r="I95" s="7" t="n"/>
      <c r="J95" s="25" t="n"/>
      <c r="K95" s="28" t="n"/>
      <c r="L95" s="6" t="n"/>
      <c r="M95" s="6" t="n"/>
      <c r="N95" s="6" t="n"/>
      <c r="O95" s="6" t="n"/>
      <c r="P95" s="8" t="n"/>
      <c r="Q95" s="7" t="n"/>
      <c r="R95" s="9" t="n"/>
      <c r="S95" s="10">
        <f>IF($C95="","",$I95*$R95)</f>
        <v/>
      </c>
      <c r="T95" s="10">
        <f>IF($C95="","",(IF($N95="Purchased",$H95,0)+$Q95))</f>
        <v/>
      </c>
      <c r="U95" s="10">
        <f>IF($C95="","",$S95-$T95)</f>
        <v/>
      </c>
      <c r="V95" s="11">
        <f>IF(OR($C95="",$I95=0),"",CEILING($T95/$I95,1))</f>
        <v/>
      </c>
      <c r="W95" s="6" t="n"/>
      <c r="X95">
        <f>IF(C95="","",LOWER(SUBSTITUTE(SUBSTITUTE(C95," ","-"),"'",""))&amp;".jpg")</f>
        <v/>
      </c>
      <c r="Y95">
        <f>IF(X95="","","/inventory/"&amp;X95)</f>
        <v/>
      </c>
      <c r="Z95">
        <f>IF(O95="Available","available",IF(OR(O95="Rented",O95="Cleaning",O95="Repair"),"unavailable",IF(O95="Retired","unavailable","")))</f>
        <v/>
      </c>
    </row>
    <row r="96" ht="150" customHeight="1">
      <c r="A96" t="inlineStr">
        <is>
          <t>W095</t>
        </is>
      </c>
      <c r="B96" s="6" t="n"/>
      <c r="C96" s="21" t="n"/>
      <c r="D96" s="25" t="n"/>
      <c r="E96" s="6" t="n"/>
      <c r="F96" s="19">
        <f>IF(E96="","",_xlfn.IMAGE(E96))</f>
        <v/>
      </c>
      <c r="G96" s="17" t="n"/>
      <c r="H96" s="39" t="n"/>
      <c r="I96" s="7" t="n"/>
      <c r="J96" s="25" t="n"/>
      <c r="K96" s="28" t="n"/>
      <c r="L96" s="6" t="n"/>
      <c r="M96" s="6" t="n"/>
      <c r="N96" s="6" t="n"/>
      <c r="O96" s="6" t="n"/>
      <c r="P96" s="8" t="n"/>
      <c r="Q96" s="7" t="n"/>
      <c r="R96" s="9" t="n"/>
      <c r="S96" s="10">
        <f>IF($C96="","",$I96*$R96)</f>
        <v/>
      </c>
      <c r="T96" s="10">
        <f>IF($C96="","",(IF($N96="Purchased",$H96,0)+$Q96))</f>
        <v/>
      </c>
      <c r="U96" s="10">
        <f>IF($C96="","",$S96-$T96)</f>
        <v/>
      </c>
      <c r="V96" s="11">
        <f>IF(OR($C96="",$I96=0),"",CEILING($T96/$I96,1))</f>
        <v/>
      </c>
      <c r="W96" s="6" t="n"/>
      <c r="X96">
        <f>IF(C96="","",LOWER(SUBSTITUTE(SUBSTITUTE(C96," ","-"),"'",""))&amp;".jpg")</f>
        <v/>
      </c>
      <c r="Y96">
        <f>IF(X96="","","/inventory/"&amp;X96)</f>
        <v/>
      </c>
      <c r="Z96">
        <f>IF(O96="Available","available",IF(OR(O96="Rented",O96="Cleaning",O96="Repair"),"unavailable",IF(O96="Retired","unavailable","")))</f>
        <v/>
      </c>
    </row>
    <row r="97" ht="150" customHeight="1">
      <c r="A97" t="inlineStr">
        <is>
          <t>W096</t>
        </is>
      </c>
      <c r="B97" s="6" t="n"/>
      <c r="C97" s="21" t="n"/>
      <c r="D97" s="25" t="n"/>
      <c r="E97" s="6" t="n"/>
      <c r="F97" s="19">
        <f>IF(E97="","",_xlfn.IMAGE(E97))</f>
        <v/>
      </c>
      <c r="G97" s="17" t="n"/>
      <c r="H97" s="39" t="n"/>
      <c r="I97" s="7" t="n"/>
      <c r="J97" s="25" t="n"/>
      <c r="K97" s="28" t="n"/>
      <c r="L97" s="6" t="n"/>
      <c r="M97" s="6" t="n"/>
      <c r="N97" s="6" t="n"/>
      <c r="O97" s="6" t="n"/>
      <c r="P97" s="8" t="n"/>
      <c r="Q97" s="7" t="n"/>
      <c r="R97" s="9" t="n"/>
      <c r="S97" s="10">
        <f>IF($C97="","",$I97*$R97)</f>
        <v/>
      </c>
      <c r="T97" s="10">
        <f>IF($C97="","",(IF($N97="Purchased",$H97,0)+$Q97))</f>
        <v/>
      </c>
      <c r="U97" s="10">
        <f>IF($C97="","",$S97-$T97)</f>
        <v/>
      </c>
      <c r="V97" s="11">
        <f>IF(OR($C97="",$I97=0),"",CEILING($T97/$I97,1))</f>
        <v/>
      </c>
      <c r="W97" s="6" t="n"/>
      <c r="X97">
        <f>IF(C97="","",LOWER(SUBSTITUTE(SUBSTITUTE(C97," ","-"),"'",""))&amp;".jpg")</f>
        <v/>
      </c>
      <c r="Y97">
        <f>IF(X97="","","/inventory/"&amp;X97)</f>
        <v/>
      </c>
      <c r="Z97">
        <f>IF(O97="Available","available",IF(OR(O97="Rented",O97="Cleaning",O97="Repair"),"unavailable",IF(O97="Retired","unavailable","")))</f>
        <v/>
      </c>
    </row>
    <row r="98" ht="150" customHeight="1">
      <c r="A98" t="inlineStr">
        <is>
          <t>W097</t>
        </is>
      </c>
      <c r="B98" s="6" t="n"/>
      <c r="C98" s="21" t="n"/>
      <c r="D98" s="25" t="n"/>
      <c r="E98" s="6" t="n"/>
      <c r="F98" s="19">
        <f>IF(E98="","",_xlfn.IMAGE(E98))</f>
        <v/>
      </c>
      <c r="G98" s="17" t="n"/>
      <c r="H98" s="39" t="n"/>
      <c r="I98" s="7" t="n"/>
      <c r="J98" s="25" t="n"/>
      <c r="K98" s="28" t="n"/>
      <c r="L98" s="6" t="n"/>
      <c r="M98" s="6" t="n"/>
      <c r="N98" s="6" t="n"/>
      <c r="O98" s="6" t="n"/>
      <c r="P98" s="8" t="n"/>
      <c r="Q98" s="7" t="n"/>
      <c r="R98" s="9" t="n"/>
      <c r="S98" s="10">
        <f>IF($C98="","",$I98*$R98)</f>
        <v/>
      </c>
      <c r="T98" s="10">
        <f>IF($C98="","",(IF($N98="Purchased",$H98,0)+$Q98))</f>
        <v/>
      </c>
      <c r="U98" s="10">
        <f>IF($C98="","",$S98-$T98)</f>
        <v/>
      </c>
      <c r="V98" s="11">
        <f>IF(OR($C98="",$I98=0),"",CEILING($T98/$I98,1))</f>
        <v/>
      </c>
      <c r="W98" s="6" t="n"/>
      <c r="X98">
        <f>IF(C98="","",LOWER(SUBSTITUTE(SUBSTITUTE(C98," ","-"),"'",""))&amp;".jpg")</f>
        <v/>
      </c>
      <c r="Y98">
        <f>IF(X98="","","/inventory/"&amp;X98)</f>
        <v/>
      </c>
      <c r="Z98">
        <f>IF(O98="Available","available",IF(OR(O98="Rented",O98="Cleaning",O98="Repair"),"unavailable",IF(O98="Retired","unavailable","")))</f>
        <v/>
      </c>
    </row>
    <row r="99" ht="150" customHeight="1">
      <c r="A99" t="inlineStr">
        <is>
          <t>W098</t>
        </is>
      </c>
      <c r="B99" s="6" t="n"/>
      <c r="C99" s="21" t="n"/>
      <c r="D99" s="25" t="n"/>
      <c r="E99" s="6" t="n"/>
      <c r="F99" s="19">
        <f>IF(E99="","",_xlfn.IMAGE(E99))</f>
        <v/>
      </c>
      <c r="G99" s="17" t="n"/>
      <c r="H99" s="39" t="n"/>
      <c r="I99" s="7" t="n"/>
      <c r="J99" s="25" t="n"/>
      <c r="K99" s="28" t="n"/>
      <c r="L99" s="6" t="n"/>
      <c r="M99" s="6" t="n"/>
      <c r="N99" s="6" t="n"/>
      <c r="O99" s="6" t="n"/>
      <c r="P99" s="8" t="n"/>
      <c r="Q99" s="7" t="n"/>
      <c r="R99" s="9" t="n"/>
      <c r="S99" s="10">
        <f>IF($C99="","",$I99*$R99)</f>
        <v/>
      </c>
      <c r="T99" s="10">
        <f>IF($C99="","",(IF($N99="Purchased",$H99,0)+$Q99))</f>
        <v/>
      </c>
      <c r="U99" s="10">
        <f>IF($C99="","",$S99-$T99)</f>
        <v/>
      </c>
      <c r="V99" s="11">
        <f>IF(OR($C99="",$I99=0),"",CEILING($T99/$I99,1))</f>
        <v/>
      </c>
      <c r="W99" s="6" t="n"/>
      <c r="X99">
        <f>IF(C99="","",LOWER(SUBSTITUTE(SUBSTITUTE(C99," ","-"),"'",""))&amp;".jpg")</f>
        <v/>
      </c>
      <c r="Y99">
        <f>IF(X99="","","/inventory/"&amp;X99)</f>
        <v/>
      </c>
      <c r="Z99">
        <f>IF(O99="Available","available",IF(OR(O99="Rented",O99="Cleaning",O99="Repair"),"unavailable",IF(O99="Retired","unavailable","")))</f>
        <v/>
      </c>
    </row>
    <row r="100" ht="150" customHeight="1">
      <c r="A100" t="inlineStr">
        <is>
          <t>W099</t>
        </is>
      </c>
      <c r="B100" s="6" t="n"/>
      <c r="C100" s="21" t="n"/>
      <c r="D100" s="25" t="n"/>
      <c r="E100" s="6" t="n"/>
      <c r="F100" s="19">
        <f>IF(E100="","",_xlfn.IMAGE(E100))</f>
        <v/>
      </c>
      <c r="G100" s="17" t="n"/>
      <c r="H100" s="39" t="n"/>
      <c r="I100" s="7" t="n"/>
      <c r="J100" s="25" t="n"/>
      <c r="K100" s="28" t="n"/>
      <c r="L100" s="6" t="n"/>
      <c r="M100" s="6" t="n"/>
      <c r="N100" s="6" t="n"/>
      <c r="O100" s="6" t="n"/>
      <c r="P100" s="8" t="n"/>
      <c r="Q100" s="7" t="n"/>
      <c r="R100" s="9" t="n"/>
      <c r="S100" s="10">
        <f>IF($C100="","",$I100*$R100)</f>
        <v/>
      </c>
      <c r="T100" s="10">
        <f>IF($C100="","",(IF($N100="Purchased",$H100,0)+$Q100))</f>
        <v/>
      </c>
      <c r="U100" s="10">
        <f>IF($C100="","",$S100-$T100)</f>
        <v/>
      </c>
      <c r="V100" s="11">
        <f>IF(OR($C100="",$I100=0),"",CEILING($T100/$I100,1))</f>
        <v/>
      </c>
      <c r="W100" s="6" t="n"/>
      <c r="X100">
        <f>IF(C100="","",LOWER(SUBSTITUTE(SUBSTITUTE(C100," ","-"),"'",""))&amp;".jpg")</f>
        <v/>
      </c>
      <c r="Y100">
        <f>IF(X100="","","/inventory/"&amp;X100)</f>
        <v/>
      </c>
      <c r="Z100">
        <f>IF(O100="Available","available",IF(OR(O100="Rented",O100="Cleaning",O100="Repair"),"unavailable",IF(O100="Retired","unavailable","")))</f>
        <v/>
      </c>
    </row>
    <row r="101" ht="150" customHeight="1">
      <c r="A101" t="inlineStr">
        <is>
          <t>W100</t>
        </is>
      </c>
      <c r="B101" s="6" t="n"/>
      <c r="C101" s="21" t="n"/>
      <c r="D101" s="25" t="n"/>
      <c r="E101" s="6" t="n"/>
      <c r="F101" s="19">
        <f>IF(E101="","",_xlfn.IMAGE(E101))</f>
        <v/>
      </c>
      <c r="G101" s="17" t="n"/>
      <c r="H101" s="39" t="n"/>
      <c r="I101" s="7" t="n"/>
      <c r="J101" s="25" t="n"/>
      <c r="K101" s="28" t="n"/>
      <c r="L101" s="6" t="n"/>
      <c r="M101" s="6" t="n"/>
      <c r="N101" s="6" t="n"/>
      <c r="O101" s="6" t="n"/>
      <c r="P101" s="8" t="n"/>
      <c r="Q101" s="7" t="n"/>
      <c r="R101" s="9" t="n"/>
      <c r="S101" s="10">
        <f>IF($C101="","",$I101*$R101)</f>
        <v/>
      </c>
      <c r="T101" s="10">
        <f>IF($C101="","",(IF($N101="Purchased",$H101,0)+$Q101))</f>
        <v/>
      </c>
      <c r="U101" s="10">
        <f>IF($C101="","",$S101-$T101)</f>
        <v/>
      </c>
      <c r="V101" s="11">
        <f>IF(OR($C101="",$I101=0),"",CEILING($T101/$I101,1))</f>
        <v/>
      </c>
      <c r="W101" s="6" t="n"/>
      <c r="X101">
        <f>IF(C101="","",LOWER(SUBSTITUTE(SUBSTITUTE(C101," ","-"),"'",""))&amp;".jpg")</f>
        <v/>
      </c>
      <c r="Y101">
        <f>IF(X101="","","/inventory/"&amp;X101)</f>
        <v/>
      </c>
      <c r="Z101">
        <f>IF(O101="Available","available",IF(OR(O101="Rented",O101="Cleaning",O101="Repair"),"unavailable",IF(O101="Retired","unavailable","")))</f>
        <v/>
      </c>
    </row>
    <row r="102" ht="150" customHeight="1">
      <c r="A102" t="inlineStr">
        <is>
          <t>W101</t>
        </is>
      </c>
      <c r="B102" s="6" t="n"/>
      <c r="C102" s="21" t="n"/>
      <c r="D102" s="25" t="n"/>
      <c r="E102" s="6" t="n"/>
      <c r="F102" s="19">
        <f>IF(E102="","",_xlfn.IMAGE(E102))</f>
        <v/>
      </c>
      <c r="G102" s="17" t="n"/>
      <c r="H102" s="39" t="n"/>
      <c r="I102" s="7" t="n"/>
      <c r="J102" s="25" t="n"/>
      <c r="K102" s="28" t="n"/>
      <c r="L102" s="6" t="n"/>
      <c r="M102" s="6" t="n"/>
      <c r="N102" s="6" t="n"/>
      <c r="O102" s="6" t="n"/>
      <c r="P102" s="8" t="n"/>
      <c r="Q102" s="7" t="n"/>
      <c r="R102" s="9" t="n"/>
      <c r="S102" s="10">
        <f>IF($C102="","",$I102*$R102)</f>
        <v/>
      </c>
      <c r="T102" s="10">
        <f>IF($C102="","",(IF($N102="Purchased",$H102,0)+$Q102))</f>
        <v/>
      </c>
      <c r="U102" s="10">
        <f>IF($C102="","",$S102-$T102)</f>
        <v/>
      </c>
      <c r="V102" s="11">
        <f>IF(OR($C102="",$I102=0),"",CEILING($T102/$I102,1))</f>
        <v/>
      </c>
      <c r="W102" s="6" t="n"/>
      <c r="X102">
        <f>IF(C102="","",LOWER(SUBSTITUTE(SUBSTITUTE(C102," ","-"),"'",""))&amp;".jpg")</f>
        <v/>
      </c>
      <c r="Y102">
        <f>IF(X102="","","/inventory/"&amp;X102)</f>
        <v/>
      </c>
      <c r="Z102">
        <f>IF(O102="Available","available",IF(OR(O102="Rented",O102="Cleaning",O102="Repair"),"unavailable",IF(O102="Retired","unavailable","")))</f>
        <v/>
      </c>
    </row>
    <row r="103" ht="150" customHeight="1">
      <c r="A103" t="inlineStr">
        <is>
          <t>W102</t>
        </is>
      </c>
      <c r="B103" s="6" t="n"/>
      <c r="C103" s="21" t="n"/>
      <c r="D103" s="25" t="n"/>
      <c r="E103" s="6" t="n"/>
      <c r="F103" s="19">
        <f>IF(E103="","",_xlfn.IMAGE(E103))</f>
        <v/>
      </c>
      <c r="G103" s="17" t="n"/>
      <c r="H103" s="39" t="n"/>
      <c r="I103" s="7" t="n"/>
      <c r="J103" s="25" t="n"/>
      <c r="K103" s="28" t="n"/>
      <c r="L103" s="6" t="n"/>
      <c r="M103" s="6" t="n"/>
      <c r="N103" s="6" t="n"/>
      <c r="O103" s="6" t="n"/>
      <c r="P103" s="8" t="n"/>
      <c r="Q103" s="7" t="n"/>
      <c r="R103" s="9" t="n"/>
      <c r="S103" s="10">
        <f>IF($C103="","",$I103*$R103)</f>
        <v/>
      </c>
      <c r="T103" s="10">
        <f>IF($C103="","",(IF($N103="Purchased",$H103,0)+$Q103))</f>
        <v/>
      </c>
      <c r="U103" s="10">
        <f>IF($C103="","",$S103-$T103)</f>
        <v/>
      </c>
      <c r="V103" s="11">
        <f>IF(OR($C103="",$I103=0),"",CEILING($T103/$I103,1))</f>
        <v/>
      </c>
      <c r="W103" s="6" t="n"/>
      <c r="X103">
        <f>IF(C103="","",LOWER(SUBSTITUTE(SUBSTITUTE(C103," ","-"),"'",""))&amp;".jpg")</f>
        <v/>
      </c>
      <c r="Y103">
        <f>IF(X103="","","/inventory/"&amp;X103)</f>
        <v/>
      </c>
      <c r="Z103">
        <f>IF(O103="Available","available",IF(OR(O103="Rented",O103="Cleaning",O103="Repair"),"unavailable",IF(O103="Retired","unavailable","")))</f>
        <v/>
      </c>
    </row>
    <row r="104" ht="150" customHeight="1">
      <c r="A104" t="inlineStr">
        <is>
          <t>W103</t>
        </is>
      </c>
      <c r="B104" s="6" t="n"/>
      <c r="C104" s="21" t="n"/>
      <c r="D104" s="25" t="n"/>
      <c r="E104" s="6" t="n"/>
      <c r="F104" s="19">
        <f>IF(E104="","",_xlfn.IMAGE(E104))</f>
        <v/>
      </c>
      <c r="G104" s="17" t="n"/>
      <c r="H104" s="39" t="n"/>
      <c r="I104" s="7" t="n"/>
      <c r="J104" s="25" t="n"/>
      <c r="K104" s="28" t="n"/>
      <c r="L104" s="6" t="n"/>
      <c r="M104" s="6" t="n"/>
      <c r="N104" s="6" t="n"/>
      <c r="O104" s="6" t="n"/>
      <c r="P104" s="8" t="n"/>
      <c r="Q104" s="7" t="n"/>
      <c r="R104" s="9" t="n"/>
      <c r="S104" s="10">
        <f>IF($C104="","",$I104*$R104)</f>
        <v/>
      </c>
      <c r="T104" s="10">
        <f>IF($C104="","",(IF($N104="Purchased",$H104,0)+$Q104))</f>
        <v/>
      </c>
      <c r="U104" s="10">
        <f>IF($C104="","",$S104-$T104)</f>
        <v/>
      </c>
      <c r="V104" s="11">
        <f>IF(OR($C104="",$I104=0),"",CEILING($T104/$I104,1))</f>
        <v/>
      </c>
      <c r="W104" s="6" t="n"/>
      <c r="X104">
        <f>IF(C104="","",LOWER(SUBSTITUTE(SUBSTITUTE(C104," ","-"),"'",""))&amp;".jpg")</f>
        <v/>
      </c>
      <c r="Y104">
        <f>IF(X104="","","/inventory/"&amp;X104)</f>
        <v/>
      </c>
      <c r="Z104">
        <f>IF(O104="Available","available",IF(OR(O104="Rented",O104="Cleaning",O104="Repair"),"unavailable",IF(O104="Retired","unavailable","")))</f>
        <v/>
      </c>
    </row>
    <row r="105" ht="150" customHeight="1">
      <c r="A105" t="inlineStr">
        <is>
          <t>W104</t>
        </is>
      </c>
      <c r="B105" s="6" t="n"/>
      <c r="C105" s="21" t="n"/>
      <c r="D105" s="25" t="n"/>
      <c r="E105" s="6" t="n"/>
      <c r="F105" s="19">
        <f>IF(E105="","",_xlfn.IMAGE(E105))</f>
        <v/>
      </c>
      <c r="G105" s="17" t="n"/>
      <c r="H105" s="39" t="n"/>
      <c r="I105" s="7" t="n"/>
      <c r="J105" s="25" t="n"/>
      <c r="K105" s="28" t="n"/>
      <c r="L105" s="6" t="n"/>
      <c r="M105" s="6" t="n"/>
      <c r="N105" s="6" t="n"/>
      <c r="O105" s="6" t="n"/>
      <c r="P105" s="8" t="n"/>
      <c r="Q105" s="7" t="n"/>
      <c r="R105" s="9" t="n"/>
      <c r="S105" s="10">
        <f>IF($C105="","",$I105*$R105)</f>
        <v/>
      </c>
      <c r="T105" s="10">
        <f>IF($C105="","",(IF($N105="Purchased",$H105,0)+$Q105))</f>
        <v/>
      </c>
      <c r="U105" s="10">
        <f>IF($C105="","",$S105-$T105)</f>
        <v/>
      </c>
      <c r="V105" s="11">
        <f>IF(OR($C105="",$I105=0),"",CEILING($T105/$I105,1))</f>
        <v/>
      </c>
      <c r="W105" s="6" t="n"/>
      <c r="X105">
        <f>IF(C105="","",LOWER(SUBSTITUTE(SUBSTITUTE(C105," ","-"),"'",""))&amp;".jpg")</f>
        <v/>
      </c>
      <c r="Y105">
        <f>IF(X105="","","/inventory/"&amp;X105)</f>
        <v/>
      </c>
      <c r="Z105">
        <f>IF(O105="Available","available",IF(OR(O105="Rented",O105="Cleaning",O105="Repair"),"unavailable",IF(O105="Retired","unavailable","")))</f>
        <v/>
      </c>
    </row>
    <row r="106" ht="150" customHeight="1">
      <c r="A106" t="inlineStr">
        <is>
          <t>W105</t>
        </is>
      </c>
      <c r="B106" s="6" t="n"/>
      <c r="C106" s="21" t="n"/>
      <c r="D106" s="25" t="n"/>
      <c r="E106" s="6" t="n"/>
      <c r="F106" s="19">
        <f>IF(E106="","",_xlfn.IMAGE(E106))</f>
        <v/>
      </c>
      <c r="G106" s="17" t="n"/>
      <c r="H106" s="39" t="n"/>
      <c r="I106" s="7" t="n"/>
      <c r="J106" s="25" t="n"/>
      <c r="K106" s="28" t="n"/>
      <c r="L106" s="6" t="n"/>
      <c r="M106" s="6" t="n"/>
      <c r="N106" s="6" t="n"/>
      <c r="O106" s="6" t="n"/>
      <c r="P106" s="8" t="n"/>
      <c r="Q106" s="7" t="n"/>
      <c r="R106" s="9" t="n"/>
      <c r="S106" s="10">
        <f>IF($C106="","",$I106*$R106)</f>
        <v/>
      </c>
      <c r="T106" s="10">
        <f>IF($C106="","",(IF($N106="Purchased",$H106,0)+$Q106))</f>
        <v/>
      </c>
      <c r="U106" s="10">
        <f>IF($C106="","",$S106-$T106)</f>
        <v/>
      </c>
      <c r="V106" s="11">
        <f>IF(OR($C106="",$I106=0),"",CEILING($T106/$I106,1))</f>
        <v/>
      </c>
      <c r="W106" s="6" t="n"/>
      <c r="X106">
        <f>IF(C106="","",LOWER(SUBSTITUTE(SUBSTITUTE(C106," ","-"),"'",""))&amp;".jpg")</f>
        <v/>
      </c>
      <c r="Y106">
        <f>IF(X106="","","/inventory/"&amp;X106)</f>
        <v/>
      </c>
      <c r="Z106">
        <f>IF(O106="Available","available",IF(OR(O106="Rented",O106="Cleaning",O106="Repair"),"unavailable",IF(O106="Retired","unavailable","")))</f>
        <v/>
      </c>
    </row>
    <row r="107" ht="150" customHeight="1">
      <c r="A107" t="inlineStr">
        <is>
          <t>W106</t>
        </is>
      </c>
      <c r="B107" s="6" t="n"/>
      <c r="C107" s="21" t="n"/>
      <c r="D107" s="25" t="n"/>
      <c r="E107" s="6" t="n"/>
      <c r="F107" s="19">
        <f>IF(E107="","",_xlfn.IMAGE(E107))</f>
        <v/>
      </c>
      <c r="G107" s="17" t="n"/>
      <c r="H107" s="39" t="n"/>
      <c r="I107" s="7" t="n"/>
      <c r="J107" s="25" t="n"/>
      <c r="K107" s="28" t="n"/>
      <c r="L107" s="6" t="n"/>
      <c r="M107" s="6" t="n"/>
      <c r="N107" s="6" t="n"/>
      <c r="O107" s="6" t="n"/>
      <c r="P107" s="8" t="n"/>
      <c r="Q107" s="7" t="n"/>
      <c r="R107" s="9" t="n"/>
      <c r="S107" s="10">
        <f>IF($C107="","",$I107*$R107)</f>
        <v/>
      </c>
      <c r="T107" s="10">
        <f>IF($C107="","",(IF($N107="Purchased",$H107,0)+$Q107))</f>
        <v/>
      </c>
      <c r="U107" s="10">
        <f>IF($C107="","",$S107-$T107)</f>
        <v/>
      </c>
      <c r="V107" s="11">
        <f>IF(OR($C107="",$I107=0),"",CEILING($T107/$I107,1))</f>
        <v/>
      </c>
      <c r="W107" s="6" t="n"/>
      <c r="X107">
        <f>IF(C107="","",LOWER(SUBSTITUTE(SUBSTITUTE(C107," ","-"),"'",""))&amp;".jpg")</f>
        <v/>
      </c>
      <c r="Y107">
        <f>IF(X107="","","/inventory/"&amp;X107)</f>
        <v/>
      </c>
      <c r="Z107">
        <f>IF(O107="Available","available",IF(OR(O107="Rented",O107="Cleaning",O107="Repair"),"unavailable",IF(O107="Retired","unavailable","")))</f>
        <v/>
      </c>
    </row>
    <row r="108" ht="150" customHeight="1">
      <c r="A108" t="inlineStr">
        <is>
          <t>W107</t>
        </is>
      </c>
      <c r="B108" s="6" t="n"/>
      <c r="C108" s="21" t="n"/>
      <c r="D108" s="25" t="n"/>
      <c r="E108" s="6" t="n"/>
      <c r="F108" s="19">
        <f>IF(E108="","",_xlfn.IMAGE(E108))</f>
        <v/>
      </c>
      <c r="G108" s="17" t="n"/>
      <c r="H108" s="39" t="n"/>
      <c r="I108" s="7" t="n"/>
      <c r="J108" s="25" t="n"/>
      <c r="K108" s="28" t="n"/>
      <c r="L108" s="6" t="n"/>
      <c r="M108" s="6" t="n"/>
      <c r="N108" s="6" t="n"/>
      <c r="O108" s="6" t="n"/>
      <c r="P108" s="8" t="n"/>
      <c r="Q108" s="7" t="n"/>
      <c r="R108" s="9" t="n"/>
      <c r="S108" s="10">
        <f>IF($C108="","",$I108*$R108)</f>
        <v/>
      </c>
      <c r="T108" s="10">
        <f>IF($C108="","",(IF($N108="Purchased",$H108,0)+$Q108))</f>
        <v/>
      </c>
      <c r="U108" s="10">
        <f>IF($C108="","",$S108-$T108)</f>
        <v/>
      </c>
      <c r="V108" s="11">
        <f>IF(OR($C108="",$I108=0),"",CEILING($T108/$I108,1))</f>
        <v/>
      </c>
      <c r="W108" s="6" t="n"/>
      <c r="X108">
        <f>IF(C108="","",LOWER(SUBSTITUTE(SUBSTITUTE(C108," ","-"),"'",""))&amp;".jpg")</f>
        <v/>
      </c>
      <c r="Y108">
        <f>IF(X108="","","/inventory/"&amp;X108)</f>
        <v/>
      </c>
      <c r="Z108">
        <f>IF(O108="Available","available",IF(OR(O108="Rented",O108="Cleaning",O108="Repair"),"unavailable",IF(O108="Retired","unavailable","")))</f>
        <v/>
      </c>
    </row>
    <row r="109" ht="150" customHeight="1">
      <c r="A109" t="inlineStr">
        <is>
          <t>W108</t>
        </is>
      </c>
      <c r="B109" s="6" t="n"/>
      <c r="C109" s="21" t="n"/>
      <c r="D109" s="25" t="n"/>
      <c r="E109" s="6" t="n"/>
      <c r="F109" s="19">
        <f>IF(E109="","",_xlfn.IMAGE(E109))</f>
        <v/>
      </c>
      <c r="G109" s="17" t="n"/>
      <c r="H109" s="39" t="n"/>
      <c r="I109" s="7" t="n"/>
      <c r="J109" s="25" t="n"/>
      <c r="K109" s="28" t="n"/>
      <c r="L109" s="6" t="n"/>
      <c r="M109" s="6" t="n"/>
      <c r="N109" s="6" t="n"/>
      <c r="O109" s="6" t="n"/>
      <c r="P109" s="8" t="n"/>
      <c r="Q109" s="7" t="n"/>
      <c r="R109" s="9" t="n"/>
      <c r="S109" s="10">
        <f>IF($C109="","",$I109*$R109)</f>
        <v/>
      </c>
      <c r="T109" s="10">
        <f>IF($C109="","",(IF($N109="Purchased",$H109,0)+$Q109))</f>
        <v/>
      </c>
      <c r="U109" s="10">
        <f>IF($C109="","",$S109-$T109)</f>
        <v/>
      </c>
      <c r="V109" s="11">
        <f>IF(OR($C109="",$I109=0),"",CEILING($T109/$I109,1))</f>
        <v/>
      </c>
      <c r="W109" s="6" t="n"/>
      <c r="X109">
        <f>IF(C109="","",LOWER(SUBSTITUTE(SUBSTITUTE(C109," ","-"),"'",""))&amp;".jpg")</f>
        <v/>
      </c>
      <c r="Y109">
        <f>IF(X109="","","/inventory/"&amp;X109)</f>
        <v/>
      </c>
      <c r="Z109">
        <f>IF(O109="Available","available",IF(OR(O109="Rented",O109="Cleaning",O109="Repair"),"unavailable",IF(O109="Retired","unavailable","")))</f>
        <v/>
      </c>
    </row>
    <row r="110" ht="150" customHeight="1">
      <c r="A110" t="inlineStr">
        <is>
          <t>W109</t>
        </is>
      </c>
      <c r="B110" s="6" t="n"/>
      <c r="C110" s="21" t="n"/>
      <c r="D110" s="25" t="n"/>
      <c r="E110" s="6" t="n"/>
      <c r="F110" s="19">
        <f>IF(E110="","",_xlfn.IMAGE(E110))</f>
        <v/>
      </c>
      <c r="G110" s="17" t="n"/>
      <c r="H110" s="39" t="n"/>
      <c r="I110" s="7" t="n"/>
      <c r="J110" s="25" t="n"/>
      <c r="K110" s="28" t="n"/>
      <c r="L110" s="6" t="n"/>
      <c r="M110" s="6" t="n"/>
      <c r="N110" s="6" t="n"/>
      <c r="O110" s="6" t="n"/>
      <c r="P110" s="8" t="n"/>
      <c r="Q110" s="7" t="n"/>
      <c r="R110" s="9" t="n"/>
      <c r="S110" s="10">
        <f>IF($C110="","",$I110*$R110)</f>
        <v/>
      </c>
      <c r="T110" s="10">
        <f>IF($C110="","",(IF($N110="Purchased",$H110,0)+$Q110))</f>
        <v/>
      </c>
      <c r="U110" s="10">
        <f>IF($C110="","",$S110-$T110)</f>
        <v/>
      </c>
      <c r="V110" s="11">
        <f>IF(OR($C110="",$I110=0),"",CEILING($T110/$I110,1))</f>
        <v/>
      </c>
      <c r="W110" s="6" t="n"/>
      <c r="X110">
        <f>IF(C110="","",LOWER(SUBSTITUTE(SUBSTITUTE(C110," ","-"),"'",""))&amp;".jpg")</f>
        <v/>
      </c>
      <c r="Y110">
        <f>IF(X110="","","/inventory/"&amp;X110)</f>
        <v/>
      </c>
      <c r="Z110">
        <f>IF(O110="Available","available",IF(OR(O110="Rented",O110="Cleaning",O110="Repair"),"unavailable",IF(O110="Retired","unavailable","")))</f>
        <v/>
      </c>
    </row>
    <row r="111" ht="150" customHeight="1">
      <c r="A111" t="inlineStr">
        <is>
          <t>W110</t>
        </is>
      </c>
      <c r="B111" s="6" t="n"/>
      <c r="C111" s="21" t="n"/>
      <c r="D111" s="25" t="n"/>
      <c r="E111" s="6" t="n"/>
      <c r="F111" s="19">
        <f>IF(E111="","",_xlfn.IMAGE(E111))</f>
        <v/>
      </c>
      <c r="G111" s="17" t="n"/>
      <c r="H111" s="39" t="n"/>
      <c r="I111" s="7" t="n"/>
      <c r="J111" s="25" t="n"/>
      <c r="K111" s="28" t="n"/>
      <c r="L111" s="6" t="n"/>
      <c r="M111" s="6" t="n"/>
      <c r="N111" s="6" t="n"/>
      <c r="O111" s="6" t="n"/>
      <c r="P111" s="8" t="n"/>
      <c r="Q111" s="7" t="n"/>
      <c r="R111" s="9" t="n"/>
      <c r="S111" s="10">
        <f>IF($C111="","",$I111*$R111)</f>
        <v/>
      </c>
      <c r="T111" s="10">
        <f>IF($C111="","",(IF($N111="Purchased",$H111,0)+$Q111))</f>
        <v/>
      </c>
      <c r="U111" s="10">
        <f>IF($C111="","",$S111-$T111)</f>
        <v/>
      </c>
      <c r="V111" s="11">
        <f>IF(OR($C111="",$I111=0),"",CEILING($T111/$I111,1))</f>
        <v/>
      </c>
      <c r="W111" s="6" t="n"/>
      <c r="X111">
        <f>IF(C111="","",LOWER(SUBSTITUTE(SUBSTITUTE(C111," ","-"),"'",""))&amp;".jpg")</f>
        <v/>
      </c>
      <c r="Y111">
        <f>IF(X111="","","/inventory/"&amp;X111)</f>
        <v/>
      </c>
      <c r="Z111">
        <f>IF(O111="Available","available",IF(OR(O111="Rented",O111="Cleaning",O111="Repair"),"unavailable",IF(O111="Retired","unavailable","")))</f>
        <v/>
      </c>
    </row>
    <row r="112" ht="150" customHeight="1">
      <c r="A112" t="inlineStr">
        <is>
          <t>W111</t>
        </is>
      </c>
      <c r="B112" s="6" t="n"/>
      <c r="C112" s="21" t="n"/>
      <c r="D112" s="25" t="n"/>
      <c r="E112" s="6" t="n"/>
      <c r="F112" s="19">
        <f>IF(E112="","",_xlfn.IMAGE(E112))</f>
        <v/>
      </c>
      <c r="G112" s="17" t="n"/>
      <c r="H112" s="39" t="n"/>
      <c r="I112" s="7" t="n"/>
      <c r="J112" s="25" t="n"/>
      <c r="K112" s="28" t="n"/>
      <c r="L112" s="6" t="n"/>
      <c r="M112" s="6" t="n"/>
      <c r="N112" s="6" t="n"/>
      <c r="O112" s="6" t="n"/>
      <c r="P112" s="8" t="n"/>
      <c r="Q112" s="7" t="n"/>
      <c r="R112" s="9" t="n"/>
      <c r="S112" s="10">
        <f>IF($C112="","",$I112*$R112)</f>
        <v/>
      </c>
      <c r="T112" s="10">
        <f>IF($C112="","",(IF($N112="Purchased",$H112,0)+$Q112))</f>
        <v/>
      </c>
      <c r="U112" s="10">
        <f>IF($C112="","",$S112-$T112)</f>
        <v/>
      </c>
      <c r="V112" s="11">
        <f>IF(OR($C112="",$I112=0),"",CEILING($T112/$I112,1))</f>
        <v/>
      </c>
      <c r="W112" s="6" t="n"/>
      <c r="X112">
        <f>IF(C112="","",LOWER(SUBSTITUTE(SUBSTITUTE(C112," ","-"),"'",""))&amp;".jpg")</f>
        <v/>
      </c>
      <c r="Y112">
        <f>IF(X112="","","/inventory/"&amp;X112)</f>
        <v/>
      </c>
      <c r="Z112">
        <f>IF(O112="Available","available",IF(OR(O112="Rented",O112="Cleaning",O112="Repair"),"unavailable",IF(O112="Retired","unavailable","")))</f>
        <v/>
      </c>
    </row>
    <row r="113" ht="150" customHeight="1">
      <c r="A113" t="inlineStr">
        <is>
          <t>W112</t>
        </is>
      </c>
      <c r="B113" s="6" t="n"/>
      <c r="C113" s="21" t="n"/>
      <c r="D113" s="25" t="n"/>
      <c r="E113" s="6" t="n"/>
      <c r="F113" s="19">
        <f>IF(E113="","",_xlfn.IMAGE(E113))</f>
        <v/>
      </c>
      <c r="G113" s="17" t="n"/>
      <c r="H113" s="39" t="n"/>
      <c r="I113" s="7" t="n"/>
      <c r="J113" s="25" t="n"/>
      <c r="K113" s="28" t="n"/>
      <c r="L113" s="6" t="n"/>
      <c r="M113" s="6" t="n"/>
      <c r="N113" s="6" t="n"/>
      <c r="O113" s="6" t="n"/>
      <c r="P113" s="8" t="n"/>
      <c r="Q113" s="7" t="n"/>
      <c r="R113" s="9" t="n"/>
      <c r="S113" s="10">
        <f>IF($C113="","",$I113*$R113)</f>
        <v/>
      </c>
      <c r="T113" s="10">
        <f>IF($C113="","",(IF($N113="Purchased",$H113,0)+$Q113))</f>
        <v/>
      </c>
      <c r="U113" s="10">
        <f>IF($C113="","",$S113-$T113)</f>
        <v/>
      </c>
      <c r="V113" s="11">
        <f>IF(OR($C113="",$I113=0),"",CEILING($T113/$I113,1))</f>
        <v/>
      </c>
      <c r="W113" s="6" t="n"/>
      <c r="X113">
        <f>IF(C113="","",LOWER(SUBSTITUTE(SUBSTITUTE(C113," ","-"),"'",""))&amp;".jpg")</f>
        <v/>
      </c>
      <c r="Y113">
        <f>IF(X113="","","/inventory/"&amp;X113)</f>
        <v/>
      </c>
      <c r="Z113">
        <f>IF(O113="Available","available",IF(OR(O113="Rented",O113="Cleaning",O113="Repair"),"unavailable",IF(O113="Retired","unavailable","")))</f>
        <v/>
      </c>
    </row>
    <row r="114" ht="150" customHeight="1">
      <c r="A114" t="inlineStr">
        <is>
          <t>W113</t>
        </is>
      </c>
      <c r="B114" s="6" t="n"/>
      <c r="C114" s="21" t="n"/>
      <c r="D114" s="25" t="n"/>
      <c r="E114" s="6" t="n"/>
      <c r="F114" s="19">
        <f>IF(E114="","",_xlfn.IMAGE(E114))</f>
        <v/>
      </c>
      <c r="G114" s="17" t="n"/>
      <c r="H114" s="39" t="n"/>
      <c r="I114" s="7" t="n"/>
      <c r="J114" s="25" t="n"/>
      <c r="K114" s="28" t="n"/>
      <c r="L114" s="6" t="n"/>
      <c r="M114" s="6" t="n"/>
      <c r="N114" s="6" t="n"/>
      <c r="O114" s="6" t="n"/>
      <c r="P114" s="8" t="n"/>
      <c r="Q114" s="7" t="n"/>
      <c r="R114" s="9" t="n"/>
      <c r="S114" s="10">
        <f>IF($C114="","",$I114*$R114)</f>
        <v/>
      </c>
      <c r="T114" s="10">
        <f>IF($C114="","",(IF($N114="Purchased",$H114,0)+$Q114))</f>
        <v/>
      </c>
      <c r="U114" s="10">
        <f>IF($C114="","",$S114-$T114)</f>
        <v/>
      </c>
      <c r="V114" s="11">
        <f>IF(OR($C114="",$I114=0),"",CEILING($T114/$I114,1))</f>
        <v/>
      </c>
      <c r="W114" s="6" t="n"/>
      <c r="X114">
        <f>IF(C114="","",LOWER(SUBSTITUTE(SUBSTITUTE(C114," ","-"),"'",""))&amp;".jpg")</f>
        <v/>
      </c>
      <c r="Y114">
        <f>IF(X114="","","/inventory/"&amp;X114)</f>
        <v/>
      </c>
      <c r="Z114">
        <f>IF(O114="Available","available",IF(OR(O114="Rented",O114="Cleaning",O114="Repair"),"unavailable",IF(O114="Retired","unavailable","")))</f>
        <v/>
      </c>
    </row>
    <row r="115" ht="150" customHeight="1">
      <c r="A115" t="inlineStr">
        <is>
          <t>W114</t>
        </is>
      </c>
      <c r="B115" s="6" t="n"/>
      <c r="C115" s="21" t="n"/>
      <c r="D115" s="25" t="n"/>
      <c r="E115" s="6" t="n"/>
      <c r="F115" s="19">
        <f>IF(E115="","",_xlfn.IMAGE(E115))</f>
        <v/>
      </c>
      <c r="G115" s="17" t="n"/>
      <c r="H115" s="39" t="n"/>
      <c r="I115" s="7" t="n"/>
      <c r="J115" s="25" t="n"/>
      <c r="K115" s="28" t="n"/>
      <c r="L115" s="6" t="n"/>
      <c r="M115" s="6" t="n"/>
      <c r="N115" s="6" t="n"/>
      <c r="O115" s="6" t="n"/>
      <c r="P115" s="8" t="n"/>
      <c r="Q115" s="7" t="n"/>
      <c r="R115" s="9" t="n"/>
      <c r="S115" s="10">
        <f>IF($C115="","",$I115*$R115)</f>
        <v/>
      </c>
      <c r="T115" s="10">
        <f>IF($C115="","",(IF($N115="Purchased",$H115,0)+$Q115))</f>
        <v/>
      </c>
      <c r="U115" s="10">
        <f>IF($C115="","",$S115-$T115)</f>
        <v/>
      </c>
      <c r="V115" s="11">
        <f>IF(OR($C115="",$I115=0),"",CEILING($T115/$I115,1))</f>
        <v/>
      </c>
      <c r="W115" s="6" t="n"/>
      <c r="X115">
        <f>IF(C115="","",LOWER(SUBSTITUTE(SUBSTITUTE(C115," ","-"),"'",""))&amp;".jpg")</f>
        <v/>
      </c>
      <c r="Y115">
        <f>IF(X115="","","/inventory/"&amp;X115)</f>
        <v/>
      </c>
      <c r="Z115">
        <f>IF(O115="Available","available",IF(OR(O115="Rented",O115="Cleaning",O115="Repair"),"unavailable",IF(O115="Retired","unavailable","")))</f>
        <v/>
      </c>
    </row>
    <row r="116" ht="150" customHeight="1">
      <c r="A116" t="inlineStr">
        <is>
          <t>W115</t>
        </is>
      </c>
      <c r="B116" s="6" t="n"/>
      <c r="C116" s="21" t="n"/>
      <c r="D116" s="25" t="n"/>
      <c r="E116" s="6" t="n"/>
      <c r="F116" s="19">
        <f>IF(E116="","",_xlfn.IMAGE(E116))</f>
        <v/>
      </c>
      <c r="G116" s="17" t="n"/>
      <c r="H116" s="39" t="n"/>
      <c r="I116" s="7" t="n"/>
      <c r="J116" s="25" t="n"/>
      <c r="K116" s="28" t="n"/>
      <c r="L116" s="6" t="n"/>
      <c r="M116" s="6" t="n"/>
      <c r="N116" s="6" t="n"/>
      <c r="O116" s="6" t="n"/>
      <c r="P116" s="8" t="n"/>
      <c r="Q116" s="7" t="n"/>
      <c r="R116" s="9" t="n"/>
      <c r="S116" s="10">
        <f>IF($C116="","",$I116*$R116)</f>
        <v/>
      </c>
      <c r="T116" s="10">
        <f>IF($C116="","",(IF($N116="Purchased",$H116,0)+$Q116))</f>
        <v/>
      </c>
      <c r="U116" s="10">
        <f>IF($C116="","",$S116-$T116)</f>
        <v/>
      </c>
      <c r="V116" s="11">
        <f>IF(OR($C116="",$I116=0),"",CEILING($T116/$I116,1))</f>
        <v/>
      </c>
      <c r="W116" s="6" t="n"/>
      <c r="X116">
        <f>IF(C116="","",LOWER(SUBSTITUTE(SUBSTITUTE(C116," ","-"),"'",""))&amp;".jpg")</f>
        <v/>
      </c>
      <c r="Y116">
        <f>IF(X116="","","/inventory/"&amp;X116)</f>
        <v/>
      </c>
      <c r="Z116">
        <f>IF(O116="Available","available",IF(OR(O116="Rented",O116="Cleaning",O116="Repair"),"unavailable",IF(O116="Retired","unavailable","")))</f>
        <v/>
      </c>
    </row>
    <row r="117" ht="150" customHeight="1">
      <c r="A117" t="inlineStr">
        <is>
          <t>W116</t>
        </is>
      </c>
      <c r="B117" s="6" t="n"/>
      <c r="C117" s="21" t="n"/>
      <c r="D117" s="25" t="n"/>
      <c r="E117" s="6" t="n"/>
      <c r="F117" s="19">
        <f>IF(E117="","",_xlfn.IMAGE(E117))</f>
        <v/>
      </c>
      <c r="G117" s="17" t="n"/>
      <c r="H117" s="39" t="n"/>
      <c r="I117" s="7" t="n"/>
      <c r="J117" s="25" t="n"/>
      <c r="K117" s="28" t="n"/>
      <c r="L117" s="6" t="n"/>
      <c r="M117" s="6" t="n"/>
      <c r="N117" s="6" t="n"/>
      <c r="O117" s="6" t="n"/>
      <c r="P117" s="8" t="n"/>
      <c r="Q117" s="7" t="n"/>
      <c r="R117" s="9" t="n"/>
      <c r="S117" s="10">
        <f>IF($C117="","",$I117*$R117)</f>
        <v/>
      </c>
      <c r="T117" s="10">
        <f>IF($C117="","",(IF($N117="Purchased",$H117,0)+$Q117))</f>
        <v/>
      </c>
      <c r="U117" s="10">
        <f>IF($C117="","",$S117-$T117)</f>
        <v/>
      </c>
      <c r="V117" s="11">
        <f>IF(OR($C117="",$I117=0),"",CEILING($T117/$I117,1))</f>
        <v/>
      </c>
      <c r="W117" s="6" t="n"/>
      <c r="X117">
        <f>IF(C117="","",LOWER(SUBSTITUTE(SUBSTITUTE(C117," ","-"),"'",""))&amp;".jpg")</f>
        <v/>
      </c>
      <c r="Y117">
        <f>IF(X117="","","/inventory/"&amp;X117)</f>
        <v/>
      </c>
      <c r="Z117">
        <f>IF(O117="Available","available",IF(OR(O117="Rented",O117="Cleaning",O117="Repair"),"unavailable",IF(O117="Retired","unavailable","")))</f>
        <v/>
      </c>
    </row>
    <row r="118" ht="150" customHeight="1">
      <c r="A118" t="inlineStr">
        <is>
          <t>W117</t>
        </is>
      </c>
      <c r="B118" s="6" t="n"/>
      <c r="C118" s="21" t="n"/>
      <c r="D118" s="25" t="n"/>
      <c r="E118" s="6" t="n"/>
      <c r="F118" s="19">
        <f>IF(E118="","",_xlfn.IMAGE(E118))</f>
        <v/>
      </c>
      <c r="G118" s="17" t="n"/>
      <c r="H118" s="39" t="n"/>
      <c r="I118" s="7" t="n"/>
      <c r="J118" s="25" t="n"/>
      <c r="K118" s="28" t="n"/>
      <c r="L118" s="6" t="n"/>
      <c r="M118" s="6" t="n"/>
      <c r="N118" s="6" t="n"/>
      <c r="O118" s="6" t="n"/>
      <c r="P118" s="8" t="n"/>
      <c r="Q118" s="7" t="n"/>
      <c r="R118" s="9" t="n"/>
      <c r="S118" s="10">
        <f>IF($C118="","",$I118*$R118)</f>
        <v/>
      </c>
      <c r="T118" s="10">
        <f>IF($C118="","",(IF($N118="Purchased",$H118,0)+$Q118))</f>
        <v/>
      </c>
      <c r="U118" s="10">
        <f>IF($C118="","",$S118-$T118)</f>
        <v/>
      </c>
      <c r="V118" s="11">
        <f>IF(OR($C118="",$I118=0),"",CEILING($T118/$I118,1))</f>
        <v/>
      </c>
      <c r="W118" s="6" t="n"/>
      <c r="X118">
        <f>IF(C118="","",LOWER(SUBSTITUTE(SUBSTITUTE(C118," ","-"),"'",""))&amp;".jpg")</f>
        <v/>
      </c>
      <c r="Y118">
        <f>IF(X118="","","/inventory/"&amp;X118)</f>
        <v/>
      </c>
      <c r="Z118">
        <f>IF(O118="Available","available",IF(OR(O118="Rented",O118="Cleaning",O118="Repair"),"unavailable",IF(O118="Retired","unavailable","")))</f>
        <v/>
      </c>
    </row>
    <row r="119" ht="150" customHeight="1">
      <c r="A119" t="inlineStr">
        <is>
          <t>W118</t>
        </is>
      </c>
      <c r="B119" s="6" t="n"/>
      <c r="C119" s="21" t="n"/>
      <c r="D119" s="25" t="n"/>
      <c r="E119" s="6" t="n"/>
      <c r="F119" s="19">
        <f>IF(E119="","",_xlfn.IMAGE(E119))</f>
        <v/>
      </c>
      <c r="G119" s="17" t="n"/>
      <c r="H119" s="39" t="n"/>
      <c r="I119" s="7" t="n"/>
      <c r="J119" s="25" t="n"/>
      <c r="K119" s="28" t="n"/>
      <c r="L119" s="6" t="n"/>
      <c r="M119" s="6" t="n"/>
      <c r="N119" s="6" t="n"/>
      <c r="O119" s="6" t="n"/>
      <c r="P119" s="8" t="n"/>
      <c r="Q119" s="7" t="n"/>
      <c r="R119" s="9" t="n"/>
      <c r="S119" s="10">
        <f>IF($C119="","",$I119*$R119)</f>
        <v/>
      </c>
      <c r="T119" s="10">
        <f>IF($C119="","",(IF($N119="Purchased",$H119,0)+$Q119))</f>
        <v/>
      </c>
      <c r="U119" s="10">
        <f>IF($C119="","",$S119-$T119)</f>
        <v/>
      </c>
      <c r="V119" s="11">
        <f>IF(OR($C119="",$I119=0),"",CEILING($T119/$I119,1))</f>
        <v/>
      </c>
      <c r="W119" s="6" t="n"/>
      <c r="X119">
        <f>IF(C119="","",LOWER(SUBSTITUTE(SUBSTITUTE(C119," ","-"),"'",""))&amp;".jpg")</f>
        <v/>
      </c>
      <c r="Y119">
        <f>IF(X119="","","/inventory/"&amp;X119)</f>
        <v/>
      </c>
      <c r="Z119">
        <f>IF(O119="Available","available",IF(OR(O119="Rented",O119="Cleaning",O119="Repair"),"unavailable",IF(O119="Retired","unavailable","")))</f>
        <v/>
      </c>
    </row>
    <row r="120" ht="150" customHeight="1">
      <c r="A120" t="inlineStr">
        <is>
          <t>W119</t>
        </is>
      </c>
      <c r="B120" s="6" t="n"/>
      <c r="C120" s="21" t="n"/>
      <c r="D120" s="25" t="n"/>
      <c r="E120" s="6" t="n"/>
      <c r="F120" s="19">
        <f>IF(E120="","",_xlfn.IMAGE(E120))</f>
        <v/>
      </c>
      <c r="G120" s="17" t="n"/>
      <c r="H120" s="39" t="n"/>
      <c r="I120" s="7" t="n"/>
      <c r="J120" s="25" t="n"/>
      <c r="K120" s="28" t="n"/>
      <c r="L120" s="6" t="n"/>
      <c r="M120" s="6" t="n"/>
      <c r="N120" s="6" t="n"/>
      <c r="O120" s="6" t="n"/>
      <c r="P120" s="8" t="n"/>
      <c r="Q120" s="7" t="n"/>
      <c r="R120" s="9" t="n"/>
      <c r="S120" s="10">
        <f>IF($C120="","",$I120*$R120)</f>
        <v/>
      </c>
      <c r="T120" s="10">
        <f>IF($C120="","",(IF($N120="Purchased",$H120,0)+$Q120))</f>
        <v/>
      </c>
      <c r="U120" s="10">
        <f>IF($C120="","",$S120-$T120)</f>
        <v/>
      </c>
      <c r="V120" s="11">
        <f>IF(OR($C120="",$I120=0),"",CEILING($T120/$I120,1))</f>
        <v/>
      </c>
      <c r="W120" s="6" t="n"/>
      <c r="X120">
        <f>IF(C120="","",LOWER(SUBSTITUTE(SUBSTITUTE(C120," ","-"),"'",""))&amp;".jpg")</f>
        <v/>
      </c>
      <c r="Y120">
        <f>IF(X120="","","/inventory/"&amp;X120)</f>
        <v/>
      </c>
      <c r="Z120">
        <f>IF(O120="Available","available",IF(OR(O120="Rented",O120="Cleaning",O120="Repair"),"unavailable",IF(O120="Retired","unavailable","")))</f>
        <v/>
      </c>
    </row>
    <row r="121" ht="150" customHeight="1">
      <c r="A121" t="inlineStr">
        <is>
          <t>W120</t>
        </is>
      </c>
      <c r="B121" s="6" t="n"/>
      <c r="C121" s="21" t="n"/>
      <c r="D121" s="25" t="n"/>
      <c r="E121" s="6" t="n"/>
      <c r="F121" s="19">
        <f>IF(E121="","",_xlfn.IMAGE(E121))</f>
        <v/>
      </c>
      <c r="G121" s="17" t="n"/>
      <c r="H121" s="39" t="n"/>
      <c r="I121" s="7" t="n"/>
      <c r="J121" s="25" t="n"/>
      <c r="K121" s="28" t="n"/>
      <c r="L121" s="6" t="n"/>
      <c r="M121" s="6" t="n"/>
      <c r="N121" s="6" t="n"/>
      <c r="O121" s="6" t="n"/>
      <c r="P121" s="8" t="n"/>
      <c r="Q121" s="7" t="n"/>
      <c r="R121" s="9" t="n"/>
      <c r="S121" s="10">
        <f>IF($C121="","",$I121*$R121)</f>
        <v/>
      </c>
      <c r="T121" s="10">
        <f>IF($C121="","",(IF($N121="Purchased",$H121,0)+$Q121))</f>
        <v/>
      </c>
      <c r="U121" s="10">
        <f>IF($C121="","",$S121-$T121)</f>
        <v/>
      </c>
      <c r="V121" s="11">
        <f>IF(OR($C121="",$I121=0),"",CEILING($T121/$I121,1))</f>
        <v/>
      </c>
      <c r="W121" s="6" t="n"/>
      <c r="X121">
        <f>IF(C121="","",LOWER(SUBSTITUTE(SUBSTITUTE(C121," ","-"),"'",""))&amp;".jpg")</f>
        <v/>
      </c>
      <c r="Y121">
        <f>IF(X121="","","/inventory/"&amp;X121)</f>
        <v/>
      </c>
      <c r="Z121">
        <f>IF(O121="Available","available",IF(OR(O121="Rented",O121="Cleaning",O121="Repair"),"unavailable",IF(O121="Retired","unavailable","")))</f>
        <v/>
      </c>
    </row>
    <row r="122" ht="150" customHeight="1">
      <c r="A122" t="inlineStr">
        <is>
          <t>W121</t>
        </is>
      </c>
      <c r="B122" s="6" t="n"/>
      <c r="C122" s="21" t="n"/>
      <c r="D122" s="25" t="n"/>
      <c r="E122" s="6" t="n"/>
      <c r="F122" s="19">
        <f>IF(E122="","",_xlfn.IMAGE(E122))</f>
        <v/>
      </c>
      <c r="G122" s="17" t="n"/>
      <c r="H122" s="39" t="n"/>
      <c r="I122" s="7" t="n"/>
      <c r="J122" s="25" t="n"/>
      <c r="K122" s="28" t="n"/>
      <c r="L122" s="6" t="n"/>
      <c r="M122" s="6" t="n"/>
      <c r="N122" s="6" t="n"/>
      <c r="O122" s="6" t="n"/>
      <c r="P122" s="8" t="n"/>
      <c r="Q122" s="7" t="n"/>
      <c r="R122" s="9" t="n"/>
      <c r="S122" s="10">
        <f>IF($C122="","",$I122*$R122)</f>
        <v/>
      </c>
      <c r="T122" s="10">
        <f>IF($C122="","",(IF($N122="Purchased",$H122,0)+$Q122))</f>
        <v/>
      </c>
      <c r="U122" s="10">
        <f>IF($C122="","",$S122-$T122)</f>
        <v/>
      </c>
      <c r="V122" s="11">
        <f>IF(OR($C122="",$I122=0),"",CEILING($T122/$I122,1))</f>
        <v/>
      </c>
      <c r="W122" s="6" t="n"/>
      <c r="X122">
        <f>IF(C122="","",LOWER(SUBSTITUTE(SUBSTITUTE(C122," ","-"),"'",""))&amp;".jpg")</f>
        <v/>
      </c>
      <c r="Y122">
        <f>IF(X122="","","/inventory/"&amp;X122)</f>
        <v/>
      </c>
      <c r="Z122">
        <f>IF(O122="Available","available",IF(OR(O122="Rented",O122="Cleaning",O122="Repair"),"unavailable",IF(O122="Retired","unavailable","")))</f>
        <v/>
      </c>
    </row>
    <row r="123" ht="150" customHeight="1">
      <c r="A123" t="inlineStr">
        <is>
          <t>W122</t>
        </is>
      </c>
      <c r="B123" s="6" t="n"/>
      <c r="C123" s="21" t="n"/>
      <c r="D123" s="25" t="n"/>
      <c r="E123" s="6" t="n"/>
      <c r="F123" s="19">
        <f>IF(E123="","",_xlfn.IMAGE(E123))</f>
        <v/>
      </c>
      <c r="G123" s="17" t="n"/>
      <c r="H123" s="39" t="n"/>
      <c r="I123" s="7" t="n"/>
      <c r="J123" s="25" t="n"/>
      <c r="K123" s="28" t="n"/>
      <c r="L123" s="6" t="n"/>
      <c r="M123" s="6" t="n"/>
      <c r="N123" s="6" t="n"/>
      <c r="O123" s="6" t="n"/>
      <c r="P123" s="8" t="n"/>
      <c r="Q123" s="7" t="n"/>
      <c r="R123" s="9" t="n"/>
      <c r="S123" s="10">
        <f>IF($C123="","",$I123*$R123)</f>
        <v/>
      </c>
      <c r="T123" s="10">
        <f>IF($C123="","",(IF($N123="Purchased",$H123,0)+$Q123))</f>
        <v/>
      </c>
      <c r="U123" s="10">
        <f>IF($C123="","",$S123-$T123)</f>
        <v/>
      </c>
      <c r="V123" s="11">
        <f>IF(OR($C123="",$I123=0),"",CEILING($T123/$I123,1))</f>
        <v/>
      </c>
      <c r="W123" s="6" t="n"/>
      <c r="X123">
        <f>IF(C123="","",LOWER(SUBSTITUTE(SUBSTITUTE(C123," ","-"),"'",""))&amp;".jpg")</f>
        <v/>
      </c>
      <c r="Y123">
        <f>IF(X123="","","/inventory/"&amp;X123)</f>
        <v/>
      </c>
      <c r="Z123">
        <f>IF(O123="Available","available",IF(OR(O123="Rented",O123="Cleaning",O123="Repair"),"unavailable",IF(O123="Retired","unavailable","")))</f>
        <v/>
      </c>
    </row>
    <row r="124" ht="150" customHeight="1">
      <c r="A124" t="inlineStr">
        <is>
          <t>W123</t>
        </is>
      </c>
      <c r="B124" s="6" t="n"/>
      <c r="C124" s="21" t="n"/>
      <c r="D124" s="25" t="n"/>
      <c r="E124" s="6" t="n"/>
      <c r="F124" s="19">
        <f>IF(E124="","",_xlfn.IMAGE(E124))</f>
        <v/>
      </c>
      <c r="G124" s="17" t="n"/>
      <c r="H124" s="39" t="n"/>
      <c r="I124" s="7" t="n"/>
      <c r="J124" s="25" t="n"/>
      <c r="K124" s="28" t="n"/>
      <c r="L124" s="6" t="n"/>
      <c r="M124" s="6" t="n"/>
      <c r="N124" s="6" t="n"/>
      <c r="O124" s="6" t="n"/>
      <c r="P124" s="8" t="n"/>
      <c r="Q124" s="7" t="n"/>
      <c r="R124" s="9" t="n"/>
      <c r="S124" s="10">
        <f>IF($C124="","",$I124*$R124)</f>
        <v/>
      </c>
      <c r="T124" s="10">
        <f>IF($C124="","",(IF($N124="Purchased",$H124,0)+$Q124))</f>
        <v/>
      </c>
      <c r="U124" s="10">
        <f>IF($C124="","",$S124-$T124)</f>
        <v/>
      </c>
      <c r="V124" s="11">
        <f>IF(OR($C124="",$I124=0),"",CEILING($T124/$I124,1))</f>
        <v/>
      </c>
      <c r="W124" s="6" t="n"/>
      <c r="X124">
        <f>IF(C124="","",LOWER(SUBSTITUTE(SUBSTITUTE(C124," ","-"),"'",""))&amp;".jpg")</f>
        <v/>
      </c>
      <c r="Y124">
        <f>IF(X124="","","/inventory/"&amp;X124)</f>
        <v/>
      </c>
      <c r="Z124">
        <f>IF(O124="Available","available",IF(OR(O124="Rented",O124="Cleaning",O124="Repair"),"unavailable",IF(O124="Retired","unavailable","")))</f>
        <v/>
      </c>
    </row>
    <row r="125" ht="150" customHeight="1">
      <c r="A125" t="inlineStr">
        <is>
          <t>W124</t>
        </is>
      </c>
      <c r="B125" s="6" t="n"/>
      <c r="C125" s="21" t="n"/>
      <c r="D125" s="25" t="n"/>
      <c r="E125" s="6" t="n"/>
      <c r="F125" s="19">
        <f>IF(E125="","",_xlfn.IMAGE(E125))</f>
        <v/>
      </c>
      <c r="G125" s="17" t="n"/>
      <c r="H125" s="39" t="n"/>
      <c r="I125" s="7" t="n"/>
      <c r="J125" s="25" t="n"/>
      <c r="K125" s="28" t="n"/>
      <c r="L125" s="6" t="n"/>
      <c r="M125" s="6" t="n"/>
      <c r="N125" s="6" t="n"/>
      <c r="O125" s="6" t="n"/>
      <c r="P125" s="8" t="n"/>
      <c r="Q125" s="7" t="n"/>
      <c r="R125" s="9" t="n"/>
      <c r="S125" s="10">
        <f>IF($C125="","",$I125*$R125)</f>
        <v/>
      </c>
      <c r="T125" s="10">
        <f>IF($C125="","",(IF($N125="Purchased",$H125,0)+$Q125))</f>
        <v/>
      </c>
      <c r="U125" s="10">
        <f>IF($C125="","",$S125-$T125)</f>
        <v/>
      </c>
      <c r="V125" s="11">
        <f>IF(OR($C125="",$I125=0),"",CEILING($T125/$I125,1))</f>
        <v/>
      </c>
      <c r="W125" s="6" t="n"/>
      <c r="X125">
        <f>IF(C125="","",LOWER(SUBSTITUTE(SUBSTITUTE(C125," ","-"),"'",""))&amp;".jpg")</f>
        <v/>
      </c>
      <c r="Y125">
        <f>IF(X125="","","/inventory/"&amp;X125)</f>
        <v/>
      </c>
      <c r="Z125">
        <f>IF(O125="Available","available",IF(OR(O125="Rented",O125="Cleaning",O125="Repair"),"unavailable",IF(O125="Retired","unavailable","")))</f>
        <v/>
      </c>
    </row>
    <row r="126" ht="150" customHeight="1">
      <c r="A126" t="inlineStr">
        <is>
          <t>W125</t>
        </is>
      </c>
      <c r="B126" s="6" t="n"/>
      <c r="C126" s="21" t="n"/>
      <c r="D126" s="25" t="n"/>
      <c r="E126" s="6" t="n"/>
      <c r="F126" s="19">
        <f>IF(E126="","",_xlfn.IMAGE(E126))</f>
        <v/>
      </c>
      <c r="G126" s="17" t="n"/>
      <c r="H126" s="39" t="n"/>
      <c r="I126" s="7" t="n"/>
      <c r="J126" s="25" t="n"/>
      <c r="K126" s="28" t="n"/>
      <c r="L126" s="6" t="n"/>
      <c r="M126" s="6" t="n"/>
      <c r="N126" s="6" t="n"/>
      <c r="O126" s="6" t="n"/>
      <c r="P126" s="8" t="n"/>
      <c r="Q126" s="7" t="n"/>
      <c r="R126" s="9" t="n"/>
      <c r="S126" s="10">
        <f>IF($C126="","",$I126*$R126)</f>
        <v/>
      </c>
      <c r="T126" s="10">
        <f>IF($C126="","",(IF($N126="Purchased",$H126,0)+$Q126))</f>
        <v/>
      </c>
      <c r="U126" s="10">
        <f>IF($C126="","",$S126-$T126)</f>
        <v/>
      </c>
      <c r="V126" s="11">
        <f>IF(OR($C126="",$I126=0),"",CEILING($T126/$I126,1))</f>
        <v/>
      </c>
      <c r="W126" s="6" t="n"/>
      <c r="X126">
        <f>IF(C126="","",LOWER(SUBSTITUTE(SUBSTITUTE(C126," ","-"),"'",""))&amp;".jpg")</f>
        <v/>
      </c>
      <c r="Y126">
        <f>IF(X126="","","/inventory/"&amp;X126)</f>
        <v/>
      </c>
      <c r="Z126">
        <f>IF(O126="Available","available",IF(OR(O126="Rented",O126="Cleaning",O126="Repair"),"unavailable",IF(O126="Retired","unavailable","")))</f>
        <v/>
      </c>
    </row>
    <row r="127" ht="150" customHeight="1">
      <c r="A127" t="inlineStr">
        <is>
          <t>W126</t>
        </is>
      </c>
      <c r="B127" s="6" t="n"/>
      <c r="C127" s="21" t="n"/>
      <c r="D127" s="25" t="n"/>
      <c r="E127" s="6" t="n"/>
      <c r="F127" s="19">
        <f>IF(E127="","",_xlfn.IMAGE(E127))</f>
        <v/>
      </c>
      <c r="G127" s="17" t="n"/>
      <c r="H127" s="39" t="n"/>
      <c r="I127" s="7" t="n"/>
      <c r="J127" s="25" t="n"/>
      <c r="K127" s="28" t="n"/>
      <c r="L127" s="6" t="n"/>
      <c r="M127" s="6" t="n"/>
      <c r="N127" s="6" t="n"/>
      <c r="O127" s="6" t="n"/>
      <c r="P127" s="8" t="n"/>
      <c r="Q127" s="7" t="n"/>
      <c r="R127" s="9" t="n"/>
      <c r="S127" s="10">
        <f>IF($C127="","",$I127*$R127)</f>
        <v/>
      </c>
      <c r="T127" s="10">
        <f>IF($C127="","",(IF($N127="Purchased",$H127,0)+$Q127))</f>
        <v/>
      </c>
      <c r="U127" s="10">
        <f>IF($C127="","",$S127-$T127)</f>
        <v/>
      </c>
      <c r="V127" s="11">
        <f>IF(OR($C127="",$I127=0),"",CEILING($T127/$I127,1))</f>
        <v/>
      </c>
      <c r="W127" s="6" t="n"/>
      <c r="X127">
        <f>IF(C127="","",LOWER(SUBSTITUTE(SUBSTITUTE(C127," ","-"),"'",""))&amp;".jpg")</f>
        <v/>
      </c>
      <c r="Y127">
        <f>IF(X127="","","/inventory/"&amp;X127)</f>
        <v/>
      </c>
      <c r="Z127">
        <f>IF(O127="Available","available",IF(OR(O127="Rented",O127="Cleaning",O127="Repair"),"unavailable",IF(O127="Retired","unavailable","")))</f>
        <v/>
      </c>
    </row>
    <row r="128" ht="150" customHeight="1">
      <c r="A128" t="inlineStr">
        <is>
          <t>W127</t>
        </is>
      </c>
      <c r="B128" s="6" t="n"/>
      <c r="C128" s="21" t="n"/>
      <c r="D128" s="25" t="n"/>
      <c r="E128" s="6" t="n"/>
      <c r="F128" s="19">
        <f>IF(E128="","",_xlfn.IMAGE(E128))</f>
        <v/>
      </c>
      <c r="G128" s="17" t="n"/>
      <c r="H128" s="39" t="n"/>
      <c r="I128" s="7" t="n"/>
      <c r="J128" s="25" t="n"/>
      <c r="K128" s="28" t="n"/>
      <c r="L128" s="6" t="n"/>
      <c r="M128" s="6" t="n"/>
      <c r="N128" s="6" t="n"/>
      <c r="O128" s="6" t="n"/>
      <c r="P128" s="8" t="n"/>
      <c r="Q128" s="7" t="n"/>
      <c r="R128" s="9" t="n"/>
      <c r="S128" s="10">
        <f>IF($C128="","",$I128*$R128)</f>
        <v/>
      </c>
      <c r="T128" s="10">
        <f>IF($C128="","",(IF($N128="Purchased",$H128,0)+$Q128))</f>
        <v/>
      </c>
      <c r="U128" s="10">
        <f>IF($C128="","",$S128-$T128)</f>
        <v/>
      </c>
      <c r="V128" s="11">
        <f>IF(OR($C128="",$I128=0),"",CEILING($T128/$I128,1))</f>
        <v/>
      </c>
      <c r="W128" s="6" t="n"/>
      <c r="X128">
        <f>IF(C128="","",LOWER(SUBSTITUTE(SUBSTITUTE(C128," ","-"),"'",""))&amp;".jpg")</f>
        <v/>
      </c>
      <c r="Y128">
        <f>IF(X128="","","/inventory/"&amp;X128)</f>
        <v/>
      </c>
      <c r="Z128">
        <f>IF(O128="Available","available",IF(OR(O128="Rented",O128="Cleaning",O128="Repair"),"unavailable",IF(O128="Retired","unavailable","")))</f>
        <v/>
      </c>
    </row>
    <row r="129" ht="150" customHeight="1">
      <c r="A129" t="inlineStr">
        <is>
          <t>W128</t>
        </is>
      </c>
      <c r="B129" s="6" t="n"/>
      <c r="C129" s="21" t="n"/>
      <c r="D129" s="25" t="n"/>
      <c r="E129" s="6" t="n"/>
      <c r="F129" s="19">
        <f>IF(E129="","",_xlfn.IMAGE(E129))</f>
        <v/>
      </c>
      <c r="G129" s="17" t="n"/>
      <c r="H129" s="39" t="n"/>
      <c r="I129" s="7" t="n"/>
      <c r="J129" s="25" t="n"/>
      <c r="K129" s="28" t="n"/>
      <c r="L129" s="6" t="n"/>
      <c r="M129" s="6" t="n"/>
      <c r="N129" s="6" t="n"/>
      <c r="O129" s="6" t="n"/>
      <c r="P129" s="8" t="n"/>
      <c r="Q129" s="7" t="n"/>
      <c r="R129" s="9" t="n"/>
      <c r="S129" s="10">
        <f>IF($C129="","",$I129*$R129)</f>
        <v/>
      </c>
      <c r="T129" s="10">
        <f>IF($C129="","",(IF($N129="Purchased",$H129,0)+$Q129))</f>
        <v/>
      </c>
      <c r="U129" s="10">
        <f>IF($C129="","",$S129-$T129)</f>
        <v/>
      </c>
      <c r="V129" s="11">
        <f>IF(OR($C129="",$I129=0),"",CEILING($T129/$I129,1))</f>
        <v/>
      </c>
      <c r="W129" s="6" t="n"/>
      <c r="X129">
        <f>IF(C129="","",LOWER(SUBSTITUTE(SUBSTITUTE(C129," ","-"),"'",""))&amp;".jpg")</f>
        <v/>
      </c>
      <c r="Y129">
        <f>IF(X129="","","/inventory/"&amp;X129)</f>
        <v/>
      </c>
      <c r="Z129">
        <f>IF(O129="Available","available",IF(OR(O129="Rented",O129="Cleaning",O129="Repair"),"unavailable",IF(O129="Retired","unavailable","")))</f>
        <v/>
      </c>
    </row>
    <row r="130" ht="150" customHeight="1">
      <c r="A130" t="inlineStr">
        <is>
          <t>W129</t>
        </is>
      </c>
      <c r="B130" s="6" t="n"/>
      <c r="C130" s="21" t="n"/>
      <c r="D130" s="25" t="n"/>
      <c r="E130" s="6" t="n"/>
      <c r="F130" s="19">
        <f>IF(E130="","",_xlfn.IMAGE(E130))</f>
        <v/>
      </c>
      <c r="G130" s="17" t="n"/>
      <c r="H130" s="39" t="n"/>
      <c r="I130" s="7" t="n"/>
      <c r="J130" s="25" t="n"/>
      <c r="K130" s="28" t="n"/>
      <c r="L130" s="6" t="n"/>
      <c r="M130" s="6" t="n"/>
      <c r="N130" s="6" t="n"/>
      <c r="O130" s="6" t="n"/>
      <c r="P130" s="8" t="n"/>
      <c r="Q130" s="7" t="n"/>
      <c r="R130" s="9" t="n"/>
      <c r="S130" s="10">
        <f>IF($C130="","",$I130*$R130)</f>
        <v/>
      </c>
      <c r="T130" s="10">
        <f>IF($C130="","",(IF($N130="Purchased",$H130,0)+$Q130))</f>
        <v/>
      </c>
      <c r="U130" s="10">
        <f>IF($C130="","",$S130-$T130)</f>
        <v/>
      </c>
      <c r="V130" s="11">
        <f>IF(OR($C130="",$I130=0),"",CEILING($T130/$I130,1))</f>
        <v/>
      </c>
      <c r="W130" s="6" t="n"/>
      <c r="X130">
        <f>IF(C130="","",LOWER(SUBSTITUTE(SUBSTITUTE(C130," ","-"),"'",""))&amp;".jpg")</f>
        <v/>
      </c>
      <c r="Y130">
        <f>IF(X130="","","/inventory/"&amp;X130)</f>
        <v/>
      </c>
      <c r="Z130">
        <f>IF(O130="Available","available",IF(OR(O130="Rented",O130="Cleaning",O130="Repair"),"unavailable",IF(O130="Retired","unavailable","")))</f>
        <v/>
      </c>
    </row>
    <row r="131" ht="150" customHeight="1">
      <c r="A131" t="inlineStr">
        <is>
          <t>W130</t>
        </is>
      </c>
      <c r="B131" s="6" t="n"/>
      <c r="C131" s="21" t="n"/>
      <c r="D131" s="25" t="n"/>
      <c r="E131" s="6" t="n"/>
      <c r="F131" s="19">
        <f>IF(E131="","",_xlfn.IMAGE(E131))</f>
        <v/>
      </c>
      <c r="G131" s="17" t="n"/>
      <c r="H131" s="39" t="n"/>
      <c r="I131" s="7" t="n"/>
      <c r="J131" s="25" t="n"/>
      <c r="K131" s="28" t="n"/>
      <c r="L131" s="6" t="n"/>
      <c r="M131" s="6" t="n"/>
      <c r="N131" s="6" t="n"/>
      <c r="O131" s="6" t="n"/>
      <c r="P131" s="8" t="n"/>
      <c r="Q131" s="7" t="n"/>
      <c r="R131" s="9" t="n"/>
      <c r="S131" s="10">
        <f>IF($C131="","",$I131*$R131)</f>
        <v/>
      </c>
      <c r="T131" s="10">
        <f>IF($C131="","",(IF($N131="Purchased",$H131,0)+$Q131))</f>
        <v/>
      </c>
      <c r="U131" s="10">
        <f>IF($C131="","",$S131-$T131)</f>
        <v/>
      </c>
      <c r="V131" s="11">
        <f>IF(OR($C131="",$I131=0),"",CEILING($T131/$I131,1))</f>
        <v/>
      </c>
      <c r="W131" s="6" t="n"/>
      <c r="X131">
        <f>IF(C131="","",LOWER(SUBSTITUTE(SUBSTITUTE(C131," ","-"),"'",""))&amp;".jpg")</f>
        <v/>
      </c>
      <c r="Y131">
        <f>IF(X131="","","/inventory/"&amp;X131)</f>
        <v/>
      </c>
      <c r="Z131">
        <f>IF(O131="Available","available",IF(OR(O131="Rented",O131="Cleaning",O131="Repair"),"unavailable",IF(O131="Retired","unavailable","")))</f>
        <v/>
      </c>
    </row>
    <row r="132" ht="150" customHeight="1">
      <c r="A132" t="inlineStr">
        <is>
          <t>W131</t>
        </is>
      </c>
      <c r="B132" s="6" t="n"/>
      <c r="C132" s="21" t="n"/>
      <c r="D132" s="25" t="n"/>
      <c r="E132" s="6" t="n"/>
      <c r="F132" s="19">
        <f>IF(E132="","",_xlfn.IMAGE(E132))</f>
        <v/>
      </c>
      <c r="G132" s="17" t="n"/>
      <c r="H132" s="39" t="n"/>
      <c r="I132" s="7" t="n"/>
      <c r="J132" s="25" t="n"/>
      <c r="K132" s="28" t="n"/>
      <c r="L132" s="6" t="n"/>
      <c r="M132" s="6" t="n"/>
      <c r="N132" s="6" t="n"/>
      <c r="O132" s="6" t="n"/>
      <c r="P132" s="8" t="n"/>
      <c r="Q132" s="7" t="n"/>
      <c r="R132" s="9" t="n"/>
      <c r="S132" s="10">
        <f>IF($C132="","",$I132*$R132)</f>
        <v/>
      </c>
      <c r="T132" s="10">
        <f>IF($C132="","",(IF($N132="Purchased",$H132,0)+$Q132))</f>
        <v/>
      </c>
      <c r="U132" s="10">
        <f>IF($C132="","",$S132-$T132)</f>
        <v/>
      </c>
      <c r="V132" s="11">
        <f>IF(OR($C132="",$I132=0),"",CEILING($T132/$I132,1))</f>
        <v/>
      </c>
      <c r="W132" s="6" t="n"/>
      <c r="X132">
        <f>IF(C132="","",LOWER(SUBSTITUTE(SUBSTITUTE(C132," ","-"),"'",""))&amp;".jpg")</f>
        <v/>
      </c>
      <c r="Y132">
        <f>IF(X132="","","/inventory/"&amp;X132)</f>
        <v/>
      </c>
      <c r="Z132">
        <f>IF(O132="Available","available",IF(OR(O132="Rented",O132="Cleaning",O132="Repair"),"unavailable",IF(O132="Retired","unavailable","")))</f>
        <v/>
      </c>
    </row>
    <row r="133" ht="150" customHeight="1">
      <c r="A133" t="inlineStr">
        <is>
          <t>W132</t>
        </is>
      </c>
      <c r="B133" s="6" t="n"/>
      <c r="C133" s="21" t="n"/>
      <c r="D133" s="25" t="n"/>
      <c r="E133" s="6" t="n"/>
      <c r="F133" s="19">
        <f>IF(E133="","",_xlfn.IMAGE(E133))</f>
        <v/>
      </c>
      <c r="G133" s="17" t="n"/>
      <c r="H133" s="39" t="n"/>
      <c r="I133" s="7" t="n"/>
      <c r="J133" s="25" t="n"/>
      <c r="K133" s="28" t="n"/>
      <c r="L133" s="6" t="n"/>
      <c r="M133" s="6" t="n"/>
      <c r="N133" s="6" t="n"/>
      <c r="O133" s="6" t="n"/>
      <c r="P133" s="8" t="n"/>
      <c r="Q133" s="7" t="n"/>
      <c r="R133" s="9" t="n"/>
      <c r="S133" s="10">
        <f>IF($C133="","",$I133*$R133)</f>
        <v/>
      </c>
      <c r="T133" s="10">
        <f>IF($C133="","",(IF($N133="Purchased",$H133,0)+$Q133))</f>
        <v/>
      </c>
      <c r="U133" s="10">
        <f>IF($C133="","",$S133-$T133)</f>
        <v/>
      </c>
      <c r="V133" s="11">
        <f>IF(OR($C133="",$I133=0),"",CEILING($T133/$I133,1))</f>
        <v/>
      </c>
      <c r="W133" s="6" t="n"/>
      <c r="X133">
        <f>IF(C133="","",LOWER(SUBSTITUTE(SUBSTITUTE(C133," ","-"),"'",""))&amp;".jpg")</f>
        <v/>
      </c>
      <c r="Y133">
        <f>IF(X133="","","/inventory/"&amp;X133)</f>
        <v/>
      </c>
      <c r="Z133">
        <f>IF(O133="Available","available",IF(OR(O133="Rented",O133="Cleaning",O133="Repair"),"unavailable",IF(O133="Retired","unavailable","")))</f>
        <v/>
      </c>
    </row>
    <row r="134" ht="150" customHeight="1">
      <c r="A134" t="inlineStr">
        <is>
          <t>W133</t>
        </is>
      </c>
      <c r="B134" s="6" t="n"/>
      <c r="C134" s="21" t="n"/>
      <c r="D134" s="25" t="n"/>
      <c r="E134" s="6" t="n"/>
      <c r="F134" s="19">
        <f>IF(E134="","",_xlfn.IMAGE(E134))</f>
        <v/>
      </c>
      <c r="G134" s="17" t="n"/>
      <c r="H134" s="39" t="n"/>
      <c r="I134" s="7" t="n"/>
      <c r="J134" s="25" t="n"/>
      <c r="K134" s="28" t="n"/>
      <c r="L134" s="6" t="n"/>
      <c r="M134" s="6" t="n"/>
      <c r="N134" s="6" t="n"/>
      <c r="O134" s="6" t="n"/>
      <c r="P134" s="8" t="n"/>
      <c r="Q134" s="7" t="n"/>
      <c r="R134" s="9" t="n"/>
      <c r="S134" s="10">
        <f>IF($C134="","",$I134*$R134)</f>
        <v/>
      </c>
      <c r="T134" s="10">
        <f>IF($C134="","",(IF($N134="Purchased",$H134,0)+$Q134))</f>
        <v/>
      </c>
      <c r="U134" s="10">
        <f>IF($C134="","",$S134-$T134)</f>
        <v/>
      </c>
      <c r="V134" s="11">
        <f>IF(OR($C134="",$I134=0),"",CEILING($T134/$I134,1))</f>
        <v/>
      </c>
      <c r="W134" s="6" t="n"/>
      <c r="X134">
        <f>IF(C134="","",LOWER(SUBSTITUTE(SUBSTITUTE(C134," ","-"),"'",""))&amp;".jpg")</f>
        <v/>
      </c>
      <c r="Y134">
        <f>IF(X134="","","/inventory/"&amp;X134)</f>
        <v/>
      </c>
      <c r="Z134">
        <f>IF(O134="Available","available",IF(OR(O134="Rented",O134="Cleaning",O134="Repair"),"unavailable",IF(O134="Retired","unavailable","")))</f>
        <v/>
      </c>
    </row>
    <row r="135" ht="150" customHeight="1">
      <c r="A135" t="inlineStr">
        <is>
          <t>W134</t>
        </is>
      </c>
      <c r="B135" s="6" t="n"/>
      <c r="C135" s="21" t="n"/>
      <c r="D135" s="25" t="n"/>
      <c r="E135" s="6" t="n"/>
      <c r="F135" s="19">
        <f>IF(E135="","",_xlfn.IMAGE(E135))</f>
        <v/>
      </c>
      <c r="G135" s="17" t="n"/>
      <c r="H135" s="39" t="n"/>
      <c r="I135" s="7" t="n"/>
      <c r="J135" s="25" t="n"/>
      <c r="K135" s="28" t="n"/>
      <c r="L135" s="6" t="n"/>
      <c r="M135" s="6" t="n"/>
      <c r="N135" s="6" t="n"/>
      <c r="O135" s="6" t="n"/>
      <c r="P135" s="8" t="n"/>
      <c r="Q135" s="7" t="n"/>
      <c r="R135" s="9" t="n"/>
      <c r="S135" s="10">
        <f>IF($C135="","",$I135*$R135)</f>
        <v/>
      </c>
      <c r="T135" s="10">
        <f>IF($C135="","",(IF($N135="Purchased",$H135,0)+$Q135))</f>
        <v/>
      </c>
      <c r="U135" s="10">
        <f>IF($C135="","",$S135-$T135)</f>
        <v/>
      </c>
      <c r="V135" s="11">
        <f>IF(OR($C135="",$I135=0),"",CEILING($T135/$I135,1))</f>
        <v/>
      </c>
      <c r="W135" s="6" t="n"/>
      <c r="X135">
        <f>IF(C135="","",LOWER(SUBSTITUTE(SUBSTITUTE(C135," ","-"),"'",""))&amp;".jpg")</f>
        <v/>
      </c>
      <c r="Y135">
        <f>IF(X135="","","/inventory/"&amp;X135)</f>
        <v/>
      </c>
      <c r="Z135">
        <f>IF(O135="Available","available",IF(OR(O135="Rented",O135="Cleaning",O135="Repair"),"unavailable",IF(O135="Retired","unavailable","")))</f>
        <v/>
      </c>
    </row>
    <row r="136" ht="150" customHeight="1">
      <c r="A136" t="inlineStr">
        <is>
          <t>W135</t>
        </is>
      </c>
      <c r="B136" s="6" t="n"/>
      <c r="C136" s="21" t="n"/>
      <c r="D136" s="25" t="n"/>
      <c r="E136" s="6" t="n"/>
      <c r="F136" s="19">
        <f>IF(E136="","",_xlfn.IMAGE(E136))</f>
        <v/>
      </c>
      <c r="G136" s="17" t="n"/>
      <c r="H136" s="39" t="n"/>
      <c r="I136" s="7" t="n"/>
      <c r="J136" s="25" t="n"/>
      <c r="K136" s="28" t="n"/>
      <c r="L136" s="6" t="n"/>
      <c r="M136" s="6" t="n"/>
      <c r="N136" s="6" t="n"/>
      <c r="O136" s="6" t="n"/>
      <c r="P136" s="8" t="n"/>
      <c r="Q136" s="7" t="n"/>
      <c r="R136" s="9" t="n"/>
      <c r="S136" s="10">
        <f>IF($C136="","",$I136*$R136)</f>
        <v/>
      </c>
      <c r="T136" s="10">
        <f>IF($C136="","",(IF($N136="Purchased",$H136,0)+$Q136))</f>
        <v/>
      </c>
      <c r="U136" s="10">
        <f>IF($C136="","",$S136-$T136)</f>
        <v/>
      </c>
      <c r="V136" s="11">
        <f>IF(OR($C136="",$I136=0),"",CEILING($T136/$I136,1))</f>
        <v/>
      </c>
      <c r="W136" s="6" t="n"/>
      <c r="X136">
        <f>IF(C136="","",LOWER(SUBSTITUTE(SUBSTITUTE(C136," ","-"),"'",""))&amp;".jpg")</f>
        <v/>
      </c>
      <c r="Y136">
        <f>IF(X136="","","/inventory/"&amp;X136)</f>
        <v/>
      </c>
      <c r="Z136">
        <f>IF(O136="Available","available",IF(OR(O136="Rented",O136="Cleaning",O136="Repair"),"unavailable",IF(O136="Retired","unavailable","")))</f>
        <v/>
      </c>
    </row>
    <row r="137" ht="150" customHeight="1">
      <c r="A137" t="inlineStr">
        <is>
          <t>W136</t>
        </is>
      </c>
      <c r="B137" s="6" t="n"/>
      <c r="C137" s="21" t="n"/>
      <c r="D137" s="25" t="n"/>
      <c r="E137" s="6" t="n"/>
      <c r="F137" s="19">
        <f>IF(E137="","",_xlfn.IMAGE(E137))</f>
        <v/>
      </c>
      <c r="G137" s="17" t="n"/>
      <c r="H137" s="39" t="n"/>
      <c r="I137" s="7" t="n"/>
      <c r="J137" s="25" t="n"/>
      <c r="K137" s="28" t="n"/>
      <c r="L137" s="6" t="n"/>
      <c r="M137" s="6" t="n"/>
      <c r="N137" s="6" t="n"/>
      <c r="O137" s="6" t="n"/>
      <c r="P137" s="8" t="n"/>
      <c r="Q137" s="7" t="n"/>
      <c r="R137" s="9" t="n"/>
      <c r="S137" s="10">
        <f>IF($C137="","",$I137*$R137)</f>
        <v/>
      </c>
      <c r="T137" s="10">
        <f>IF($C137="","",(IF($N137="Purchased",$H137,0)+$Q137))</f>
        <v/>
      </c>
      <c r="U137" s="10">
        <f>IF($C137="","",$S137-$T137)</f>
        <v/>
      </c>
      <c r="V137" s="11">
        <f>IF(OR($C137="",$I137=0),"",CEILING($T137/$I137,1))</f>
        <v/>
      </c>
      <c r="W137" s="6" t="n"/>
      <c r="X137">
        <f>IF(C137="","",LOWER(SUBSTITUTE(SUBSTITUTE(C137," ","-"),"'",""))&amp;".jpg")</f>
        <v/>
      </c>
      <c r="Y137">
        <f>IF(X137="","","/inventory/"&amp;X137)</f>
        <v/>
      </c>
      <c r="Z137">
        <f>IF(O137="Available","available",IF(OR(O137="Rented",O137="Cleaning",O137="Repair"),"unavailable",IF(O137="Retired","unavailable","")))</f>
        <v/>
      </c>
    </row>
    <row r="138" ht="150" customHeight="1">
      <c r="A138" t="inlineStr">
        <is>
          <t>W137</t>
        </is>
      </c>
      <c r="B138" s="6" t="n"/>
      <c r="C138" s="21" t="n"/>
      <c r="D138" s="25" t="n"/>
      <c r="E138" s="6" t="n"/>
      <c r="F138" s="19">
        <f>IF(E138="","",_xlfn.IMAGE(E138))</f>
        <v/>
      </c>
      <c r="G138" s="17" t="n"/>
      <c r="H138" s="39" t="n"/>
      <c r="I138" s="7" t="n"/>
      <c r="J138" s="25" t="n"/>
      <c r="K138" s="28" t="n"/>
      <c r="L138" s="6" t="n"/>
      <c r="M138" s="6" t="n"/>
      <c r="N138" s="6" t="n"/>
      <c r="O138" s="6" t="n"/>
      <c r="P138" s="8" t="n"/>
      <c r="Q138" s="7" t="n"/>
      <c r="R138" s="9" t="n"/>
      <c r="S138" s="10">
        <f>IF($C138="","",$I138*$R138)</f>
        <v/>
      </c>
      <c r="T138" s="10">
        <f>IF($C138="","",(IF($N138="Purchased",$H138,0)+$Q138))</f>
        <v/>
      </c>
      <c r="U138" s="10">
        <f>IF($C138="","",$S138-$T138)</f>
        <v/>
      </c>
      <c r="V138" s="11">
        <f>IF(OR($C138="",$I138=0),"",CEILING($T138/$I138,1))</f>
        <v/>
      </c>
      <c r="W138" s="6" t="n"/>
      <c r="X138">
        <f>IF(C138="","",LOWER(SUBSTITUTE(SUBSTITUTE(C138," ","-"),"'",""))&amp;".jpg")</f>
        <v/>
      </c>
      <c r="Y138">
        <f>IF(X138="","","/inventory/"&amp;X138)</f>
        <v/>
      </c>
      <c r="Z138">
        <f>IF(O138="Available","available",IF(OR(O138="Rented",O138="Cleaning",O138="Repair"),"unavailable",IF(O138="Retired","unavailable","")))</f>
        <v/>
      </c>
    </row>
    <row r="139" ht="150" customHeight="1">
      <c r="A139" t="inlineStr">
        <is>
          <t>W138</t>
        </is>
      </c>
      <c r="B139" s="6" t="n"/>
      <c r="C139" s="21" t="n"/>
      <c r="D139" s="25" t="n"/>
      <c r="E139" s="6" t="n"/>
      <c r="F139" s="19">
        <f>IF(E139="","",_xlfn.IMAGE(E139))</f>
        <v/>
      </c>
      <c r="G139" s="17" t="n"/>
      <c r="H139" s="39" t="n"/>
      <c r="I139" s="7" t="n"/>
      <c r="J139" s="25" t="n"/>
      <c r="K139" s="28" t="n"/>
      <c r="L139" s="6" t="n"/>
      <c r="M139" s="6" t="n"/>
      <c r="N139" s="6" t="n"/>
      <c r="O139" s="6" t="n"/>
      <c r="P139" s="8" t="n"/>
      <c r="Q139" s="7" t="n"/>
      <c r="R139" s="9" t="n"/>
      <c r="S139" s="10">
        <f>IF($C139="","",$I139*$R139)</f>
        <v/>
      </c>
      <c r="T139" s="10">
        <f>IF($C139="","",(IF($N139="Purchased",$H139,0)+$Q139))</f>
        <v/>
      </c>
      <c r="U139" s="10">
        <f>IF($C139="","",$S139-$T139)</f>
        <v/>
      </c>
      <c r="V139" s="11">
        <f>IF(OR($C139="",$I139=0),"",CEILING($T139/$I139,1))</f>
        <v/>
      </c>
      <c r="W139" s="6" t="n"/>
      <c r="X139">
        <f>IF(C139="","",LOWER(SUBSTITUTE(SUBSTITUTE(C139," ","-"),"'",""))&amp;".jpg")</f>
        <v/>
      </c>
      <c r="Y139">
        <f>IF(X139="","","/inventory/"&amp;X139)</f>
        <v/>
      </c>
      <c r="Z139">
        <f>IF(O139="Available","available",IF(OR(O139="Rented",O139="Cleaning",O139="Repair"),"unavailable",IF(O139="Retired","unavailable","")))</f>
        <v/>
      </c>
    </row>
    <row r="140" ht="150" customHeight="1">
      <c r="A140" t="inlineStr">
        <is>
          <t>W139</t>
        </is>
      </c>
      <c r="B140" s="6" t="n"/>
      <c r="C140" s="21" t="n"/>
      <c r="D140" s="25" t="n"/>
      <c r="E140" s="6" t="n"/>
      <c r="F140" s="19">
        <f>IF(E140="","",_xlfn.IMAGE(E140))</f>
        <v/>
      </c>
      <c r="G140" s="17" t="n"/>
      <c r="H140" s="39" t="n"/>
      <c r="I140" s="7" t="n"/>
      <c r="J140" s="25" t="n"/>
      <c r="K140" s="28" t="n"/>
      <c r="L140" s="6" t="n"/>
      <c r="M140" s="6" t="n"/>
      <c r="N140" s="6" t="n"/>
      <c r="O140" s="6" t="n"/>
      <c r="P140" s="8" t="n"/>
      <c r="Q140" s="7" t="n"/>
      <c r="R140" s="9" t="n"/>
      <c r="S140" s="10">
        <f>IF($C140="","",$I140*$R140)</f>
        <v/>
      </c>
      <c r="T140" s="10">
        <f>IF($C140="","",(IF($N140="Purchased",$H140,0)+$Q140))</f>
        <v/>
      </c>
      <c r="U140" s="10">
        <f>IF($C140="","",$S140-$T140)</f>
        <v/>
      </c>
      <c r="V140" s="11">
        <f>IF(OR($C140="",$I140=0),"",CEILING($T140/$I140,1))</f>
        <v/>
      </c>
      <c r="W140" s="6" t="n"/>
      <c r="X140">
        <f>IF(C140="","",LOWER(SUBSTITUTE(SUBSTITUTE(C140," ","-"),"'",""))&amp;".jpg")</f>
        <v/>
      </c>
      <c r="Y140">
        <f>IF(X140="","","/inventory/"&amp;X140)</f>
        <v/>
      </c>
      <c r="Z140">
        <f>IF(O140="Available","available",IF(OR(O140="Rented",O140="Cleaning",O140="Repair"),"unavailable",IF(O140="Retired","unavailable","")))</f>
        <v/>
      </c>
    </row>
    <row r="141" ht="150" customHeight="1">
      <c r="A141" t="inlineStr">
        <is>
          <t>W140</t>
        </is>
      </c>
      <c r="B141" s="6" t="n"/>
      <c r="C141" s="21" t="n"/>
      <c r="D141" s="25" t="n"/>
      <c r="E141" s="6" t="n"/>
      <c r="F141" s="19">
        <f>IF(E141="","",_xlfn.IMAGE(E141))</f>
        <v/>
      </c>
      <c r="G141" s="17" t="n"/>
      <c r="H141" s="39" t="n"/>
      <c r="I141" s="7" t="n"/>
      <c r="J141" s="25" t="n"/>
      <c r="K141" s="28" t="n"/>
      <c r="L141" s="6" t="n"/>
      <c r="M141" s="6" t="n"/>
      <c r="N141" s="6" t="n"/>
      <c r="O141" s="6" t="n"/>
      <c r="P141" s="8" t="n"/>
      <c r="Q141" s="7" t="n"/>
      <c r="R141" s="9" t="n"/>
      <c r="S141" s="10">
        <f>IF($C141="","",$I141*$R141)</f>
        <v/>
      </c>
      <c r="T141" s="10">
        <f>IF($C141="","",(IF($N141="Purchased",$H141,0)+$Q141))</f>
        <v/>
      </c>
      <c r="U141" s="10">
        <f>IF($C141="","",$S141-$T141)</f>
        <v/>
      </c>
      <c r="V141" s="11">
        <f>IF(OR($C141="",$I141=0),"",CEILING($T141/$I141,1))</f>
        <v/>
      </c>
      <c r="W141" s="6" t="n"/>
      <c r="X141">
        <f>IF(C141="","",LOWER(SUBSTITUTE(SUBSTITUTE(C141," ","-"),"'",""))&amp;".jpg")</f>
        <v/>
      </c>
      <c r="Y141">
        <f>IF(X141="","","/inventory/"&amp;X141)</f>
        <v/>
      </c>
      <c r="Z141">
        <f>IF(O141="Available","available",IF(OR(O141="Rented",O141="Cleaning",O141="Repair"),"unavailable",IF(O141="Retired","unavailable","")))</f>
        <v/>
      </c>
    </row>
    <row r="142" ht="150" customHeight="1">
      <c r="A142" t="inlineStr">
        <is>
          <t>W141</t>
        </is>
      </c>
      <c r="B142" s="6" t="n"/>
      <c r="C142" s="21" t="n"/>
      <c r="D142" s="25" t="n"/>
      <c r="E142" s="6" t="n"/>
      <c r="F142" s="19">
        <f>IF(E142="","",_xlfn.IMAGE(E142))</f>
        <v/>
      </c>
      <c r="G142" s="17" t="n"/>
      <c r="H142" s="39" t="n"/>
      <c r="I142" s="7" t="n"/>
      <c r="J142" s="25" t="n"/>
      <c r="K142" s="28" t="n"/>
      <c r="L142" s="6" t="n"/>
      <c r="M142" s="6" t="n"/>
      <c r="N142" s="6" t="n"/>
      <c r="O142" s="6" t="n"/>
      <c r="P142" s="8" t="n"/>
      <c r="Q142" s="7" t="n"/>
      <c r="R142" s="9" t="n"/>
      <c r="S142" s="10">
        <f>IF($C142="","",$I142*$R142)</f>
        <v/>
      </c>
      <c r="T142" s="10">
        <f>IF($C142="","",(IF($N142="Purchased",$H142,0)+$Q142))</f>
        <v/>
      </c>
      <c r="U142" s="10">
        <f>IF($C142="","",$S142-$T142)</f>
        <v/>
      </c>
      <c r="V142" s="11">
        <f>IF(OR($C142="",$I142=0),"",CEILING($T142/$I142,1))</f>
        <v/>
      </c>
      <c r="W142" s="6" t="n"/>
      <c r="X142">
        <f>IF(C142="","",LOWER(SUBSTITUTE(SUBSTITUTE(C142," ","-"),"'",""))&amp;".jpg")</f>
        <v/>
      </c>
      <c r="Y142">
        <f>IF(X142="","","/inventory/"&amp;X142)</f>
        <v/>
      </c>
      <c r="Z142">
        <f>IF(O142="Available","available",IF(OR(O142="Rented",O142="Cleaning",O142="Repair"),"unavailable",IF(O142="Retired","unavailable","")))</f>
        <v/>
      </c>
    </row>
    <row r="143" ht="150" customHeight="1">
      <c r="A143" t="inlineStr">
        <is>
          <t>W142</t>
        </is>
      </c>
      <c r="B143" s="6" t="n"/>
      <c r="C143" s="21" t="n"/>
      <c r="D143" s="25" t="n"/>
      <c r="E143" s="6" t="n"/>
      <c r="F143" s="19">
        <f>IF(E143="","",_xlfn.IMAGE(E143))</f>
        <v/>
      </c>
      <c r="G143" s="17" t="n"/>
      <c r="H143" s="39" t="n"/>
      <c r="I143" s="7" t="n"/>
      <c r="J143" s="25" t="n"/>
      <c r="K143" s="28" t="n"/>
      <c r="L143" s="6" t="n"/>
      <c r="M143" s="6" t="n"/>
      <c r="N143" s="6" t="n"/>
      <c r="O143" s="6" t="n"/>
      <c r="P143" s="8" t="n"/>
      <c r="Q143" s="7" t="n"/>
      <c r="R143" s="9" t="n"/>
      <c r="S143" s="10">
        <f>IF($C143="","",$I143*$R143)</f>
        <v/>
      </c>
      <c r="T143" s="10">
        <f>IF($C143="","",(IF($N143="Purchased",$H143,0)+$Q143))</f>
        <v/>
      </c>
      <c r="U143" s="10">
        <f>IF($C143="","",$S143-$T143)</f>
        <v/>
      </c>
      <c r="V143" s="11">
        <f>IF(OR($C143="",$I143=0),"",CEILING($T143/$I143,1))</f>
        <v/>
      </c>
      <c r="W143" s="6" t="n"/>
      <c r="X143">
        <f>IF(C143="","",LOWER(SUBSTITUTE(SUBSTITUTE(C143," ","-"),"'",""))&amp;".jpg")</f>
        <v/>
      </c>
      <c r="Y143">
        <f>IF(X143="","","/inventory/"&amp;X143)</f>
        <v/>
      </c>
      <c r="Z143">
        <f>IF(O143="Available","available",IF(OR(O143="Rented",O143="Cleaning",O143="Repair"),"unavailable",IF(O143="Retired","unavailable","")))</f>
        <v/>
      </c>
    </row>
    <row r="144" ht="150" customHeight="1">
      <c r="A144" t="inlineStr">
        <is>
          <t>W143</t>
        </is>
      </c>
      <c r="B144" s="6" t="n"/>
      <c r="C144" s="21" t="n"/>
      <c r="D144" s="25" t="n"/>
      <c r="E144" s="6" t="n"/>
      <c r="F144" s="19">
        <f>IF(E144="","",_xlfn.IMAGE(E144))</f>
        <v/>
      </c>
      <c r="G144" s="17" t="n"/>
      <c r="H144" s="39" t="n"/>
      <c r="I144" s="7" t="n"/>
      <c r="J144" s="25" t="n"/>
      <c r="K144" s="28" t="n"/>
      <c r="L144" s="6" t="n"/>
      <c r="M144" s="6" t="n"/>
      <c r="N144" s="6" t="n"/>
      <c r="O144" s="6" t="n"/>
      <c r="P144" s="8" t="n"/>
      <c r="Q144" s="7" t="n"/>
      <c r="R144" s="9" t="n"/>
      <c r="S144" s="10">
        <f>IF($C144="","",$I144*$R144)</f>
        <v/>
      </c>
      <c r="T144" s="10">
        <f>IF($C144="","",(IF($N144="Purchased",$H144,0)+$Q144))</f>
        <v/>
      </c>
      <c r="U144" s="10">
        <f>IF($C144="","",$S144-$T144)</f>
        <v/>
      </c>
      <c r="V144" s="11">
        <f>IF(OR($C144="",$I144=0),"",CEILING($T144/$I144,1))</f>
        <v/>
      </c>
      <c r="W144" s="6" t="n"/>
      <c r="X144">
        <f>IF(C144="","",LOWER(SUBSTITUTE(SUBSTITUTE(C144," ","-"),"'",""))&amp;".jpg")</f>
        <v/>
      </c>
      <c r="Y144">
        <f>IF(X144="","","/inventory/"&amp;X144)</f>
        <v/>
      </c>
      <c r="Z144">
        <f>IF(O144="Available","available",IF(OR(O144="Rented",O144="Cleaning",O144="Repair"),"unavailable",IF(O144="Retired","unavailable","")))</f>
        <v/>
      </c>
    </row>
    <row r="145" ht="150" customHeight="1">
      <c r="A145" t="inlineStr">
        <is>
          <t>W144</t>
        </is>
      </c>
      <c r="B145" s="6" t="n"/>
      <c r="C145" s="21" t="n"/>
      <c r="D145" s="25" t="n"/>
      <c r="E145" s="6" t="n"/>
      <c r="F145" s="19">
        <f>IF(E145="","",_xlfn.IMAGE(E145))</f>
        <v/>
      </c>
      <c r="G145" s="17" t="n"/>
      <c r="H145" s="39" t="n"/>
      <c r="I145" s="7" t="n"/>
      <c r="J145" s="25" t="n"/>
      <c r="K145" s="28" t="n"/>
      <c r="L145" s="6" t="n"/>
      <c r="M145" s="6" t="n"/>
      <c r="N145" s="6" t="n"/>
      <c r="O145" s="6" t="n"/>
      <c r="P145" s="8" t="n"/>
      <c r="Q145" s="7" t="n"/>
      <c r="R145" s="9" t="n"/>
      <c r="S145" s="10">
        <f>IF($C145="","",$I145*$R145)</f>
        <v/>
      </c>
      <c r="T145" s="10">
        <f>IF($C145="","",(IF($N145="Purchased",$H145,0)+$Q145))</f>
        <v/>
      </c>
      <c r="U145" s="10">
        <f>IF($C145="","",$S145-$T145)</f>
        <v/>
      </c>
      <c r="V145" s="11">
        <f>IF(OR($C145="",$I145=0),"",CEILING($T145/$I145,1))</f>
        <v/>
      </c>
      <c r="W145" s="6" t="n"/>
      <c r="X145">
        <f>IF(C145="","",LOWER(SUBSTITUTE(SUBSTITUTE(C145," ","-"),"'",""))&amp;".jpg")</f>
        <v/>
      </c>
      <c r="Y145">
        <f>IF(X145="","","/inventory/"&amp;X145)</f>
        <v/>
      </c>
      <c r="Z145">
        <f>IF(O145="Available","available",IF(OR(O145="Rented",O145="Cleaning",O145="Repair"),"unavailable",IF(O145="Retired","unavailable","")))</f>
        <v/>
      </c>
    </row>
    <row r="146" ht="150" customHeight="1">
      <c r="A146" t="inlineStr">
        <is>
          <t>W145</t>
        </is>
      </c>
      <c r="B146" s="6" t="n"/>
      <c r="C146" s="21" t="n"/>
      <c r="D146" s="25" t="n"/>
      <c r="E146" s="6" t="n"/>
      <c r="F146" s="19">
        <f>IF(E146="","",_xlfn.IMAGE(E146))</f>
        <v/>
      </c>
      <c r="G146" s="17" t="n"/>
      <c r="H146" s="39" t="n"/>
      <c r="I146" s="7" t="n"/>
      <c r="J146" s="25" t="n"/>
      <c r="K146" s="28" t="n"/>
      <c r="L146" s="6" t="n"/>
      <c r="M146" s="6" t="n"/>
      <c r="N146" s="6" t="n"/>
      <c r="O146" s="6" t="n"/>
      <c r="P146" s="8" t="n"/>
      <c r="Q146" s="7" t="n"/>
      <c r="R146" s="9" t="n"/>
      <c r="S146" s="10">
        <f>IF($C146="","",$I146*$R146)</f>
        <v/>
      </c>
      <c r="T146" s="10">
        <f>IF($C146="","",(IF($N146="Purchased",$H146,0)+$Q146))</f>
        <v/>
      </c>
      <c r="U146" s="10">
        <f>IF($C146="","",$S146-$T146)</f>
        <v/>
      </c>
      <c r="V146" s="11">
        <f>IF(OR($C146="",$I146=0),"",CEILING($T146/$I146,1))</f>
        <v/>
      </c>
      <c r="W146" s="6" t="n"/>
      <c r="X146">
        <f>IF(C146="","",LOWER(SUBSTITUTE(SUBSTITUTE(C146," ","-"),"'",""))&amp;".jpg")</f>
        <v/>
      </c>
      <c r="Y146">
        <f>IF(X146="","","/inventory/"&amp;X146)</f>
        <v/>
      </c>
      <c r="Z146">
        <f>IF(O146="Available","available",IF(OR(O146="Rented",O146="Cleaning",O146="Repair"),"unavailable",IF(O146="Retired","unavailable","")))</f>
        <v/>
      </c>
    </row>
    <row r="147" ht="150" customHeight="1">
      <c r="A147" t="inlineStr">
        <is>
          <t>W146</t>
        </is>
      </c>
      <c r="B147" s="6" t="n"/>
      <c r="C147" s="21" t="n"/>
      <c r="D147" s="25" t="n"/>
      <c r="E147" s="6" t="n"/>
      <c r="F147" s="19">
        <f>IF(E147="","",_xlfn.IMAGE(E147))</f>
        <v/>
      </c>
      <c r="G147" s="17" t="n"/>
      <c r="H147" s="39" t="n"/>
      <c r="I147" s="7" t="n"/>
      <c r="J147" s="25" t="n"/>
      <c r="K147" s="28" t="n"/>
      <c r="L147" s="6" t="n"/>
      <c r="M147" s="6" t="n"/>
      <c r="N147" s="6" t="n"/>
      <c r="O147" s="6" t="n"/>
      <c r="P147" s="8" t="n"/>
      <c r="Q147" s="7" t="n"/>
      <c r="R147" s="9" t="n"/>
      <c r="S147" s="10">
        <f>IF($C147="","",$I147*$R147)</f>
        <v/>
      </c>
      <c r="T147" s="10">
        <f>IF($C147="","",(IF($N147="Purchased",$H147,0)+$Q147))</f>
        <v/>
      </c>
      <c r="U147" s="10">
        <f>IF($C147="","",$S147-$T147)</f>
        <v/>
      </c>
      <c r="V147" s="11">
        <f>IF(OR($C147="",$I147=0),"",CEILING($T147/$I147,1))</f>
        <v/>
      </c>
      <c r="W147" s="6" t="n"/>
      <c r="X147">
        <f>IF(C147="","",LOWER(SUBSTITUTE(SUBSTITUTE(C147," ","-"),"'",""))&amp;".jpg")</f>
        <v/>
      </c>
      <c r="Y147">
        <f>IF(X147="","","/inventory/"&amp;X147)</f>
        <v/>
      </c>
      <c r="Z147">
        <f>IF(O147="Available","available",IF(OR(O147="Rented",O147="Cleaning",O147="Repair"),"unavailable",IF(O147="Retired","unavailable","")))</f>
        <v/>
      </c>
    </row>
    <row r="148" ht="150" customHeight="1">
      <c r="A148" t="inlineStr">
        <is>
          <t>W147</t>
        </is>
      </c>
      <c r="B148" s="6" t="n"/>
      <c r="C148" s="21" t="n"/>
      <c r="D148" s="25" t="n"/>
      <c r="E148" s="6" t="n"/>
      <c r="F148" s="19">
        <f>IF(E148="","",_xlfn.IMAGE(E148))</f>
        <v/>
      </c>
      <c r="G148" s="17" t="n"/>
      <c r="H148" s="39" t="n"/>
      <c r="I148" s="7" t="n"/>
      <c r="J148" s="25" t="n"/>
      <c r="K148" s="28" t="n"/>
      <c r="L148" s="6" t="n"/>
      <c r="M148" s="6" t="n"/>
      <c r="N148" s="6" t="n"/>
      <c r="O148" s="6" t="n"/>
      <c r="P148" s="8" t="n"/>
      <c r="Q148" s="7" t="n"/>
      <c r="R148" s="9" t="n"/>
      <c r="S148" s="10">
        <f>IF($C148="","",$I148*$R148)</f>
        <v/>
      </c>
      <c r="T148" s="10">
        <f>IF($C148="","",(IF($N148="Purchased",$H148,0)+$Q148))</f>
        <v/>
      </c>
      <c r="U148" s="10">
        <f>IF($C148="","",$S148-$T148)</f>
        <v/>
      </c>
      <c r="V148" s="11">
        <f>IF(OR($C148="",$I148=0),"",CEILING($T148/$I148,1))</f>
        <v/>
      </c>
      <c r="W148" s="6" t="n"/>
      <c r="X148">
        <f>IF(C148="","",LOWER(SUBSTITUTE(SUBSTITUTE(C148," ","-"),"'",""))&amp;".jpg")</f>
        <v/>
      </c>
      <c r="Y148">
        <f>IF(X148="","","/inventory/"&amp;X148)</f>
        <v/>
      </c>
      <c r="Z148">
        <f>IF(O148="Available","available",IF(OR(O148="Rented",O148="Cleaning",O148="Repair"),"unavailable",IF(O148="Retired","unavailable","")))</f>
        <v/>
      </c>
    </row>
    <row r="149" ht="150" customHeight="1">
      <c r="A149" t="inlineStr">
        <is>
          <t>W148</t>
        </is>
      </c>
      <c r="B149" s="6" t="n"/>
      <c r="C149" s="21" t="n"/>
      <c r="D149" s="25" t="n"/>
      <c r="E149" s="6" t="n"/>
      <c r="F149" s="19">
        <f>IF(E149="","",_xlfn.IMAGE(E149))</f>
        <v/>
      </c>
      <c r="G149" s="17" t="n"/>
      <c r="H149" s="39" t="n"/>
      <c r="I149" s="7" t="n"/>
      <c r="J149" s="25" t="n"/>
      <c r="K149" s="28" t="n"/>
      <c r="L149" s="6" t="n"/>
      <c r="M149" s="6" t="n"/>
      <c r="N149" s="6" t="n"/>
      <c r="O149" s="6" t="n"/>
      <c r="P149" s="8" t="n"/>
      <c r="Q149" s="7" t="n"/>
      <c r="R149" s="9" t="n"/>
      <c r="S149" s="10">
        <f>IF($C149="","",$I149*$R149)</f>
        <v/>
      </c>
      <c r="T149" s="10">
        <f>IF($C149="","",(IF($N149="Purchased",$H149,0)+$Q149))</f>
        <v/>
      </c>
      <c r="U149" s="10">
        <f>IF($C149="","",$S149-$T149)</f>
        <v/>
      </c>
      <c r="V149" s="11">
        <f>IF(OR($C149="",$I149=0),"",CEILING($T149/$I149,1))</f>
        <v/>
      </c>
      <c r="W149" s="6" t="n"/>
      <c r="X149">
        <f>IF(C149="","",LOWER(SUBSTITUTE(SUBSTITUTE(C149," ","-"),"'",""))&amp;".jpg")</f>
        <v/>
      </c>
      <c r="Y149">
        <f>IF(X149="","","/inventory/"&amp;X149)</f>
        <v/>
      </c>
      <c r="Z149">
        <f>IF(O149="Available","available",IF(OR(O149="Rented",O149="Cleaning",O149="Repair"),"unavailable",IF(O149="Retired","unavailable","")))</f>
        <v/>
      </c>
    </row>
    <row r="150" ht="150" customHeight="1">
      <c r="A150" t="inlineStr">
        <is>
          <t>W149</t>
        </is>
      </c>
      <c r="B150" s="6" t="n"/>
      <c r="C150" s="21" t="n"/>
      <c r="D150" s="25" t="n"/>
      <c r="E150" s="6" t="n"/>
      <c r="F150" s="19">
        <f>IF(E150="","",_xlfn.IMAGE(E150))</f>
        <v/>
      </c>
      <c r="G150" s="17" t="n"/>
      <c r="H150" s="39" t="n"/>
      <c r="I150" s="7" t="n"/>
      <c r="J150" s="25" t="n"/>
      <c r="K150" s="28" t="n"/>
      <c r="L150" s="6" t="n"/>
      <c r="M150" s="6" t="n"/>
      <c r="N150" s="6" t="n"/>
      <c r="O150" s="6" t="n"/>
      <c r="P150" s="8" t="n"/>
      <c r="Q150" s="7" t="n"/>
      <c r="R150" s="9" t="n"/>
      <c r="S150" s="10">
        <f>IF($C150="","",$I150*$R150)</f>
        <v/>
      </c>
      <c r="T150" s="10">
        <f>IF($C150="","",(IF($N150="Purchased",$H150,0)+$Q150))</f>
        <v/>
      </c>
      <c r="U150" s="10">
        <f>IF($C150="","",$S150-$T150)</f>
        <v/>
      </c>
      <c r="V150" s="11">
        <f>IF(OR($C150="",$I150=0),"",CEILING($T150/$I150,1))</f>
        <v/>
      </c>
      <c r="W150" s="6" t="n"/>
      <c r="X150">
        <f>IF(C150="","",LOWER(SUBSTITUTE(SUBSTITUTE(C150," ","-"),"'",""))&amp;".jpg")</f>
        <v/>
      </c>
      <c r="Y150">
        <f>IF(X150="","","/inventory/"&amp;X150)</f>
        <v/>
      </c>
      <c r="Z150">
        <f>IF(O150="Available","available",IF(OR(O150="Rented",O150="Cleaning",O150="Repair"),"unavailable",IF(O150="Retired","unavailable","")))</f>
        <v/>
      </c>
    </row>
    <row r="151" ht="150" customHeight="1">
      <c r="A151" t="inlineStr">
        <is>
          <t>W150</t>
        </is>
      </c>
      <c r="B151" s="6" t="n"/>
      <c r="C151" s="21" t="n"/>
      <c r="D151" s="25" t="n"/>
      <c r="E151" s="6" t="n"/>
      <c r="F151" s="19">
        <f>IF(E151="","",_xlfn.IMAGE(E151))</f>
        <v/>
      </c>
      <c r="G151" s="17" t="n"/>
      <c r="H151" s="39" t="n"/>
      <c r="I151" s="7" t="n"/>
      <c r="J151" s="25" t="n"/>
      <c r="K151" s="28" t="n"/>
      <c r="L151" s="6" t="n"/>
      <c r="M151" s="6" t="n"/>
      <c r="N151" s="6" t="n"/>
      <c r="O151" s="6" t="n"/>
      <c r="P151" s="8" t="n"/>
      <c r="Q151" s="7" t="n"/>
      <c r="R151" s="9" t="n"/>
      <c r="S151" s="10">
        <f>IF($C151="","",$I151*$R151)</f>
        <v/>
      </c>
      <c r="T151" s="10">
        <f>IF($C151="","",(IF($N151="Purchased",$H151,0)+$Q151))</f>
        <v/>
      </c>
      <c r="U151" s="10">
        <f>IF($C151="","",$S151-$T151)</f>
        <v/>
      </c>
      <c r="V151" s="11">
        <f>IF(OR($C151="",$I151=0),"",CEILING($T151/$I151,1))</f>
        <v/>
      </c>
      <c r="W151" s="6" t="n"/>
      <c r="X151">
        <f>IF(C151="","",LOWER(SUBSTITUTE(SUBSTITUTE(C151," ","-"),"'",""))&amp;".jpg")</f>
        <v/>
      </c>
      <c r="Y151">
        <f>IF(X151="","","/inventory/"&amp;X151)</f>
        <v/>
      </c>
      <c r="Z151">
        <f>IF(O151="Available","available",IF(OR(O151="Rented",O151="Cleaning",O151="Repair"),"unavailable",IF(O151="Retired","unavailable","")))</f>
        <v/>
      </c>
    </row>
    <row r="152" ht="150" customHeight="1">
      <c r="A152" t="inlineStr">
        <is>
          <t>W151</t>
        </is>
      </c>
      <c r="B152" s="6" t="n"/>
      <c r="C152" s="21" t="n"/>
      <c r="D152" s="25" t="n"/>
      <c r="E152" s="6" t="n"/>
      <c r="F152" s="19">
        <f>IF(E152="","",_xlfn.IMAGE(E152))</f>
        <v/>
      </c>
      <c r="G152" s="17" t="n"/>
      <c r="H152" s="39" t="n"/>
      <c r="I152" s="7" t="n"/>
      <c r="J152" s="25" t="n"/>
      <c r="K152" s="28" t="n"/>
      <c r="L152" s="6" t="n"/>
      <c r="M152" s="6" t="n"/>
      <c r="N152" s="6" t="n"/>
      <c r="O152" s="6" t="n"/>
      <c r="P152" s="8" t="n"/>
      <c r="Q152" s="7" t="n"/>
      <c r="R152" s="9" t="n"/>
      <c r="S152" s="10">
        <f>IF($C152="","",$I152*$R152)</f>
        <v/>
      </c>
      <c r="T152" s="10">
        <f>IF($C152="","",(IF($N152="Purchased",$H152,0)+$Q152))</f>
        <v/>
      </c>
      <c r="U152" s="10">
        <f>IF($C152="","",$S152-$T152)</f>
        <v/>
      </c>
      <c r="V152" s="11">
        <f>IF(OR($C152="",$I152=0),"",CEILING($T152/$I152,1))</f>
        <v/>
      </c>
      <c r="W152" s="6" t="n"/>
      <c r="X152">
        <f>IF(C152="","",LOWER(SUBSTITUTE(SUBSTITUTE(C152," ","-"),"'",""))&amp;".jpg")</f>
        <v/>
      </c>
      <c r="Y152">
        <f>IF(X152="","","/inventory/"&amp;X152)</f>
        <v/>
      </c>
      <c r="Z152">
        <f>IF(O152="Available","available",IF(OR(O152="Rented",O152="Cleaning",O152="Repair"),"unavailable",IF(O152="Retired","unavailable","")))</f>
        <v/>
      </c>
    </row>
    <row r="153" ht="150" customHeight="1">
      <c r="A153" t="inlineStr">
        <is>
          <t>W152</t>
        </is>
      </c>
      <c r="B153" s="6" t="n"/>
      <c r="C153" s="21" t="n"/>
      <c r="D153" s="25" t="n"/>
      <c r="E153" s="6" t="n"/>
      <c r="F153" s="19">
        <f>IF(E153="","",_xlfn.IMAGE(E153))</f>
        <v/>
      </c>
      <c r="G153" s="17" t="n"/>
      <c r="H153" s="39" t="n"/>
      <c r="I153" s="7" t="n"/>
      <c r="J153" s="25" t="n"/>
      <c r="K153" s="28" t="n"/>
      <c r="L153" s="6" t="n"/>
      <c r="M153" s="6" t="n"/>
      <c r="N153" s="6" t="n"/>
      <c r="O153" s="6" t="n"/>
      <c r="P153" s="8" t="n"/>
      <c r="Q153" s="7" t="n"/>
      <c r="R153" s="9" t="n"/>
      <c r="S153" s="10">
        <f>IF($C153="","",$I153*$R153)</f>
        <v/>
      </c>
      <c r="T153" s="10">
        <f>IF($C153="","",(IF($N153="Purchased",$H153,0)+$Q153))</f>
        <v/>
      </c>
      <c r="U153" s="10">
        <f>IF($C153="","",$S153-$T153)</f>
        <v/>
      </c>
      <c r="V153" s="11">
        <f>IF(OR($C153="",$I153=0),"",CEILING($T153/$I153,1))</f>
        <v/>
      </c>
      <c r="W153" s="6" t="n"/>
      <c r="X153">
        <f>IF(C153="","",LOWER(SUBSTITUTE(SUBSTITUTE(C153," ","-"),"'",""))&amp;".jpg")</f>
        <v/>
      </c>
      <c r="Y153">
        <f>IF(X153="","","/inventory/"&amp;X153)</f>
        <v/>
      </c>
      <c r="Z153">
        <f>IF(O153="Available","available",IF(OR(O153="Rented",O153="Cleaning",O153="Repair"),"unavailable",IF(O153="Retired","unavailable","")))</f>
        <v/>
      </c>
    </row>
    <row r="154" ht="150" customHeight="1">
      <c r="A154" t="inlineStr">
        <is>
          <t>W153</t>
        </is>
      </c>
      <c r="B154" s="6" t="n"/>
      <c r="C154" s="21" t="n"/>
      <c r="D154" s="25" t="n"/>
      <c r="E154" s="6" t="n"/>
      <c r="F154" s="19">
        <f>IF(E154="","",_xlfn.IMAGE(E154))</f>
        <v/>
      </c>
      <c r="G154" s="17" t="n"/>
      <c r="H154" s="39" t="n"/>
      <c r="I154" s="7" t="n"/>
      <c r="J154" s="25" t="n"/>
      <c r="K154" s="28" t="n"/>
      <c r="L154" s="6" t="n"/>
      <c r="M154" s="6" t="n"/>
      <c r="N154" s="6" t="n"/>
      <c r="O154" s="6" t="n"/>
      <c r="P154" s="8" t="n"/>
      <c r="Q154" s="7" t="n"/>
      <c r="R154" s="9" t="n"/>
      <c r="S154" s="10">
        <f>IF($C154="","",$I154*$R154)</f>
        <v/>
      </c>
      <c r="T154" s="10">
        <f>IF($C154="","",(IF($N154="Purchased",$H154,0)+$Q154))</f>
        <v/>
      </c>
      <c r="U154" s="10">
        <f>IF($C154="","",$S154-$T154)</f>
        <v/>
      </c>
      <c r="V154" s="11">
        <f>IF(OR($C154="",$I154=0),"",CEILING($T154/$I154,1))</f>
        <v/>
      </c>
      <c r="W154" s="6" t="n"/>
      <c r="X154">
        <f>IF(C154="","",LOWER(SUBSTITUTE(SUBSTITUTE(C154," ","-"),"'",""))&amp;".jpg")</f>
        <v/>
      </c>
      <c r="Y154">
        <f>IF(X154="","","/inventory/"&amp;X154)</f>
        <v/>
      </c>
      <c r="Z154">
        <f>IF(O154="Available","available",IF(OR(O154="Rented",O154="Cleaning",O154="Repair"),"unavailable",IF(O154="Retired","unavailable","")))</f>
        <v/>
      </c>
    </row>
    <row r="155" ht="150" customHeight="1">
      <c r="A155" t="inlineStr">
        <is>
          <t>W154</t>
        </is>
      </c>
      <c r="B155" s="6" t="n"/>
      <c r="C155" s="21" t="n"/>
      <c r="D155" s="25" t="n"/>
      <c r="E155" s="6" t="n"/>
      <c r="F155" s="19">
        <f>IF(E155="","",_xlfn.IMAGE(E155))</f>
        <v/>
      </c>
      <c r="G155" s="17" t="n"/>
      <c r="H155" s="39" t="n"/>
      <c r="I155" s="7" t="n"/>
      <c r="J155" s="25" t="n"/>
      <c r="K155" s="28" t="n"/>
      <c r="L155" s="6" t="n"/>
      <c r="M155" s="6" t="n"/>
      <c r="N155" s="6" t="n"/>
      <c r="O155" s="6" t="n"/>
      <c r="P155" s="8" t="n"/>
      <c r="Q155" s="7" t="n"/>
      <c r="R155" s="9" t="n"/>
      <c r="S155" s="10">
        <f>IF($C155="","",$I155*$R155)</f>
        <v/>
      </c>
      <c r="T155" s="10">
        <f>IF($C155="","",(IF($N155="Purchased",$H155,0)+$Q155))</f>
        <v/>
      </c>
      <c r="U155" s="10">
        <f>IF($C155="","",$S155-$T155)</f>
        <v/>
      </c>
      <c r="V155" s="11">
        <f>IF(OR($C155="",$I155=0),"",CEILING($T155/$I155,1))</f>
        <v/>
      </c>
      <c r="W155" s="6" t="n"/>
      <c r="X155">
        <f>IF(C155="","",LOWER(SUBSTITUTE(SUBSTITUTE(C155," ","-"),"'",""))&amp;".jpg")</f>
        <v/>
      </c>
      <c r="Y155">
        <f>IF(X155="","","/inventory/"&amp;X155)</f>
        <v/>
      </c>
      <c r="Z155">
        <f>IF(O155="Available","available",IF(OR(O155="Rented",O155="Cleaning",O155="Repair"),"unavailable",IF(O155="Retired","unavailable","")))</f>
        <v/>
      </c>
    </row>
    <row r="156" ht="150" customHeight="1">
      <c r="A156" t="inlineStr">
        <is>
          <t>W155</t>
        </is>
      </c>
      <c r="B156" s="6" t="n"/>
      <c r="C156" s="21" t="n"/>
      <c r="D156" s="25" t="n"/>
      <c r="E156" s="6" t="n"/>
      <c r="F156" s="19">
        <f>IF(E156="","",_xlfn.IMAGE(E156))</f>
        <v/>
      </c>
      <c r="G156" s="17" t="n"/>
      <c r="H156" s="39" t="n"/>
      <c r="I156" s="7" t="n"/>
      <c r="J156" s="25" t="n"/>
      <c r="K156" s="28" t="n"/>
      <c r="L156" s="6" t="n"/>
      <c r="M156" s="6" t="n"/>
      <c r="N156" s="6" t="n"/>
      <c r="O156" s="6" t="n"/>
      <c r="P156" s="8" t="n"/>
      <c r="Q156" s="7" t="n"/>
      <c r="R156" s="9" t="n"/>
      <c r="S156" s="10">
        <f>IF($C156="","",$I156*$R156)</f>
        <v/>
      </c>
      <c r="T156" s="10">
        <f>IF($C156="","",(IF($N156="Purchased",$H156,0)+$Q156))</f>
        <v/>
      </c>
      <c r="U156" s="10">
        <f>IF($C156="","",$S156-$T156)</f>
        <v/>
      </c>
      <c r="V156" s="11">
        <f>IF(OR($C156="",$I156=0),"",CEILING($T156/$I156,1))</f>
        <v/>
      </c>
      <c r="W156" s="6" t="n"/>
      <c r="X156">
        <f>IF(C156="","",LOWER(SUBSTITUTE(SUBSTITUTE(C156," ","-"),"'",""))&amp;".jpg")</f>
        <v/>
      </c>
      <c r="Y156">
        <f>IF(X156="","","/inventory/"&amp;X156)</f>
        <v/>
      </c>
      <c r="Z156">
        <f>IF(O156="Available","available",IF(OR(O156="Rented",O156="Cleaning",O156="Repair"),"unavailable",IF(O156="Retired","unavailable","")))</f>
        <v/>
      </c>
    </row>
    <row r="157" ht="150" customHeight="1">
      <c r="A157" t="inlineStr">
        <is>
          <t>W156</t>
        </is>
      </c>
      <c r="B157" s="6" t="n"/>
      <c r="C157" s="21" t="n"/>
      <c r="D157" s="25" t="n"/>
      <c r="E157" s="6" t="n"/>
      <c r="F157" s="19">
        <f>IF(E157="","",_xlfn.IMAGE(E157))</f>
        <v/>
      </c>
      <c r="G157" s="17" t="n"/>
      <c r="H157" s="39" t="n"/>
      <c r="I157" s="7" t="n"/>
      <c r="J157" s="25" t="n"/>
      <c r="K157" s="28" t="n"/>
      <c r="L157" s="6" t="n"/>
      <c r="M157" s="6" t="n"/>
      <c r="N157" s="6" t="n"/>
      <c r="O157" s="6" t="n"/>
      <c r="P157" s="8" t="n"/>
      <c r="Q157" s="7" t="n"/>
      <c r="R157" s="9" t="n"/>
      <c r="S157" s="10">
        <f>IF($C157="","",$I157*$R157)</f>
        <v/>
      </c>
      <c r="T157" s="10">
        <f>IF($C157="","",(IF($N157="Purchased",$H157,0)+$Q157))</f>
        <v/>
      </c>
      <c r="U157" s="10">
        <f>IF($C157="","",$S157-$T157)</f>
        <v/>
      </c>
      <c r="V157" s="11">
        <f>IF(OR($C157="",$I157=0),"",CEILING($T157/$I157,1))</f>
        <v/>
      </c>
      <c r="W157" s="6" t="n"/>
      <c r="X157">
        <f>IF(C157="","",LOWER(SUBSTITUTE(SUBSTITUTE(C157," ","-"),"'",""))&amp;".jpg")</f>
        <v/>
      </c>
      <c r="Y157">
        <f>IF(X157="","","/inventory/"&amp;X157)</f>
        <v/>
      </c>
      <c r="Z157">
        <f>IF(O157="Available","available",IF(OR(O157="Rented",O157="Cleaning",O157="Repair"),"unavailable",IF(O157="Retired","unavailable","")))</f>
        <v/>
      </c>
    </row>
    <row r="158" ht="150" customHeight="1">
      <c r="A158" t="inlineStr">
        <is>
          <t>W157</t>
        </is>
      </c>
      <c r="B158" s="6" t="n"/>
      <c r="C158" s="21" t="n"/>
      <c r="D158" s="25" t="n"/>
      <c r="E158" s="6" t="n"/>
      <c r="F158" s="19">
        <f>IF(E158="","",_xlfn.IMAGE(E158))</f>
        <v/>
      </c>
      <c r="G158" s="17" t="n"/>
      <c r="H158" s="39" t="n"/>
      <c r="I158" s="7" t="n"/>
      <c r="J158" s="25" t="n"/>
      <c r="K158" s="28" t="n"/>
      <c r="L158" s="6" t="n"/>
      <c r="M158" s="6" t="n"/>
      <c r="N158" s="6" t="n"/>
      <c r="O158" s="6" t="n"/>
      <c r="P158" s="8" t="n"/>
      <c r="Q158" s="7" t="n"/>
      <c r="R158" s="9" t="n"/>
      <c r="S158" s="10">
        <f>IF($C158="","",$I158*$R158)</f>
        <v/>
      </c>
      <c r="T158" s="10">
        <f>IF($C158="","",(IF($N158="Purchased",$H158,0)+$Q158))</f>
        <v/>
      </c>
      <c r="U158" s="10">
        <f>IF($C158="","",$S158-$T158)</f>
        <v/>
      </c>
      <c r="V158" s="11">
        <f>IF(OR($C158="",$I158=0),"",CEILING($T158/$I158,1))</f>
        <v/>
      </c>
      <c r="W158" s="6" t="n"/>
      <c r="X158">
        <f>IF(C158="","",LOWER(SUBSTITUTE(SUBSTITUTE(C158," ","-"),"'",""))&amp;".jpg")</f>
        <v/>
      </c>
      <c r="Y158">
        <f>IF(X158="","","/inventory/"&amp;X158)</f>
        <v/>
      </c>
      <c r="Z158">
        <f>IF(O158="Available","available",IF(OR(O158="Rented",O158="Cleaning",O158="Repair"),"unavailable",IF(O158="Retired","unavailable","")))</f>
        <v/>
      </c>
    </row>
    <row r="159" ht="150" customHeight="1">
      <c r="A159" t="inlineStr">
        <is>
          <t>W158</t>
        </is>
      </c>
      <c r="B159" s="6" t="n"/>
      <c r="C159" s="21" t="n"/>
      <c r="D159" s="25" t="n"/>
      <c r="E159" s="6" t="n"/>
      <c r="F159" s="19">
        <f>IF(E159="","",_xlfn.IMAGE(E159))</f>
        <v/>
      </c>
      <c r="G159" s="17" t="n"/>
      <c r="H159" s="39" t="n"/>
      <c r="I159" s="7" t="n"/>
      <c r="J159" s="25" t="n"/>
      <c r="K159" s="28" t="n"/>
      <c r="L159" s="6" t="n"/>
      <c r="M159" s="6" t="n"/>
      <c r="N159" s="6" t="n"/>
      <c r="O159" s="6" t="n"/>
      <c r="P159" s="8" t="n"/>
      <c r="Q159" s="7" t="n"/>
      <c r="R159" s="9" t="n"/>
      <c r="S159" s="10">
        <f>IF($C159="","",$I159*$R159)</f>
        <v/>
      </c>
      <c r="T159" s="10">
        <f>IF($C159="","",(IF($N159="Purchased",$H159,0)+$Q159))</f>
        <v/>
      </c>
      <c r="U159" s="10">
        <f>IF($C159="","",$S159-$T159)</f>
        <v/>
      </c>
      <c r="V159" s="11">
        <f>IF(OR($C159="",$I159=0),"",CEILING($T159/$I159,1))</f>
        <v/>
      </c>
      <c r="W159" s="6" t="n"/>
      <c r="X159">
        <f>IF(C159="","",LOWER(SUBSTITUTE(SUBSTITUTE(C159," ","-"),"'",""))&amp;".jpg")</f>
        <v/>
      </c>
      <c r="Y159">
        <f>IF(X159="","","/inventory/"&amp;X159)</f>
        <v/>
      </c>
      <c r="Z159">
        <f>IF(O159="Available","available",IF(OR(O159="Rented",O159="Cleaning",O159="Repair"),"unavailable",IF(O159="Retired","unavailable","")))</f>
        <v/>
      </c>
    </row>
    <row r="160" ht="150" customHeight="1">
      <c r="A160" t="inlineStr">
        <is>
          <t>W159</t>
        </is>
      </c>
      <c r="B160" s="6" t="n"/>
      <c r="C160" s="21" t="n"/>
      <c r="D160" s="25" t="n"/>
      <c r="E160" s="6" t="n"/>
      <c r="F160" s="19">
        <f>IF(E160="","",_xlfn.IMAGE(E160))</f>
        <v/>
      </c>
      <c r="G160" s="17" t="n"/>
      <c r="H160" s="39" t="n"/>
      <c r="I160" s="7" t="n"/>
      <c r="J160" s="25" t="n"/>
      <c r="K160" s="28" t="n"/>
      <c r="L160" s="6" t="n"/>
      <c r="M160" s="6" t="n"/>
      <c r="N160" s="6" t="n"/>
      <c r="O160" s="6" t="n"/>
      <c r="P160" s="8" t="n"/>
      <c r="Q160" s="7" t="n"/>
      <c r="R160" s="9" t="n"/>
      <c r="S160" s="10">
        <f>IF($C160="","",$I160*$R160)</f>
        <v/>
      </c>
      <c r="T160" s="10">
        <f>IF($C160="","",(IF($N160="Purchased",$H160,0)+$Q160))</f>
        <v/>
      </c>
      <c r="U160" s="10">
        <f>IF($C160="","",$S160-$T160)</f>
        <v/>
      </c>
      <c r="V160" s="11">
        <f>IF(OR($C160="",$I160=0),"",CEILING($T160/$I160,1))</f>
        <v/>
      </c>
      <c r="W160" s="6" t="n"/>
      <c r="X160">
        <f>IF(C160="","",LOWER(SUBSTITUTE(SUBSTITUTE(C160," ","-"),"'",""))&amp;".jpg")</f>
        <v/>
      </c>
      <c r="Y160">
        <f>IF(X160="","","/inventory/"&amp;X160)</f>
        <v/>
      </c>
      <c r="Z160">
        <f>IF(O160="Available","available",IF(OR(O160="Rented",O160="Cleaning",O160="Repair"),"unavailable",IF(O160="Retired","unavailable","")))</f>
        <v/>
      </c>
    </row>
    <row r="161" ht="150" customHeight="1">
      <c r="A161" t="inlineStr">
        <is>
          <t>W160</t>
        </is>
      </c>
      <c r="B161" s="6" t="n"/>
      <c r="C161" s="21" t="n"/>
      <c r="D161" s="25" t="n"/>
      <c r="E161" s="6" t="n"/>
      <c r="F161" s="19">
        <f>IF(E161="","",_xlfn.IMAGE(E161))</f>
        <v/>
      </c>
      <c r="G161" s="17" t="n"/>
      <c r="H161" s="39" t="n"/>
      <c r="I161" s="7" t="n"/>
      <c r="J161" s="25" t="n"/>
      <c r="K161" s="28" t="n"/>
      <c r="L161" s="6" t="n"/>
      <c r="M161" s="6" t="n"/>
      <c r="N161" s="6" t="n"/>
      <c r="O161" s="6" t="n"/>
      <c r="P161" s="8" t="n"/>
      <c r="Q161" s="7" t="n"/>
      <c r="R161" s="9" t="n"/>
      <c r="S161" s="10">
        <f>IF($C161="","",$I161*$R161)</f>
        <v/>
      </c>
      <c r="T161" s="10">
        <f>IF($C161="","",(IF($N161="Purchased",$H161,0)+$Q161))</f>
        <v/>
      </c>
      <c r="U161" s="10">
        <f>IF($C161="","",$S161-$T161)</f>
        <v/>
      </c>
      <c r="V161" s="11">
        <f>IF(OR($C161="",$I161=0),"",CEILING($T161/$I161,1))</f>
        <v/>
      </c>
      <c r="W161" s="6" t="n"/>
      <c r="X161">
        <f>IF(C161="","",LOWER(SUBSTITUTE(SUBSTITUTE(C161," ","-"),"'",""))&amp;".jpg")</f>
        <v/>
      </c>
      <c r="Y161">
        <f>IF(X161="","","/inventory/"&amp;X161)</f>
        <v/>
      </c>
      <c r="Z161">
        <f>IF(O161="Available","available",IF(OR(O161="Rented",O161="Cleaning",O161="Repair"),"unavailable",IF(O161="Retired","unavailable","")))</f>
        <v/>
      </c>
    </row>
    <row r="162" ht="150" customHeight="1">
      <c r="A162" t="inlineStr">
        <is>
          <t>W161</t>
        </is>
      </c>
      <c r="B162" s="6" t="n"/>
      <c r="C162" s="21" t="n"/>
      <c r="D162" s="25" t="n"/>
      <c r="E162" s="6" t="n"/>
      <c r="F162" s="19">
        <f>IF(E162="","",_xlfn.IMAGE(E162))</f>
        <v/>
      </c>
      <c r="G162" s="17" t="n"/>
      <c r="H162" s="39" t="n"/>
      <c r="I162" s="7" t="n"/>
      <c r="J162" s="25" t="n"/>
      <c r="K162" s="28" t="n"/>
      <c r="L162" s="6" t="n"/>
      <c r="M162" s="6" t="n"/>
      <c r="N162" s="6" t="n"/>
      <c r="O162" s="6" t="n"/>
      <c r="P162" s="8" t="n"/>
      <c r="Q162" s="7" t="n"/>
      <c r="R162" s="9" t="n"/>
      <c r="S162" s="10">
        <f>IF($C162="","",$I162*$R162)</f>
        <v/>
      </c>
      <c r="T162" s="10">
        <f>IF($C162="","",(IF($N162="Purchased",$H162,0)+$Q162))</f>
        <v/>
      </c>
      <c r="U162" s="10">
        <f>IF($C162="","",$S162-$T162)</f>
        <v/>
      </c>
      <c r="V162" s="11">
        <f>IF(OR($C162="",$I162=0),"",CEILING($T162/$I162,1))</f>
        <v/>
      </c>
      <c r="W162" s="6" t="n"/>
      <c r="X162">
        <f>IF(C162="","",LOWER(SUBSTITUTE(SUBSTITUTE(C162," ","-"),"'",""))&amp;".jpg")</f>
        <v/>
      </c>
      <c r="Y162">
        <f>IF(X162="","","/inventory/"&amp;X162)</f>
        <v/>
      </c>
      <c r="Z162">
        <f>IF(O162="Available","available",IF(OR(O162="Rented",O162="Cleaning",O162="Repair"),"unavailable",IF(O162="Retired","unavailable","")))</f>
        <v/>
      </c>
    </row>
    <row r="163" ht="150" customHeight="1">
      <c r="A163" t="inlineStr">
        <is>
          <t>W162</t>
        </is>
      </c>
      <c r="B163" s="6" t="n"/>
      <c r="C163" s="21" t="n"/>
      <c r="D163" s="25" t="n"/>
      <c r="E163" s="6" t="n"/>
      <c r="F163" s="19">
        <f>IF(E163="","",_xlfn.IMAGE(E163))</f>
        <v/>
      </c>
      <c r="G163" s="17" t="n"/>
      <c r="H163" s="39" t="n"/>
      <c r="I163" s="7" t="n"/>
      <c r="J163" s="25" t="n"/>
      <c r="K163" s="28" t="n"/>
      <c r="L163" s="6" t="n"/>
      <c r="M163" s="6" t="n"/>
      <c r="N163" s="6" t="n"/>
      <c r="O163" s="6" t="n"/>
      <c r="P163" s="8" t="n"/>
      <c r="Q163" s="7" t="n"/>
      <c r="R163" s="9" t="n"/>
      <c r="S163" s="10">
        <f>IF($C163="","",$I163*$R163)</f>
        <v/>
      </c>
      <c r="T163" s="10">
        <f>IF($C163="","",(IF($N163="Purchased",$H163,0)+$Q163))</f>
        <v/>
      </c>
      <c r="U163" s="10">
        <f>IF($C163="","",$S163-$T163)</f>
        <v/>
      </c>
      <c r="V163" s="11">
        <f>IF(OR($C163="",$I163=0),"",CEILING($T163/$I163,1))</f>
        <v/>
      </c>
      <c r="W163" s="6" t="n"/>
      <c r="X163">
        <f>IF(C163="","",LOWER(SUBSTITUTE(SUBSTITUTE(C163," ","-"),"'",""))&amp;".jpg")</f>
        <v/>
      </c>
      <c r="Y163">
        <f>IF(X163="","","/inventory/"&amp;X163)</f>
        <v/>
      </c>
      <c r="Z163">
        <f>IF(O163="Available","available",IF(OR(O163="Rented",O163="Cleaning",O163="Repair"),"unavailable",IF(O163="Retired","unavailable","")))</f>
        <v/>
      </c>
    </row>
    <row r="164" ht="150" customHeight="1">
      <c r="A164" t="inlineStr">
        <is>
          <t>W163</t>
        </is>
      </c>
      <c r="B164" s="6" t="n"/>
      <c r="C164" s="21" t="n"/>
      <c r="D164" s="25" t="n"/>
      <c r="E164" s="6" t="n"/>
      <c r="F164" s="19">
        <f>IF(E164="","",_xlfn.IMAGE(E164))</f>
        <v/>
      </c>
      <c r="G164" s="17" t="n"/>
      <c r="H164" s="39" t="n"/>
      <c r="I164" s="7" t="n"/>
      <c r="J164" s="25" t="n"/>
      <c r="K164" s="28" t="n"/>
      <c r="L164" s="6" t="n"/>
      <c r="M164" s="6" t="n"/>
      <c r="N164" s="6" t="n"/>
      <c r="O164" s="6" t="n"/>
      <c r="P164" s="8" t="n"/>
      <c r="Q164" s="7" t="n"/>
      <c r="R164" s="9" t="n"/>
      <c r="S164" s="10">
        <f>IF($C164="","",$I164*$R164)</f>
        <v/>
      </c>
      <c r="T164" s="10">
        <f>IF($C164="","",(IF($N164="Purchased",$H164,0)+$Q164))</f>
        <v/>
      </c>
      <c r="U164" s="10">
        <f>IF($C164="","",$S164-$T164)</f>
        <v/>
      </c>
      <c r="V164" s="11">
        <f>IF(OR($C164="",$I164=0),"",CEILING($T164/$I164,1))</f>
        <v/>
      </c>
      <c r="W164" s="6" t="n"/>
      <c r="X164">
        <f>IF(C164="","",LOWER(SUBSTITUTE(SUBSTITUTE(C164," ","-"),"'",""))&amp;".jpg")</f>
        <v/>
      </c>
      <c r="Y164">
        <f>IF(X164="","","/inventory/"&amp;X164)</f>
        <v/>
      </c>
      <c r="Z164">
        <f>IF(O164="Available","available",IF(OR(O164="Rented",O164="Cleaning",O164="Repair"),"unavailable",IF(O164="Retired","unavailable","")))</f>
        <v/>
      </c>
    </row>
    <row r="165" ht="150" customHeight="1">
      <c r="A165" t="inlineStr">
        <is>
          <t>W164</t>
        </is>
      </c>
      <c r="B165" s="6" t="n"/>
      <c r="C165" s="21" t="n"/>
      <c r="D165" s="25" t="n"/>
      <c r="E165" s="6" t="n"/>
      <c r="F165" s="19">
        <f>IF(E165="","",_xlfn.IMAGE(E165))</f>
        <v/>
      </c>
      <c r="G165" s="17" t="n"/>
      <c r="H165" s="39" t="n"/>
      <c r="I165" s="7" t="n"/>
      <c r="J165" s="25" t="n"/>
      <c r="K165" s="28" t="n"/>
      <c r="L165" s="6" t="n"/>
      <c r="M165" s="6" t="n"/>
      <c r="N165" s="6" t="n"/>
      <c r="O165" s="6" t="n"/>
      <c r="P165" s="8" t="n"/>
      <c r="Q165" s="7" t="n"/>
      <c r="R165" s="9" t="n"/>
      <c r="S165" s="10">
        <f>IF($C165="","",$I165*$R165)</f>
        <v/>
      </c>
      <c r="T165" s="10">
        <f>IF($C165="","",(IF($N165="Purchased",$H165,0)+$Q165))</f>
        <v/>
      </c>
      <c r="U165" s="10">
        <f>IF($C165="","",$S165-$T165)</f>
        <v/>
      </c>
      <c r="V165" s="11">
        <f>IF(OR($C165="",$I165=0),"",CEILING($T165/$I165,1))</f>
        <v/>
      </c>
      <c r="W165" s="6" t="n"/>
      <c r="X165">
        <f>IF(C165="","",LOWER(SUBSTITUTE(SUBSTITUTE(C165," ","-"),"'",""))&amp;".jpg")</f>
        <v/>
      </c>
      <c r="Y165">
        <f>IF(X165="","","/inventory/"&amp;X165)</f>
        <v/>
      </c>
      <c r="Z165">
        <f>IF(O165="Available","available",IF(OR(O165="Rented",O165="Cleaning",O165="Repair"),"unavailable",IF(O165="Retired","unavailable","")))</f>
        <v/>
      </c>
    </row>
    <row r="166" ht="150" customHeight="1">
      <c r="A166" t="inlineStr">
        <is>
          <t>W165</t>
        </is>
      </c>
      <c r="B166" s="6" t="n"/>
      <c r="C166" s="21" t="n"/>
      <c r="D166" s="25" t="n"/>
      <c r="E166" s="6" t="n"/>
      <c r="F166" s="19">
        <f>IF(E166="","",_xlfn.IMAGE(E166))</f>
        <v/>
      </c>
      <c r="G166" s="17" t="n"/>
      <c r="H166" s="39" t="n"/>
      <c r="I166" s="7" t="n"/>
      <c r="J166" s="25" t="n"/>
      <c r="K166" s="28" t="n"/>
      <c r="L166" s="6" t="n"/>
      <c r="M166" s="6" t="n"/>
      <c r="N166" s="6" t="n"/>
      <c r="O166" s="6" t="n"/>
      <c r="P166" s="8" t="n"/>
      <c r="Q166" s="7" t="n"/>
      <c r="R166" s="9" t="n"/>
      <c r="S166" s="10">
        <f>IF($C166="","",$I166*$R166)</f>
        <v/>
      </c>
      <c r="T166" s="10">
        <f>IF($C166="","",(IF($N166="Purchased",$H166,0)+$Q166))</f>
        <v/>
      </c>
      <c r="U166" s="10">
        <f>IF($C166="","",$S166-$T166)</f>
        <v/>
      </c>
      <c r="V166" s="11">
        <f>IF(OR($C166="",$I166=0),"",CEILING($T166/$I166,1))</f>
        <v/>
      </c>
      <c r="W166" s="6" t="n"/>
      <c r="X166">
        <f>IF(C166="","",LOWER(SUBSTITUTE(SUBSTITUTE(C166," ","-"),"'",""))&amp;".jpg")</f>
        <v/>
      </c>
      <c r="Y166">
        <f>IF(X166="","","/inventory/"&amp;X166)</f>
        <v/>
      </c>
      <c r="Z166">
        <f>IF(O166="Available","available",IF(OR(O166="Rented",O166="Cleaning",O166="Repair"),"unavailable",IF(O166="Retired","unavailable","")))</f>
        <v/>
      </c>
    </row>
    <row r="167" ht="150" customHeight="1">
      <c r="A167" t="inlineStr">
        <is>
          <t>W166</t>
        </is>
      </c>
      <c r="B167" s="6" t="n"/>
      <c r="C167" s="21" t="n"/>
      <c r="D167" s="25" t="n"/>
      <c r="E167" s="6" t="n"/>
      <c r="F167" s="19">
        <f>IF(E167="","",_xlfn.IMAGE(E167))</f>
        <v/>
      </c>
      <c r="G167" s="17" t="n"/>
      <c r="H167" s="39" t="n"/>
      <c r="I167" s="7" t="n"/>
      <c r="J167" s="25" t="n"/>
      <c r="K167" s="28" t="n"/>
      <c r="L167" s="6" t="n"/>
      <c r="M167" s="6" t="n"/>
      <c r="N167" s="6" t="n"/>
      <c r="O167" s="6" t="n"/>
      <c r="P167" s="8" t="n"/>
      <c r="Q167" s="7" t="n"/>
      <c r="R167" s="9" t="n"/>
      <c r="S167" s="10">
        <f>IF($C167="","",$I167*$R167)</f>
        <v/>
      </c>
      <c r="T167" s="10">
        <f>IF($C167="","",(IF($N167="Purchased",$H167,0)+$Q167))</f>
        <v/>
      </c>
      <c r="U167" s="10">
        <f>IF($C167="","",$S167-$T167)</f>
        <v/>
      </c>
      <c r="V167" s="11">
        <f>IF(OR($C167="",$I167=0),"",CEILING($T167/$I167,1))</f>
        <v/>
      </c>
      <c r="W167" s="6" t="n"/>
      <c r="X167">
        <f>IF(C167="","",LOWER(SUBSTITUTE(SUBSTITUTE(C167," ","-"),"'",""))&amp;".jpg")</f>
        <v/>
      </c>
      <c r="Y167">
        <f>IF(X167="","","/inventory/"&amp;X167)</f>
        <v/>
      </c>
      <c r="Z167">
        <f>IF(O167="Available","available",IF(OR(O167="Rented",O167="Cleaning",O167="Repair"),"unavailable",IF(O167="Retired","unavailable","")))</f>
        <v/>
      </c>
    </row>
    <row r="168" ht="150" customHeight="1">
      <c r="A168" t="inlineStr">
        <is>
          <t>W167</t>
        </is>
      </c>
      <c r="B168" s="6" t="n"/>
      <c r="C168" s="21" t="n"/>
      <c r="D168" s="25" t="n"/>
      <c r="E168" s="6" t="n"/>
      <c r="F168" s="19">
        <f>IF(E168="","",_xlfn.IMAGE(E168))</f>
        <v/>
      </c>
      <c r="G168" s="17" t="n"/>
      <c r="H168" s="39" t="n"/>
      <c r="I168" s="7" t="n"/>
      <c r="J168" s="25" t="n"/>
      <c r="K168" s="28" t="n"/>
      <c r="L168" s="6" t="n"/>
      <c r="M168" s="6" t="n"/>
      <c r="N168" s="6" t="n"/>
      <c r="O168" s="6" t="n"/>
      <c r="P168" s="8" t="n"/>
      <c r="Q168" s="7" t="n"/>
      <c r="R168" s="9" t="n"/>
      <c r="S168" s="10">
        <f>IF($C168="","",$I168*$R168)</f>
        <v/>
      </c>
      <c r="T168" s="10">
        <f>IF($C168="","",(IF($N168="Purchased",$H168,0)+$Q168))</f>
        <v/>
      </c>
      <c r="U168" s="10">
        <f>IF($C168="","",$S168-$T168)</f>
        <v/>
      </c>
      <c r="V168" s="11">
        <f>IF(OR($C168="",$I168=0),"",CEILING($T168/$I168,1))</f>
        <v/>
      </c>
      <c r="W168" s="6" t="n"/>
      <c r="X168">
        <f>IF(C168="","",LOWER(SUBSTITUTE(SUBSTITUTE(C168," ","-"),"'",""))&amp;".jpg")</f>
        <v/>
      </c>
      <c r="Y168">
        <f>IF(X168="","","/inventory/"&amp;X168)</f>
        <v/>
      </c>
      <c r="Z168">
        <f>IF(O168="Available","available",IF(OR(O168="Rented",O168="Cleaning",O168="Repair"),"unavailable",IF(O168="Retired","unavailable","")))</f>
        <v/>
      </c>
    </row>
    <row r="169" ht="150" customHeight="1">
      <c r="A169" t="inlineStr">
        <is>
          <t>W168</t>
        </is>
      </c>
      <c r="B169" s="6" t="n"/>
      <c r="C169" s="21" t="n"/>
      <c r="D169" s="25" t="n"/>
      <c r="E169" s="6" t="n"/>
      <c r="F169" s="19">
        <f>IF(E169="","",_xlfn.IMAGE(E169))</f>
        <v/>
      </c>
      <c r="G169" s="17" t="n"/>
      <c r="H169" s="39" t="n"/>
      <c r="I169" s="7" t="n"/>
      <c r="J169" s="25" t="n"/>
      <c r="K169" s="28" t="n"/>
      <c r="L169" s="6" t="n"/>
      <c r="M169" s="6" t="n"/>
      <c r="N169" s="6" t="n"/>
      <c r="O169" s="6" t="n"/>
      <c r="P169" s="8" t="n"/>
      <c r="Q169" s="7" t="n"/>
      <c r="R169" s="9" t="n"/>
      <c r="S169" s="10">
        <f>IF($C169="","",$I169*$R169)</f>
        <v/>
      </c>
      <c r="T169" s="10">
        <f>IF($C169="","",(IF($N169="Purchased",$H169,0)+$Q169))</f>
        <v/>
      </c>
      <c r="U169" s="10">
        <f>IF($C169="","",$S169-$T169)</f>
        <v/>
      </c>
      <c r="V169" s="11">
        <f>IF(OR($C169="",$I169=0),"",CEILING($T169/$I169,1))</f>
        <v/>
      </c>
      <c r="W169" s="6" t="n"/>
      <c r="X169">
        <f>IF(C169="","",LOWER(SUBSTITUTE(SUBSTITUTE(C169," ","-"),"'",""))&amp;".jpg")</f>
        <v/>
      </c>
      <c r="Y169">
        <f>IF(X169="","","/inventory/"&amp;X169)</f>
        <v/>
      </c>
      <c r="Z169">
        <f>IF(O169="Available","available",IF(OR(O169="Rented",O169="Cleaning",O169="Repair"),"unavailable",IF(O169="Retired","unavailable","")))</f>
        <v/>
      </c>
    </row>
    <row r="170" ht="150" customHeight="1">
      <c r="A170" t="inlineStr">
        <is>
          <t>W169</t>
        </is>
      </c>
      <c r="B170" s="6" t="n"/>
      <c r="C170" s="21" t="n"/>
      <c r="D170" s="25" t="n"/>
      <c r="E170" s="6" t="n"/>
      <c r="F170" s="19">
        <f>IF(E170="","",_xlfn.IMAGE(E170))</f>
        <v/>
      </c>
      <c r="G170" s="17" t="n"/>
      <c r="H170" s="39" t="n"/>
      <c r="I170" s="7" t="n"/>
      <c r="J170" s="25" t="n"/>
      <c r="K170" s="28" t="n"/>
      <c r="L170" s="6" t="n"/>
      <c r="M170" s="6" t="n"/>
      <c r="N170" s="6" t="n"/>
      <c r="O170" s="6" t="n"/>
      <c r="P170" s="8" t="n"/>
      <c r="Q170" s="7" t="n"/>
      <c r="R170" s="9" t="n"/>
      <c r="S170" s="10">
        <f>IF($C170="","",$I170*$R170)</f>
        <v/>
      </c>
      <c r="T170" s="10">
        <f>IF($C170="","",(IF($N170="Purchased",$H170,0)+$Q170))</f>
        <v/>
      </c>
      <c r="U170" s="10">
        <f>IF($C170="","",$S170-$T170)</f>
        <v/>
      </c>
      <c r="V170" s="11">
        <f>IF(OR($C170="",$I170=0),"",CEILING($T170/$I170,1))</f>
        <v/>
      </c>
      <c r="W170" s="6" t="n"/>
      <c r="X170">
        <f>IF(C170="","",LOWER(SUBSTITUTE(SUBSTITUTE(C170," ","-"),"'",""))&amp;".jpg")</f>
        <v/>
      </c>
      <c r="Y170">
        <f>IF(X170="","","/inventory/"&amp;X170)</f>
        <v/>
      </c>
      <c r="Z170">
        <f>IF(O170="Available","available",IF(OR(O170="Rented",O170="Cleaning",O170="Repair"),"unavailable",IF(O170="Retired","unavailable","")))</f>
        <v/>
      </c>
    </row>
    <row r="171" ht="150" customHeight="1">
      <c r="A171" t="inlineStr">
        <is>
          <t>W170</t>
        </is>
      </c>
      <c r="B171" s="6" t="n"/>
      <c r="C171" s="21" t="n"/>
      <c r="D171" s="25" t="n"/>
      <c r="E171" s="6" t="n"/>
      <c r="F171" s="19">
        <f>IF(E171="","",_xlfn.IMAGE(E171))</f>
        <v/>
      </c>
      <c r="G171" s="17" t="n"/>
      <c r="H171" s="39" t="n"/>
      <c r="I171" s="7" t="n"/>
      <c r="J171" s="25" t="n"/>
      <c r="K171" s="28" t="n"/>
      <c r="L171" s="6" t="n"/>
      <c r="M171" s="6" t="n"/>
      <c r="N171" s="6" t="n"/>
      <c r="O171" s="6" t="n"/>
      <c r="P171" s="8" t="n"/>
      <c r="Q171" s="7" t="n"/>
      <c r="R171" s="9" t="n"/>
      <c r="S171" s="10">
        <f>IF($C171="","",$I171*$R171)</f>
        <v/>
      </c>
      <c r="T171" s="10">
        <f>IF($C171="","",(IF($N171="Purchased",$H171,0)+$Q171))</f>
        <v/>
      </c>
      <c r="U171" s="10">
        <f>IF($C171="","",$S171-$T171)</f>
        <v/>
      </c>
      <c r="V171" s="11">
        <f>IF(OR($C171="",$I171=0),"",CEILING($T171/$I171,1))</f>
        <v/>
      </c>
      <c r="W171" s="6" t="n"/>
      <c r="X171">
        <f>IF(C171="","",LOWER(SUBSTITUTE(SUBSTITUTE(C171," ","-"),"'",""))&amp;".jpg")</f>
        <v/>
      </c>
      <c r="Y171">
        <f>IF(X171="","","/inventory/"&amp;X171)</f>
        <v/>
      </c>
      <c r="Z171">
        <f>IF(O171="Available","available",IF(OR(O171="Rented",O171="Cleaning",O171="Repair"),"unavailable",IF(O171="Retired","unavailable","")))</f>
        <v/>
      </c>
    </row>
    <row r="172" ht="150" customHeight="1">
      <c r="A172" t="inlineStr">
        <is>
          <t>W171</t>
        </is>
      </c>
      <c r="B172" s="6" t="n"/>
      <c r="C172" s="21" t="n"/>
      <c r="D172" s="25" t="n"/>
      <c r="E172" s="6" t="n"/>
      <c r="F172" s="19">
        <f>IF(E172="","",_xlfn.IMAGE(E172))</f>
        <v/>
      </c>
      <c r="G172" s="17" t="n"/>
      <c r="H172" s="39" t="n"/>
      <c r="I172" s="7" t="n"/>
      <c r="J172" s="25" t="n"/>
      <c r="K172" s="28" t="n"/>
      <c r="L172" s="6" t="n"/>
      <c r="M172" s="6" t="n"/>
      <c r="N172" s="6" t="n"/>
      <c r="O172" s="6" t="n"/>
      <c r="P172" s="8" t="n"/>
      <c r="Q172" s="7" t="n"/>
      <c r="R172" s="9" t="n"/>
      <c r="S172" s="10">
        <f>IF($C172="","",$I172*$R172)</f>
        <v/>
      </c>
      <c r="T172" s="10">
        <f>IF($C172="","",(IF($N172="Purchased",$H172,0)+$Q172))</f>
        <v/>
      </c>
      <c r="U172" s="10">
        <f>IF($C172="","",$S172-$T172)</f>
        <v/>
      </c>
      <c r="V172" s="11">
        <f>IF(OR($C172="",$I172=0),"",CEILING($T172/$I172,1))</f>
        <v/>
      </c>
      <c r="W172" s="6" t="n"/>
      <c r="X172">
        <f>IF(C172="","",LOWER(SUBSTITUTE(SUBSTITUTE(C172," ","-"),"'",""))&amp;".jpg")</f>
        <v/>
      </c>
      <c r="Y172">
        <f>IF(X172="","","/inventory/"&amp;X172)</f>
        <v/>
      </c>
      <c r="Z172">
        <f>IF(O172="Available","available",IF(OR(O172="Rented",O172="Cleaning",O172="Repair"),"unavailable",IF(O172="Retired","unavailable","")))</f>
        <v/>
      </c>
    </row>
    <row r="173" ht="150" customHeight="1">
      <c r="A173" t="inlineStr">
        <is>
          <t>W172</t>
        </is>
      </c>
      <c r="B173" s="6" t="n"/>
      <c r="C173" s="21" t="n"/>
      <c r="D173" s="25" t="n"/>
      <c r="E173" s="6" t="n"/>
      <c r="F173" s="19">
        <f>IF(E173="","",_xlfn.IMAGE(E173))</f>
        <v/>
      </c>
      <c r="G173" s="17" t="n"/>
      <c r="H173" s="39" t="n"/>
      <c r="I173" s="7" t="n"/>
      <c r="J173" s="25" t="n"/>
      <c r="K173" s="28" t="n"/>
      <c r="L173" s="6" t="n"/>
      <c r="M173" s="6" t="n"/>
      <c r="N173" s="6" t="n"/>
      <c r="O173" s="6" t="n"/>
      <c r="P173" s="8" t="n"/>
      <c r="Q173" s="7" t="n"/>
      <c r="R173" s="9" t="n"/>
      <c r="S173" s="10">
        <f>IF($C173="","",$I173*$R173)</f>
        <v/>
      </c>
      <c r="T173" s="10">
        <f>IF($C173="","",(IF($N173="Purchased",$H173,0)+$Q173))</f>
        <v/>
      </c>
      <c r="U173" s="10">
        <f>IF($C173="","",$S173-$T173)</f>
        <v/>
      </c>
      <c r="V173" s="11">
        <f>IF(OR($C173="",$I173=0),"",CEILING($T173/$I173,1))</f>
        <v/>
      </c>
      <c r="W173" s="6" t="n"/>
      <c r="X173">
        <f>IF(C173="","",LOWER(SUBSTITUTE(SUBSTITUTE(C173," ","-"),"'",""))&amp;".jpg")</f>
        <v/>
      </c>
      <c r="Y173">
        <f>IF(X173="","","/inventory/"&amp;X173)</f>
        <v/>
      </c>
      <c r="Z173">
        <f>IF(O173="Available","available",IF(OR(O173="Rented",O173="Cleaning",O173="Repair"),"unavailable",IF(O173="Retired","unavailable","")))</f>
        <v/>
      </c>
    </row>
    <row r="174" ht="150" customHeight="1">
      <c r="A174" t="inlineStr">
        <is>
          <t>W173</t>
        </is>
      </c>
      <c r="B174" s="6" t="n"/>
      <c r="C174" s="21" t="n"/>
      <c r="D174" s="25" t="n"/>
      <c r="E174" s="6" t="n"/>
      <c r="F174" s="19">
        <f>IF(E174="","",_xlfn.IMAGE(E174))</f>
        <v/>
      </c>
      <c r="G174" s="17" t="n"/>
      <c r="H174" s="39" t="n"/>
      <c r="I174" s="7" t="n"/>
      <c r="J174" s="25" t="n"/>
      <c r="K174" s="28" t="n"/>
      <c r="L174" s="6" t="n"/>
      <c r="M174" s="6" t="n"/>
      <c r="N174" s="6" t="n"/>
      <c r="O174" s="6" t="n"/>
      <c r="P174" s="8" t="n"/>
      <c r="Q174" s="7" t="n"/>
      <c r="R174" s="9" t="n"/>
      <c r="S174" s="10">
        <f>IF($C174="","",$I174*$R174)</f>
        <v/>
      </c>
      <c r="T174" s="10">
        <f>IF($C174="","",(IF($N174="Purchased",$H174,0)+$Q174))</f>
        <v/>
      </c>
      <c r="U174" s="10">
        <f>IF($C174="","",$S174-$T174)</f>
        <v/>
      </c>
      <c r="V174" s="11">
        <f>IF(OR($C174="",$I174=0),"",CEILING($T174/$I174,1))</f>
        <v/>
      </c>
      <c r="W174" s="6" t="n"/>
      <c r="X174">
        <f>IF(C174="","",LOWER(SUBSTITUTE(SUBSTITUTE(C174," ","-"),"'",""))&amp;".jpg")</f>
        <v/>
      </c>
      <c r="Y174">
        <f>IF(X174="","","/inventory/"&amp;X174)</f>
        <v/>
      </c>
      <c r="Z174">
        <f>IF(O174="Available","available",IF(OR(O174="Rented",O174="Cleaning",O174="Repair"),"unavailable",IF(O174="Retired","unavailable","")))</f>
        <v/>
      </c>
    </row>
    <row r="175" ht="150" customHeight="1">
      <c r="A175" t="inlineStr">
        <is>
          <t>W174</t>
        </is>
      </c>
      <c r="B175" s="6" t="n"/>
      <c r="C175" s="21" t="n"/>
      <c r="D175" s="25" t="n"/>
      <c r="E175" s="6" t="n"/>
      <c r="F175" s="19">
        <f>IF(E175="","",_xlfn.IMAGE(E175))</f>
        <v/>
      </c>
      <c r="G175" s="17" t="n"/>
      <c r="H175" s="39" t="n"/>
      <c r="I175" s="7" t="n"/>
      <c r="J175" s="25" t="n"/>
      <c r="K175" s="28" t="n"/>
      <c r="L175" s="6" t="n"/>
      <c r="M175" s="6" t="n"/>
      <c r="N175" s="6" t="n"/>
      <c r="O175" s="6" t="n"/>
      <c r="P175" s="8" t="n"/>
      <c r="Q175" s="7" t="n"/>
      <c r="R175" s="9" t="n"/>
      <c r="S175" s="10">
        <f>IF($C175="","",$I175*$R175)</f>
        <v/>
      </c>
      <c r="T175" s="10">
        <f>IF($C175="","",(IF($N175="Purchased",$H175,0)+$Q175))</f>
        <v/>
      </c>
      <c r="U175" s="10">
        <f>IF($C175="","",$S175-$T175)</f>
        <v/>
      </c>
      <c r="V175" s="11">
        <f>IF(OR($C175="",$I175=0),"",CEILING($T175/$I175,1))</f>
        <v/>
      </c>
      <c r="W175" s="6" t="n"/>
      <c r="X175">
        <f>IF(C175="","",LOWER(SUBSTITUTE(SUBSTITUTE(C175," ","-"),"'",""))&amp;".jpg")</f>
        <v/>
      </c>
      <c r="Y175">
        <f>IF(X175="","","/inventory/"&amp;X175)</f>
        <v/>
      </c>
      <c r="Z175">
        <f>IF(O175="Available","available",IF(OR(O175="Rented",O175="Cleaning",O175="Repair"),"unavailable",IF(O175="Retired","unavailable","")))</f>
        <v/>
      </c>
    </row>
    <row r="176" ht="150" customHeight="1">
      <c r="A176" t="inlineStr">
        <is>
          <t>W175</t>
        </is>
      </c>
      <c r="B176" s="6" t="n"/>
      <c r="C176" s="21" t="n"/>
      <c r="D176" s="25" t="n"/>
      <c r="E176" s="6" t="n"/>
      <c r="F176" s="19">
        <f>IF(E176="","",_xlfn.IMAGE(E176))</f>
        <v/>
      </c>
      <c r="G176" s="17" t="n"/>
      <c r="H176" s="39" t="n"/>
      <c r="I176" s="7" t="n"/>
      <c r="J176" s="25" t="n"/>
      <c r="K176" s="28" t="n"/>
      <c r="L176" s="6" t="n"/>
      <c r="M176" s="6" t="n"/>
      <c r="N176" s="6" t="n"/>
      <c r="O176" s="6" t="n"/>
      <c r="P176" s="8" t="n"/>
      <c r="Q176" s="7" t="n"/>
      <c r="R176" s="9" t="n"/>
      <c r="S176" s="10">
        <f>IF($C176="","",$I176*$R176)</f>
        <v/>
      </c>
      <c r="T176" s="10">
        <f>IF($C176="","",(IF($N176="Purchased",$H176,0)+$Q176))</f>
        <v/>
      </c>
      <c r="U176" s="10">
        <f>IF($C176="","",$S176-$T176)</f>
        <v/>
      </c>
      <c r="V176" s="11">
        <f>IF(OR($C176="",$I176=0),"",CEILING($T176/$I176,1))</f>
        <v/>
      </c>
      <c r="W176" s="6" t="n"/>
      <c r="X176">
        <f>IF(C176="","",LOWER(SUBSTITUTE(SUBSTITUTE(C176," ","-"),"'",""))&amp;".jpg")</f>
        <v/>
      </c>
      <c r="Y176">
        <f>IF(X176="","","/inventory/"&amp;X176)</f>
        <v/>
      </c>
      <c r="Z176">
        <f>IF(O176="Available","available",IF(OR(O176="Rented",O176="Cleaning",O176="Repair"),"unavailable",IF(O176="Retired","unavailable","")))</f>
        <v/>
      </c>
    </row>
    <row r="177" ht="150" customHeight="1">
      <c r="A177" t="inlineStr">
        <is>
          <t>W176</t>
        </is>
      </c>
      <c r="B177" s="6" t="n"/>
      <c r="C177" s="21" t="n"/>
      <c r="D177" s="25" t="n"/>
      <c r="E177" s="6" t="n"/>
      <c r="F177" s="19">
        <f>IF(E177="","",_xlfn.IMAGE(E177))</f>
        <v/>
      </c>
      <c r="G177" s="17" t="n"/>
      <c r="H177" s="39" t="n"/>
      <c r="I177" s="7" t="n"/>
      <c r="J177" s="25" t="n"/>
      <c r="K177" s="28" t="n"/>
      <c r="L177" s="6" t="n"/>
      <c r="M177" s="6" t="n"/>
      <c r="N177" s="6" t="n"/>
      <c r="O177" s="6" t="n"/>
      <c r="P177" s="8" t="n"/>
      <c r="Q177" s="7" t="n"/>
      <c r="R177" s="9" t="n"/>
      <c r="S177" s="10">
        <f>IF($C177="","",$I177*$R177)</f>
        <v/>
      </c>
      <c r="T177" s="10">
        <f>IF($C177="","",(IF($N177="Purchased",$H177,0)+$Q177))</f>
        <v/>
      </c>
      <c r="U177" s="10">
        <f>IF($C177="","",$S177-$T177)</f>
        <v/>
      </c>
      <c r="V177" s="11">
        <f>IF(OR($C177="",$I177=0),"",CEILING($T177/$I177,1))</f>
        <v/>
      </c>
      <c r="W177" s="6" t="n"/>
      <c r="X177">
        <f>IF(C177="","",LOWER(SUBSTITUTE(SUBSTITUTE(C177," ","-"),"'",""))&amp;".jpg")</f>
        <v/>
      </c>
      <c r="Y177">
        <f>IF(X177="","","/inventory/"&amp;X177)</f>
        <v/>
      </c>
      <c r="Z177">
        <f>IF(O177="Available","available",IF(OR(O177="Rented",O177="Cleaning",O177="Repair"),"unavailable",IF(O177="Retired","unavailable","")))</f>
        <v/>
      </c>
    </row>
    <row r="178" ht="150" customHeight="1">
      <c r="A178" t="inlineStr">
        <is>
          <t>W177</t>
        </is>
      </c>
      <c r="B178" s="6" t="n"/>
      <c r="C178" s="21" t="n"/>
      <c r="D178" s="25" t="n"/>
      <c r="E178" s="6" t="n"/>
      <c r="F178" s="19">
        <f>IF(E178="","",_xlfn.IMAGE(E178))</f>
        <v/>
      </c>
      <c r="G178" s="17" t="n"/>
      <c r="H178" s="39" t="n"/>
      <c r="I178" s="7" t="n"/>
      <c r="J178" s="25" t="n"/>
      <c r="K178" s="28" t="n"/>
      <c r="L178" s="6" t="n"/>
      <c r="M178" s="6" t="n"/>
      <c r="N178" s="6" t="n"/>
      <c r="O178" s="6" t="n"/>
      <c r="P178" s="8" t="n"/>
      <c r="Q178" s="7" t="n"/>
      <c r="R178" s="9" t="n"/>
      <c r="S178" s="10">
        <f>IF($C178="","",$I178*$R178)</f>
        <v/>
      </c>
      <c r="T178" s="10">
        <f>IF($C178="","",(IF($N178="Purchased",$H178,0)+$Q178))</f>
        <v/>
      </c>
      <c r="U178" s="10">
        <f>IF($C178="","",$S178-$T178)</f>
        <v/>
      </c>
      <c r="V178" s="11">
        <f>IF(OR($C178="",$I178=0),"",CEILING($T178/$I178,1))</f>
        <v/>
      </c>
      <c r="W178" s="6" t="n"/>
      <c r="X178">
        <f>IF(C178="","",LOWER(SUBSTITUTE(SUBSTITUTE(C178," ","-"),"'",""))&amp;".jpg")</f>
        <v/>
      </c>
      <c r="Y178">
        <f>IF(X178="","","/inventory/"&amp;X178)</f>
        <v/>
      </c>
      <c r="Z178">
        <f>IF(O178="Available","available",IF(OR(O178="Rented",O178="Cleaning",O178="Repair"),"unavailable",IF(O178="Retired","unavailable","")))</f>
        <v/>
      </c>
    </row>
    <row r="179" ht="150" customHeight="1">
      <c r="A179" t="inlineStr">
        <is>
          <t>W178</t>
        </is>
      </c>
      <c r="B179" s="6" t="n"/>
      <c r="C179" s="21" t="n"/>
      <c r="D179" s="25" t="n"/>
      <c r="E179" s="6" t="n"/>
      <c r="F179" s="19">
        <f>IF(E179="","",_xlfn.IMAGE(E179))</f>
        <v/>
      </c>
      <c r="G179" s="17" t="n"/>
      <c r="H179" s="39" t="n"/>
      <c r="I179" s="7" t="n"/>
      <c r="J179" s="25" t="n"/>
      <c r="K179" s="28" t="n"/>
      <c r="L179" s="6" t="n"/>
      <c r="M179" s="6" t="n"/>
      <c r="N179" s="6" t="n"/>
      <c r="O179" s="6" t="n"/>
      <c r="P179" s="8" t="n"/>
      <c r="Q179" s="7" t="n"/>
      <c r="R179" s="9" t="n"/>
      <c r="S179" s="10">
        <f>IF($C179="","",$I179*$R179)</f>
        <v/>
      </c>
      <c r="T179" s="10">
        <f>IF($C179="","",(IF($N179="Purchased",$H179,0)+$Q179))</f>
        <v/>
      </c>
      <c r="U179" s="10">
        <f>IF($C179="","",$S179-$T179)</f>
        <v/>
      </c>
      <c r="V179" s="11">
        <f>IF(OR($C179="",$I179=0),"",CEILING($T179/$I179,1))</f>
        <v/>
      </c>
      <c r="W179" s="6" t="n"/>
      <c r="X179">
        <f>IF(C179="","",LOWER(SUBSTITUTE(SUBSTITUTE(C179," ","-"),"'",""))&amp;".jpg")</f>
        <v/>
      </c>
      <c r="Y179">
        <f>IF(X179="","","/inventory/"&amp;X179)</f>
        <v/>
      </c>
      <c r="Z179">
        <f>IF(O179="Available","available",IF(OR(O179="Rented",O179="Cleaning",O179="Repair"),"unavailable",IF(O179="Retired","unavailable","")))</f>
        <v/>
      </c>
    </row>
    <row r="180" ht="150" customHeight="1">
      <c r="A180" t="inlineStr">
        <is>
          <t>W179</t>
        </is>
      </c>
      <c r="B180" s="6" t="n"/>
      <c r="C180" s="21" t="n"/>
      <c r="D180" s="25" t="n"/>
      <c r="E180" s="6" t="n"/>
      <c r="F180" s="19">
        <f>IF(E180="","",_xlfn.IMAGE(E180))</f>
        <v/>
      </c>
      <c r="G180" s="17" t="n"/>
      <c r="H180" s="39" t="n"/>
      <c r="I180" s="7" t="n"/>
      <c r="J180" s="25" t="n"/>
      <c r="K180" s="28" t="n"/>
      <c r="L180" s="6" t="n"/>
      <c r="M180" s="6" t="n"/>
      <c r="N180" s="6" t="n"/>
      <c r="O180" s="6" t="n"/>
      <c r="P180" s="8" t="n"/>
      <c r="Q180" s="7" t="n"/>
      <c r="R180" s="9" t="n"/>
      <c r="S180" s="10">
        <f>IF($C180="","",$I180*$R180)</f>
        <v/>
      </c>
      <c r="T180" s="10">
        <f>IF($C180="","",(IF($N180="Purchased",$H180,0)+$Q180))</f>
        <v/>
      </c>
      <c r="U180" s="10">
        <f>IF($C180="","",$S180-$T180)</f>
        <v/>
      </c>
      <c r="V180" s="11">
        <f>IF(OR($C180="",$I180=0),"",CEILING($T180/$I180,1))</f>
        <v/>
      </c>
      <c r="W180" s="6" t="n"/>
      <c r="X180">
        <f>IF(C180="","",LOWER(SUBSTITUTE(SUBSTITUTE(C180," ","-"),"'",""))&amp;".jpg")</f>
        <v/>
      </c>
      <c r="Y180">
        <f>IF(X180="","","/inventory/"&amp;X180)</f>
        <v/>
      </c>
      <c r="Z180">
        <f>IF(O180="Available","available",IF(OR(O180="Rented",O180="Cleaning",O180="Repair"),"unavailable",IF(O180="Retired","unavailable","")))</f>
        <v/>
      </c>
    </row>
    <row r="181" ht="150" customHeight="1">
      <c r="A181" t="inlineStr">
        <is>
          <t>W180</t>
        </is>
      </c>
      <c r="B181" s="6" t="n"/>
      <c r="C181" s="21" t="n"/>
      <c r="D181" s="25" t="n"/>
      <c r="E181" s="6" t="n"/>
      <c r="F181" s="19">
        <f>IF(E181="","",_xlfn.IMAGE(E181))</f>
        <v/>
      </c>
      <c r="G181" s="17" t="n"/>
      <c r="H181" s="39" t="n"/>
      <c r="I181" s="7" t="n"/>
      <c r="J181" s="25" t="n"/>
      <c r="K181" s="28" t="n"/>
      <c r="L181" s="6" t="n"/>
      <c r="M181" s="6" t="n"/>
      <c r="N181" s="6" t="n"/>
      <c r="O181" s="6" t="n"/>
      <c r="P181" s="8" t="n"/>
      <c r="Q181" s="7" t="n"/>
      <c r="R181" s="9" t="n"/>
      <c r="S181" s="10">
        <f>IF($C181="","",$I181*$R181)</f>
        <v/>
      </c>
      <c r="T181" s="10">
        <f>IF($C181="","",(IF($N181="Purchased",$H181,0)+$Q181))</f>
        <v/>
      </c>
      <c r="U181" s="10">
        <f>IF($C181="","",$S181-$T181)</f>
        <v/>
      </c>
      <c r="V181" s="11">
        <f>IF(OR($C181="",$I181=0),"",CEILING($T181/$I181,1))</f>
        <v/>
      </c>
      <c r="W181" s="6" t="n"/>
      <c r="X181">
        <f>IF(C181="","",LOWER(SUBSTITUTE(SUBSTITUTE(C181," ","-"),"'",""))&amp;".jpg")</f>
        <v/>
      </c>
      <c r="Y181">
        <f>IF(X181="","","/inventory/"&amp;X181)</f>
        <v/>
      </c>
      <c r="Z181">
        <f>IF(O181="Available","available",IF(OR(O181="Rented",O181="Cleaning",O181="Repair"),"unavailable",IF(O181="Retired","unavailable","")))</f>
        <v/>
      </c>
    </row>
    <row r="182" ht="150" customHeight="1">
      <c r="A182" t="inlineStr">
        <is>
          <t>W181</t>
        </is>
      </c>
      <c r="B182" s="6" t="n"/>
      <c r="C182" s="21" t="n"/>
      <c r="D182" s="25" t="n"/>
      <c r="E182" s="6" t="n"/>
      <c r="F182" s="19">
        <f>IF(E182="","",_xlfn.IMAGE(E182))</f>
        <v/>
      </c>
      <c r="G182" s="17" t="n"/>
      <c r="H182" s="39" t="n"/>
      <c r="I182" s="7" t="n"/>
      <c r="J182" s="25" t="n"/>
      <c r="K182" s="28" t="n"/>
      <c r="L182" s="6" t="n"/>
      <c r="M182" s="6" t="n"/>
      <c r="N182" s="6" t="n"/>
      <c r="O182" s="6" t="n"/>
      <c r="P182" s="8" t="n"/>
      <c r="Q182" s="7" t="n"/>
      <c r="R182" s="9" t="n"/>
      <c r="S182" s="10">
        <f>IF($C182="","",$I182*$R182)</f>
        <v/>
      </c>
      <c r="T182" s="10">
        <f>IF($C182="","",(IF($N182="Purchased",$H182,0)+$Q182))</f>
        <v/>
      </c>
      <c r="U182" s="10">
        <f>IF($C182="","",$S182-$T182)</f>
        <v/>
      </c>
      <c r="V182" s="11">
        <f>IF(OR($C182="",$I182=0),"",CEILING($T182/$I182,1))</f>
        <v/>
      </c>
      <c r="W182" s="6" t="n"/>
      <c r="X182">
        <f>IF(C182="","",LOWER(SUBSTITUTE(SUBSTITUTE(C182," ","-"),"'",""))&amp;".jpg")</f>
        <v/>
      </c>
      <c r="Y182">
        <f>IF(X182="","","/inventory/"&amp;X182)</f>
        <v/>
      </c>
      <c r="Z182">
        <f>IF(O182="Available","available",IF(OR(O182="Rented",O182="Cleaning",O182="Repair"),"unavailable",IF(O182="Retired","unavailable","")))</f>
        <v/>
      </c>
    </row>
    <row r="183" ht="150" customHeight="1">
      <c r="A183" t="inlineStr">
        <is>
          <t>W182</t>
        </is>
      </c>
      <c r="B183" s="6" t="n"/>
      <c r="C183" s="21" t="n"/>
      <c r="D183" s="25" t="n"/>
      <c r="E183" s="6" t="n"/>
      <c r="F183" s="19">
        <f>IF(E183="","",_xlfn.IMAGE(E183))</f>
        <v/>
      </c>
      <c r="G183" s="17" t="n"/>
      <c r="H183" s="39" t="n"/>
      <c r="I183" s="7" t="n"/>
      <c r="J183" s="25" t="n"/>
      <c r="K183" s="28" t="n"/>
      <c r="L183" s="6" t="n"/>
      <c r="M183" s="6" t="n"/>
      <c r="N183" s="6" t="n"/>
      <c r="O183" s="6" t="n"/>
      <c r="P183" s="8" t="n"/>
      <c r="Q183" s="7" t="n"/>
      <c r="R183" s="9" t="n"/>
      <c r="S183" s="10">
        <f>IF($C183="","",$I183*$R183)</f>
        <v/>
      </c>
      <c r="T183" s="10">
        <f>IF($C183="","",(IF($N183="Purchased",$H183,0)+$Q183))</f>
        <v/>
      </c>
      <c r="U183" s="10">
        <f>IF($C183="","",$S183-$T183)</f>
        <v/>
      </c>
      <c r="V183" s="11">
        <f>IF(OR($C183="",$I183=0),"",CEILING($T183/$I183,1))</f>
        <v/>
      </c>
      <c r="W183" s="6" t="n"/>
      <c r="X183">
        <f>IF(C183="","",LOWER(SUBSTITUTE(SUBSTITUTE(C183," ","-"),"'",""))&amp;".jpg")</f>
        <v/>
      </c>
      <c r="Y183">
        <f>IF(X183="","","/inventory/"&amp;X183)</f>
        <v/>
      </c>
      <c r="Z183">
        <f>IF(O183="Available","available",IF(OR(O183="Rented",O183="Cleaning",O183="Repair"),"unavailable",IF(O183="Retired","unavailable","")))</f>
        <v/>
      </c>
    </row>
    <row r="184" ht="150" customHeight="1">
      <c r="A184" t="inlineStr">
        <is>
          <t>W183</t>
        </is>
      </c>
      <c r="B184" s="6" t="n"/>
      <c r="C184" s="21" t="n"/>
      <c r="D184" s="25" t="n"/>
      <c r="E184" s="6" t="n"/>
      <c r="F184" s="19">
        <f>IF(E184="","",_xlfn.IMAGE(E184))</f>
        <v/>
      </c>
      <c r="G184" s="17" t="n"/>
      <c r="H184" s="39" t="n"/>
      <c r="I184" s="7" t="n"/>
      <c r="J184" s="25" t="n"/>
      <c r="K184" s="28" t="n"/>
      <c r="L184" s="6" t="n"/>
      <c r="M184" s="6" t="n"/>
      <c r="N184" s="6" t="n"/>
      <c r="O184" s="6" t="n"/>
      <c r="P184" s="8" t="n"/>
      <c r="Q184" s="7" t="n"/>
      <c r="R184" s="9" t="n"/>
      <c r="S184" s="10">
        <f>IF($C184="","",$I184*$R184)</f>
        <v/>
      </c>
      <c r="T184" s="10">
        <f>IF($C184="","",(IF($N184="Purchased",$H184,0)+$Q184))</f>
        <v/>
      </c>
      <c r="U184" s="10">
        <f>IF($C184="","",$S184-$T184)</f>
        <v/>
      </c>
      <c r="V184" s="11">
        <f>IF(OR($C184="",$I184=0),"",CEILING($T184/$I184,1))</f>
        <v/>
      </c>
      <c r="W184" s="6" t="n"/>
      <c r="X184">
        <f>IF(C184="","",LOWER(SUBSTITUTE(SUBSTITUTE(C184," ","-"),"'",""))&amp;".jpg")</f>
        <v/>
      </c>
      <c r="Y184">
        <f>IF(X184="","","/inventory/"&amp;X184)</f>
        <v/>
      </c>
      <c r="Z184">
        <f>IF(O184="Available","available",IF(OR(O184="Rented",O184="Cleaning",O184="Repair"),"unavailable",IF(O184="Retired","unavailable","")))</f>
        <v/>
      </c>
    </row>
    <row r="185" ht="150" customHeight="1">
      <c r="A185" t="inlineStr">
        <is>
          <t>W184</t>
        </is>
      </c>
      <c r="B185" s="6" t="n"/>
      <c r="C185" s="21" t="n"/>
      <c r="D185" s="25" t="n"/>
      <c r="E185" s="6" t="n"/>
      <c r="F185" s="19">
        <f>IF(E185="","",_xlfn.IMAGE(E185))</f>
        <v/>
      </c>
      <c r="G185" s="17" t="n"/>
      <c r="H185" s="39" t="n"/>
      <c r="I185" s="7" t="n"/>
      <c r="J185" s="25" t="n"/>
      <c r="K185" s="28" t="n"/>
      <c r="L185" s="6" t="n"/>
      <c r="M185" s="6" t="n"/>
      <c r="N185" s="6" t="n"/>
      <c r="O185" s="6" t="n"/>
      <c r="P185" s="8" t="n"/>
      <c r="Q185" s="7" t="n"/>
      <c r="R185" s="9" t="n"/>
      <c r="S185" s="10">
        <f>IF($C185="","",$I185*$R185)</f>
        <v/>
      </c>
      <c r="T185" s="10">
        <f>IF($C185="","",(IF($N185="Purchased",$H185,0)+$Q185))</f>
        <v/>
      </c>
      <c r="U185" s="10">
        <f>IF($C185="","",$S185-$T185)</f>
        <v/>
      </c>
      <c r="V185" s="11">
        <f>IF(OR($C185="",$I185=0),"",CEILING($T185/$I185,1))</f>
        <v/>
      </c>
      <c r="W185" s="6" t="n"/>
      <c r="X185">
        <f>IF(C185="","",LOWER(SUBSTITUTE(SUBSTITUTE(C185," ","-"),"'",""))&amp;".jpg")</f>
        <v/>
      </c>
      <c r="Y185">
        <f>IF(X185="","","/inventory/"&amp;X185)</f>
        <v/>
      </c>
      <c r="Z185">
        <f>IF(O185="Available","available",IF(OR(O185="Rented",O185="Cleaning",O185="Repair"),"unavailable",IF(O185="Retired","unavailable","")))</f>
        <v/>
      </c>
    </row>
    <row r="186" ht="150" customHeight="1">
      <c r="A186" t="inlineStr">
        <is>
          <t>W185</t>
        </is>
      </c>
      <c r="B186" s="6" t="n"/>
      <c r="C186" s="21" t="n"/>
      <c r="D186" s="25" t="n"/>
      <c r="E186" s="6" t="n"/>
      <c r="F186" s="19">
        <f>IF(E186="","",_xlfn.IMAGE(E186))</f>
        <v/>
      </c>
      <c r="G186" s="17" t="n"/>
      <c r="H186" s="39" t="n"/>
      <c r="I186" s="7" t="n"/>
      <c r="J186" s="25" t="n"/>
      <c r="K186" s="28" t="n"/>
      <c r="L186" s="6" t="n"/>
      <c r="M186" s="6" t="n"/>
      <c r="N186" s="6" t="n"/>
      <c r="O186" s="6" t="n"/>
      <c r="P186" s="8" t="n"/>
      <c r="Q186" s="7" t="n"/>
      <c r="R186" s="9" t="n"/>
      <c r="S186" s="10">
        <f>IF($C186="","",$I186*$R186)</f>
        <v/>
      </c>
      <c r="T186" s="10">
        <f>IF($C186="","",(IF($N186="Purchased",$H186,0)+$Q186))</f>
        <v/>
      </c>
      <c r="U186" s="10">
        <f>IF($C186="","",$S186-$T186)</f>
        <v/>
      </c>
      <c r="V186" s="11">
        <f>IF(OR($C186="",$I186=0),"",CEILING($T186/$I186,1))</f>
        <v/>
      </c>
      <c r="W186" s="6" t="n"/>
      <c r="X186">
        <f>IF(C186="","",LOWER(SUBSTITUTE(SUBSTITUTE(C186," ","-"),"'",""))&amp;".jpg")</f>
        <v/>
      </c>
      <c r="Y186">
        <f>IF(X186="","","/inventory/"&amp;X186)</f>
        <v/>
      </c>
      <c r="Z186">
        <f>IF(O186="Available","available",IF(OR(O186="Rented",O186="Cleaning",O186="Repair"),"unavailable",IF(O186="Retired","unavailable","")))</f>
        <v/>
      </c>
    </row>
    <row r="187" ht="150" customHeight="1">
      <c r="A187" t="inlineStr">
        <is>
          <t>W186</t>
        </is>
      </c>
      <c r="B187" s="6" t="n"/>
      <c r="C187" s="21" t="n"/>
      <c r="D187" s="25" t="n"/>
      <c r="E187" s="6" t="n"/>
      <c r="F187" s="19">
        <f>IF(E187="","",_xlfn.IMAGE(E187))</f>
        <v/>
      </c>
      <c r="G187" s="17" t="n"/>
      <c r="H187" s="39" t="n"/>
      <c r="I187" s="7" t="n"/>
      <c r="J187" s="25" t="n"/>
      <c r="K187" s="28" t="n"/>
      <c r="L187" s="6" t="n"/>
      <c r="M187" s="6" t="n"/>
      <c r="N187" s="6" t="n"/>
      <c r="O187" s="6" t="n"/>
      <c r="P187" s="8" t="n"/>
      <c r="Q187" s="7" t="n"/>
      <c r="R187" s="9" t="n"/>
      <c r="S187" s="10">
        <f>IF($C187="","",$I187*$R187)</f>
        <v/>
      </c>
      <c r="T187" s="10">
        <f>IF($C187="","",(IF($N187="Purchased",$H187,0)+$Q187))</f>
        <v/>
      </c>
      <c r="U187" s="10">
        <f>IF($C187="","",$S187-$T187)</f>
        <v/>
      </c>
      <c r="V187" s="11">
        <f>IF(OR($C187="",$I187=0),"",CEILING($T187/$I187,1))</f>
        <v/>
      </c>
      <c r="W187" s="6" t="n"/>
      <c r="X187">
        <f>IF(C187="","",LOWER(SUBSTITUTE(SUBSTITUTE(C187," ","-"),"'",""))&amp;".jpg")</f>
        <v/>
      </c>
      <c r="Y187">
        <f>IF(X187="","","/inventory/"&amp;X187)</f>
        <v/>
      </c>
      <c r="Z187">
        <f>IF(O187="Available","available",IF(OR(O187="Rented",O187="Cleaning",O187="Repair"),"unavailable",IF(O187="Retired","unavailable","")))</f>
        <v/>
      </c>
    </row>
    <row r="188" ht="150" customHeight="1">
      <c r="A188" t="inlineStr">
        <is>
          <t>W187</t>
        </is>
      </c>
      <c r="B188" s="6" t="n"/>
      <c r="C188" s="21" t="n"/>
      <c r="D188" s="25" t="n"/>
      <c r="E188" s="6" t="n"/>
      <c r="F188" s="19">
        <f>IF(E188="","",_xlfn.IMAGE(E188))</f>
        <v/>
      </c>
      <c r="G188" s="17" t="n"/>
      <c r="H188" s="39" t="n"/>
      <c r="I188" s="7" t="n"/>
      <c r="J188" s="25" t="n"/>
      <c r="K188" s="28" t="n"/>
      <c r="L188" s="6" t="n"/>
      <c r="M188" s="6" t="n"/>
      <c r="N188" s="6" t="n"/>
      <c r="O188" s="6" t="n"/>
      <c r="P188" s="8" t="n"/>
      <c r="Q188" s="7" t="n"/>
      <c r="R188" s="9" t="n"/>
      <c r="S188" s="10">
        <f>IF($C188="","",$I188*$R188)</f>
        <v/>
      </c>
      <c r="T188" s="10">
        <f>IF($C188="","",(IF($N188="Purchased",$H188,0)+$Q188))</f>
        <v/>
      </c>
      <c r="U188" s="10">
        <f>IF($C188="","",$S188-$T188)</f>
        <v/>
      </c>
      <c r="V188" s="11">
        <f>IF(OR($C188="",$I188=0),"",CEILING($T188/$I188,1))</f>
        <v/>
      </c>
      <c r="W188" s="6" t="n"/>
      <c r="X188">
        <f>IF(C188="","",LOWER(SUBSTITUTE(SUBSTITUTE(C188," ","-"),"'",""))&amp;".jpg")</f>
        <v/>
      </c>
      <c r="Y188">
        <f>IF(X188="","","/inventory/"&amp;X188)</f>
        <v/>
      </c>
      <c r="Z188">
        <f>IF(O188="Available","available",IF(OR(O188="Rented",O188="Cleaning",O188="Repair"),"unavailable",IF(O188="Retired","unavailable","")))</f>
        <v/>
      </c>
    </row>
    <row r="189" ht="150" customHeight="1">
      <c r="A189" t="inlineStr">
        <is>
          <t>W188</t>
        </is>
      </c>
      <c r="B189" s="6" t="n"/>
      <c r="C189" s="21" t="n"/>
      <c r="D189" s="25" t="n"/>
      <c r="E189" s="6" t="n"/>
      <c r="F189" s="19">
        <f>IF(E189="","",_xlfn.IMAGE(E189))</f>
        <v/>
      </c>
      <c r="G189" s="17" t="n"/>
      <c r="H189" s="39" t="n"/>
      <c r="I189" s="7" t="n"/>
      <c r="J189" s="25" t="n"/>
      <c r="K189" s="28" t="n"/>
      <c r="L189" s="6" t="n"/>
      <c r="M189" s="6" t="n"/>
      <c r="N189" s="6" t="n"/>
      <c r="O189" s="6" t="n"/>
      <c r="P189" s="8" t="n"/>
      <c r="Q189" s="7" t="n"/>
      <c r="R189" s="9" t="n"/>
      <c r="S189" s="10">
        <f>IF($C189="","",$I189*$R189)</f>
        <v/>
      </c>
      <c r="T189" s="10">
        <f>IF($C189="","",(IF($N189="Purchased",$H189,0)+$Q189))</f>
        <v/>
      </c>
      <c r="U189" s="10">
        <f>IF($C189="","",$S189-$T189)</f>
        <v/>
      </c>
      <c r="V189" s="11">
        <f>IF(OR($C189="",$I189=0),"",CEILING($T189/$I189,1))</f>
        <v/>
      </c>
      <c r="W189" s="6" t="n"/>
      <c r="X189">
        <f>IF(C189="","",LOWER(SUBSTITUTE(SUBSTITUTE(C189," ","-"),"'",""))&amp;".jpg")</f>
        <v/>
      </c>
      <c r="Y189">
        <f>IF(X189="","","/inventory/"&amp;X189)</f>
        <v/>
      </c>
      <c r="Z189">
        <f>IF(O189="Available","available",IF(OR(O189="Rented",O189="Cleaning",O189="Repair"),"unavailable",IF(O189="Retired","unavailable","")))</f>
        <v/>
      </c>
    </row>
    <row r="190" ht="150" customHeight="1">
      <c r="A190" t="inlineStr">
        <is>
          <t>W189</t>
        </is>
      </c>
      <c r="B190" s="6" t="n"/>
      <c r="C190" s="21" t="n"/>
      <c r="D190" s="25" t="n"/>
      <c r="E190" s="6" t="n"/>
      <c r="F190" s="19">
        <f>IF(E190="","",_xlfn.IMAGE(E190))</f>
        <v/>
      </c>
      <c r="G190" s="17" t="n"/>
      <c r="H190" s="39" t="n"/>
      <c r="I190" s="7" t="n"/>
      <c r="J190" s="25" t="n"/>
      <c r="K190" s="28" t="n"/>
      <c r="L190" s="6" t="n"/>
      <c r="M190" s="6" t="n"/>
      <c r="N190" s="6" t="n"/>
      <c r="O190" s="6" t="n"/>
      <c r="P190" s="8" t="n"/>
      <c r="Q190" s="7" t="n"/>
      <c r="R190" s="9" t="n"/>
      <c r="S190" s="10">
        <f>IF($C190="","",$I190*$R190)</f>
        <v/>
      </c>
      <c r="T190" s="10">
        <f>IF($C190="","",(IF($N190="Purchased",$H190,0)+$Q190))</f>
        <v/>
      </c>
      <c r="U190" s="10">
        <f>IF($C190="","",$S190-$T190)</f>
        <v/>
      </c>
      <c r="V190" s="11">
        <f>IF(OR($C190="",$I190=0),"",CEILING($T190/$I190,1))</f>
        <v/>
      </c>
      <c r="W190" s="6" t="n"/>
      <c r="X190">
        <f>IF(C190="","",LOWER(SUBSTITUTE(SUBSTITUTE(C190," ","-"),"'",""))&amp;".jpg")</f>
        <v/>
      </c>
      <c r="Y190">
        <f>IF(X190="","","/inventory/"&amp;X190)</f>
        <v/>
      </c>
      <c r="Z190">
        <f>IF(O190="Available","available",IF(OR(O190="Rented",O190="Cleaning",O190="Repair"),"unavailable",IF(O190="Retired","unavailable","")))</f>
        <v/>
      </c>
    </row>
    <row r="191" ht="150" customHeight="1">
      <c r="A191" t="inlineStr">
        <is>
          <t>W190</t>
        </is>
      </c>
      <c r="B191" s="6" t="n"/>
      <c r="C191" s="21" t="n"/>
      <c r="D191" s="25" t="n"/>
      <c r="E191" s="6" t="n"/>
      <c r="F191" s="19">
        <f>IF(E191="","",_xlfn.IMAGE(E191))</f>
        <v/>
      </c>
      <c r="G191" s="17" t="n"/>
      <c r="H191" s="39" t="n"/>
      <c r="I191" s="7" t="n"/>
      <c r="J191" s="25" t="n"/>
      <c r="K191" s="28" t="n"/>
      <c r="L191" s="6" t="n"/>
      <c r="M191" s="6" t="n"/>
      <c r="N191" s="6" t="n"/>
      <c r="O191" s="6" t="n"/>
      <c r="P191" s="8" t="n"/>
      <c r="Q191" s="7" t="n"/>
      <c r="R191" s="9" t="n"/>
      <c r="S191" s="10">
        <f>IF($C191="","",$I191*$R191)</f>
        <v/>
      </c>
      <c r="T191" s="10">
        <f>IF($C191="","",(IF($N191="Purchased",$H191,0)+$Q191))</f>
        <v/>
      </c>
      <c r="U191" s="10">
        <f>IF($C191="","",$S191-$T191)</f>
        <v/>
      </c>
      <c r="V191" s="11">
        <f>IF(OR($C191="",$I191=0),"",CEILING($T191/$I191,1))</f>
        <v/>
      </c>
      <c r="W191" s="6" t="n"/>
      <c r="X191">
        <f>IF(C191="","",LOWER(SUBSTITUTE(SUBSTITUTE(C191," ","-"),"'",""))&amp;".jpg")</f>
        <v/>
      </c>
      <c r="Y191">
        <f>IF(X191="","","/inventory/"&amp;X191)</f>
        <v/>
      </c>
      <c r="Z191">
        <f>IF(O191="Available","available",IF(OR(O191="Rented",O191="Cleaning",O191="Repair"),"unavailable",IF(O191="Retired","unavailable","")))</f>
        <v/>
      </c>
    </row>
    <row r="192" ht="150" customHeight="1">
      <c r="A192" t="inlineStr">
        <is>
          <t>W191</t>
        </is>
      </c>
      <c r="B192" s="6" t="n"/>
      <c r="C192" s="21" t="n"/>
      <c r="D192" s="25" t="n"/>
      <c r="E192" s="6" t="n"/>
      <c r="F192" s="19">
        <f>IF(E192="","",_xlfn.IMAGE(E192))</f>
        <v/>
      </c>
      <c r="G192" s="17" t="n"/>
      <c r="H192" s="39" t="n"/>
      <c r="I192" s="7" t="n"/>
      <c r="J192" s="25" t="n"/>
      <c r="K192" s="28" t="n"/>
      <c r="L192" s="6" t="n"/>
      <c r="M192" s="6" t="n"/>
      <c r="N192" s="6" t="n"/>
      <c r="O192" s="6" t="n"/>
      <c r="P192" s="8" t="n"/>
      <c r="Q192" s="7" t="n"/>
      <c r="R192" s="9" t="n"/>
      <c r="S192" s="10">
        <f>IF($C192="","",$I192*$R192)</f>
        <v/>
      </c>
      <c r="T192" s="10">
        <f>IF($C192="","",(IF($N192="Purchased",$H192,0)+$Q192))</f>
        <v/>
      </c>
      <c r="U192" s="10">
        <f>IF($C192="","",$S192-$T192)</f>
        <v/>
      </c>
      <c r="V192" s="11">
        <f>IF(OR($C192="",$I192=0),"",CEILING($T192/$I192,1))</f>
        <v/>
      </c>
      <c r="W192" s="6" t="n"/>
      <c r="X192">
        <f>IF(C192="","",LOWER(SUBSTITUTE(SUBSTITUTE(C192," ","-"),"'",""))&amp;".jpg")</f>
        <v/>
      </c>
      <c r="Y192">
        <f>IF(X192="","","/inventory/"&amp;X192)</f>
        <v/>
      </c>
      <c r="Z192">
        <f>IF(O192="Available","available",IF(OR(O192="Rented",O192="Cleaning",O192="Repair"),"unavailable",IF(O192="Retired","unavailable","")))</f>
        <v/>
      </c>
    </row>
    <row r="193" ht="150" customHeight="1">
      <c r="A193" t="inlineStr">
        <is>
          <t>W192</t>
        </is>
      </c>
      <c r="B193" s="6" t="n"/>
      <c r="C193" s="21" t="n"/>
      <c r="D193" s="25" t="n"/>
      <c r="E193" s="6" t="n"/>
      <c r="F193" s="19">
        <f>IF(E193="","",_xlfn.IMAGE(E193))</f>
        <v/>
      </c>
      <c r="G193" s="17" t="n"/>
      <c r="H193" s="39" t="n"/>
      <c r="I193" s="7" t="n"/>
      <c r="J193" s="25" t="n"/>
      <c r="K193" s="28" t="n"/>
      <c r="L193" s="6" t="n"/>
      <c r="M193" s="6" t="n"/>
      <c r="N193" s="6" t="n"/>
      <c r="O193" s="6" t="n"/>
      <c r="P193" s="8" t="n"/>
      <c r="Q193" s="7" t="n"/>
      <c r="R193" s="9" t="n"/>
      <c r="S193" s="10">
        <f>IF($C193="","",$I193*$R193)</f>
        <v/>
      </c>
      <c r="T193" s="10">
        <f>IF($C193="","",(IF($N193="Purchased",$H193,0)+$Q193))</f>
        <v/>
      </c>
      <c r="U193" s="10">
        <f>IF($C193="","",$S193-$T193)</f>
        <v/>
      </c>
      <c r="V193" s="11">
        <f>IF(OR($C193="",$I193=0),"",CEILING($T193/$I193,1))</f>
        <v/>
      </c>
      <c r="W193" s="6" t="n"/>
      <c r="X193">
        <f>IF(C193="","",LOWER(SUBSTITUTE(SUBSTITUTE(C193," ","-"),"'",""))&amp;".jpg")</f>
        <v/>
      </c>
      <c r="Y193">
        <f>IF(X193="","","/inventory/"&amp;X193)</f>
        <v/>
      </c>
      <c r="Z193">
        <f>IF(O193="Available","available",IF(OR(O193="Rented",O193="Cleaning",O193="Repair"),"unavailable",IF(O193="Retired","unavailable","")))</f>
        <v/>
      </c>
    </row>
    <row r="194" ht="150" customHeight="1">
      <c r="A194" t="inlineStr">
        <is>
          <t>W193</t>
        </is>
      </c>
      <c r="B194" s="6" t="n"/>
      <c r="C194" s="21" t="n"/>
      <c r="D194" s="25" t="n"/>
      <c r="E194" s="6" t="n"/>
      <c r="F194" s="19">
        <f>IF(E194="","",_xlfn.IMAGE(E194))</f>
        <v/>
      </c>
      <c r="G194" s="17" t="n"/>
      <c r="H194" s="39" t="n"/>
      <c r="I194" s="7" t="n"/>
      <c r="J194" s="25" t="n"/>
      <c r="K194" s="28" t="n"/>
      <c r="L194" s="6" t="n"/>
      <c r="M194" s="6" t="n"/>
      <c r="N194" s="6" t="n"/>
      <c r="O194" s="6" t="n"/>
      <c r="P194" s="8" t="n"/>
      <c r="Q194" s="7" t="n"/>
      <c r="R194" s="9" t="n"/>
      <c r="S194" s="10">
        <f>IF($C194="","",$I194*$R194)</f>
        <v/>
      </c>
      <c r="T194" s="10">
        <f>IF($C194="","",(IF($N194="Purchased",$H194,0)+$Q194))</f>
        <v/>
      </c>
      <c r="U194" s="10">
        <f>IF($C194="","",$S194-$T194)</f>
        <v/>
      </c>
      <c r="V194" s="11">
        <f>IF(OR($C194="",$I194=0),"",CEILING($T194/$I194,1))</f>
        <v/>
      </c>
      <c r="W194" s="6" t="n"/>
      <c r="X194">
        <f>IF(C194="","",LOWER(SUBSTITUTE(SUBSTITUTE(C194," ","-"),"'",""))&amp;".jpg")</f>
        <v/>
      </c>
      <c r="Y194">
        <f>IF(X194="","","/inventory/"&amp;X194)</f>
        <v/>
      </c>
      <c r="Z194">
        <f>IF(O194="Available","available",IF(OR(O194="Rented",O194="Cleaning",O194="Repair"),"unavailable",IF(O194="Retired","unavailable","")))</f>
        <v/>
      </c>
    </row>
    <row r="195" ht="150" customHeight="1">
      <c r="A195" t="inlineStr">
        <is>
          <t>W194</t>
        </is>
      </c>
      <c r="B195" s="6" t="n"/>
      <c r="C195" s="21" t="n"/>
      <c r="D195" s="25" t="n"/>
      <c r="E195" s="6" t="n"/>
      <c r="F195" s="19">
        <f>IF(E195="","",_xlfn.IMAGE(E195))</f>
        <v/>
      </c>
      <c r="G195" s="17" t="n"/>
      <c r="H195" s="39" t="n"/>
      <c r="I195" s="7" t="n"/>
      <c r="J195" s="25" t="n"/>
      <c r="K195" s="28" t="n"/>
      <c r="L195" s="6" t="n"/>
      <c r="M195" s="6" t="n"/>
      <c r="N195" s="6" t="n"/>
      <c r="O195" s="6" t="n"/>
      <c r="P195" s="8" t="n"/>
      <c r="Q195" s="7" t="n"/>
      <c r="R195" s="9" t="n"/>
      <c r="S195" s="10">
        <f>IF($C195="","",$I195*$R195)</f>
        <v/>
      </c>
      <c r="T195" s="10">
        <f>IF($C195="","",(IF($N195="Purchased",$H195,0)+$Q195))</f>
        <v/>
      </c>
      <c r="U195" s="10">
        <f>IF($C195="","",$S195-$T195)</f>
        <v/>
      </c>
      <c r="V195" s="11">
        <f>IF(OR($C195="",$I195=0),"",CEILING($T195/$I195,1))</f>
        <v/>
      </c>
      <c r="W195" s="6" t="n"/>
      <c r="X195">
        <f>IF(C195="","",LOWER(SUBSTITUTE(SUBSTITUTE(C195," ","-"),"'",""))&amp;".jpg")</f>
        <v/>
      </c>
      <c r="Y195">
        <f>IF(X195="","","/inventory/"&amp;X195)</f>
        <v/>
      </c>
      <c r="Z195">
        <f>IF(O195="Available","available",IF(OR(O195="Rented",O195="Cleaning",O195="Repair"),"unavailable",IF(O195="Retired","unavailable","")))</f>
        <v/>
      </c>
    </row>
    <row r="196" ht="150" customHeight="1">
      <c r="A196" t="inlineStr">
        <is>
          <t>W195</t>
        </is>
      </c>
      <c r="B196" s="6" t="n"/>
      <c r="C196" s="21" t="n"/>
      <c r="D196" s="25" t="n"/>
      <c r="E196" s="6" t="n"/>
      <c r="F196" s="19">
        <f>IF(E196="","",_xlfn.IMAGE(E196))</f>
        <v/>
      </c>
      <c r="G196" s="17" t="n"/>
      <c r="H196" s="39" t="n"/>
      <c r="I196" s="7" t="n"/>
      <c r="J196" s="25" t="n"/>
      <c r="K196" s="28" t="n"/>
      <c r="L196" s="6" t="n"/>
      <c r="M196" s="6" t="n"/>
      <c r="N196" s="6" t="n"/>
      <c r="O196" s="6" t="n"/>
      <c r="P196" s="8" t="n"/>
      <c r="Q196" s="7" t="n"/>
      <c r="R196" s="9" t="n"/>
      <c r="S196" s="10">
        <f>IF($C196="","",$I196*$R196)</f>
        <v/>
      </c>
      <c r="T196" s="10">
        <f>IF($C196="","",(IF($N196="Purchased",$H196,0)+$Q196))</f>
        <v/>
      </c>
      <c r="U196" s="10">
        <f>IF($C196="","",$S196-$T196)</f>
        <v/>
      </c>
      <c r="V196" s="11">
        <f>IF(OR($C196="",$I196=0),"",CEILING($T196/$I196,1))</f>
        <v/>
      </c>
      <c r="W196" s="6" t="n"/>
      <c r="X196">
        <f>IF(C196="","",LOWER(SUBSTITUTE(SUBSTITUTE(C196," ","-"),"'",""))&amp;".jpg")</f>
        <v/>
      </c>
      <c r="Y196">
        <f>IF(X196="","","/inventory/"&amp;X196)</f>
        <v/>
      </c>
      <c r="Z196">
        <f>IF(O196="Available","available",IF(OR(O196="Rented",O196="Cleaning",O196="Repair"),"unavailable",IF(O196="Retired","unavailable","")))</f>
        <v/>
      </c>
    </row>
    <row r="197" ht="150" customHeight="1">
      <c r="A197" t="inlineStr">
        <is>
          <t>W196</t>
        </is>
      </c>
      <c r="B197" s="6" t="n"/>
      <c r="C197" s="21" t="n"/>
      <c r="D197" s="25" t="n"/>
      <c r="E197" s="6" t="n"/>
      <c r="F197" s="19">
        <f>IF(E197="","",_xlfn.IMAGE(E197))</f>
        <v/>
      </c>
      <c r="G197" s="17" t="n"/>
      <c r="H197" s="39" t="n"/>
      <c r="I197" s="7" t="n"/>
      <c r="J197" s="25" t="n"/>
      <c r="K197" s="28" t="n"/>
      <c r="L197" s="6" t="n"/>
      <c r="M197" s="6" t="n"/>
      <c r="N197" s="6" t="n"/>
      <c r="O197" s="6" t="n"/>
      <c r="P197" s="8" t="n"/>
      <c r="Q197" s="7" t="n"/>
      <c r="R197" s="9" t="n"/>
      <c r="S197" s="10">
        <f>IF($C197="","",$I197*$R197)</f>
        <v/>
      </c>
      <c r="T197" s="10">
        <f>IF($C197="","",(IF($N197="Purchased",$H197,0)+$Q197))</f>
        <v/>
      </c>
      <c r="U197" s="10">
        <f>IF($C197="","",$S197-$T197)</f>
        <v/>
      </c>
      <c r="V197" s="11">
        <f>IF(OR($C197="",$I197=0),"",CEILING($T197/$I197,1))</f>
        <v/>
      </c>
      <c r="W197" s="6" t="n"/>
      <c r="X197">
        <f>IF(C197="","",LOWER(SUBSTITUTE(SUBSTITUTE(C197," ","-"),"'",""))&amp;".jpg")</f>
        <v/>
      </c>
      <c r="Y197">
        <f>IF(X197="","","/inventory/"&amp;X197)</f>
        <v/>
      </c>
      <c r="Z197">
        <f>IF(O197="Available","available",IF(OR(O197="Rented",O197="Cleaning",O197="Repair"),"unavailable",IF(O197="Retired","unavailable","")))</f>
        <v/>
      </c>
    </row>
    <row r="198" ht="150" customHeight="1">
      <c r="A198" t="inlineStr">
        <is>
          <t>W197</t>
        </is>
      </c>
      <c r="B198" s="6" t="n"/>
      <c r="C198" s="21" t="n"/>
      <c r="D198" s="25" t="n"/>
      <c r="E198" s="6" t="n"/>
      <c r="F198" s="19">
        <f>IF(E198="","",_xlfn.IMAGE(E198))</f>
        <v/>
      </c>
      <c r="G198" s="17" t="n"/>
      <c r="H198" s="39" t="n"/>
      <c r="I198" s="7" t="n"/>
      <c r="J198" s="25" t="n"/>
      <c r="K198" s="28" t="n"/>
      <c r="L198" s="6" t="n"/>
      <c r="M198" s="6" t="n"/>
      <c r="N198" s="6" t="n"/>
      <c r="O198" s="6" t="n"/>
      <c r="P198" s="8" t="n"/>
      <c r="Q198" s="7" t="n"/>
      <c r="R198" s="9" t="n"/>
      <c r="S198" s="10">
        <f>IF($C198="","",$I198*$R198)</f>
        <v/>
      </c>
      <c r="T198" s="10">
        <f>IF($C198="","",(IF($N198="Purchased",$H198,0)+$Q198))</f>
        <v/>
      </c>
      <c r="U198" s="10">
        <f>IF($C198="","",$S198-$T198)</f>
        <v/>
      </c>
      <c r="V198" s="11">
        <f>IF(OR($C198="",$I198=0),"",CEILING($T198/$I198,1))</f>
        <v/>
      </c>
      <c r="W198" s="6" t="n"/>
      <c r="X198">
        <f>IF(C198="","",LOWER(SUBSTITUTE(SUBSTITUTE(C198," ","-"),"'",""))&amp;".jpg")</f>
        <v/>
      </c>
      <c r="Y198">
        <f>IF(X198="","","/inventory/"&amp;X198)</f>
        <v/>
      </c>
      <c r="Z198">
        <f>IF(O198="Available","available",IF(OR(O198="Rented",O198="Cleaning",O198="Repair"),"unavailable",IF(O198="Retired","unavailable","")))</f>
        <v/>
      </c>
    </row>
    <row r="199" ht="150" customHeight="1">
      <c r="A199" t="inlineStr">
        <is>
          <t>W198</t>
        </is>
      </c>
      <c r="B199" s="6" t="n"/>
      <c r="C199" s="21" t="n"/>
      <c r="D199" s="25" t="n"/>
      <c r="E199" s="6" t="n"/>
      <c r="F199" s="19">
        <f>IF(E199="","",_xlfn.IMAGE(E199))</f>
        <v/>
      </c>
      <c r="G199" s="17" t="n"/>
      <c r="H199" s="39" t="n"/>
      <c r="I199" s="7" t="n"/>
      <c r="J199" s="25" t="n"/>
      <c r="K199" s="28" t="n"/>
      <c r="L199" s="6" t="n"/>
      <c r="M199" s="6" t="n"/>
      <c r="N199" s="6" t="n"/>
      <c r="O199" s="6" t="n"/>
      <c r="P199" s="8" t="n"/>
      <c r="Q199" s="7" t="n"/>
      <c r="R199" s="9" t="n"/>
      <c r="S199" s="10">
        <f>IF($C199="","",$I199*$R199)</f>
        <v/>
      </c>
      <c r="T199" s="10">
        <f>IF($C199="","",(IF($N199="Purchased",$H199,0)+$Q199))</f>
        <v/>
      </c>
      <c r="U199" s="10">
        <f>IF($C199="","",$S199-$T199)</f>
        <v/>
      </c>
      <c r="V199" s="11">
        <f>IF(OR($C199="",$I199=0),"",CEILING($T199/$I199,1))</f>
        <v/>
      </c>
      <c r="W199" s="6" t="n"/>
      <c r="X199">
        <f>IF(C199="","",LOWER(SUBSTITUTE(SUBSTITUTE(C199," ","-"),"'",""))&amp;".jpg")</f>
        <v/>
      </c>
      <c r="Y199">
        <f>IF(X199="","","/inventory/"&amp;X199)</f>
        <v/>
      </c>
      <c r="Z199">
        <f>IF(O199="Available","available",IF(OR(O199="Rented",O199="Cleaning",O199="Repair"),"unavailable",IF(O199="Retired","unavailable","")))</f>
        <v/>
      </c>
    </row>
    <row r="200" ht="150" customHeight="1">
      <c r="A200" t="inlineStr">
        <is>
          <t>W199</t>
        </is>
      </c>
      <c r="B200" s="6" t="n"/>
      <c r="C200" s="21" t="n"/>
      <c r="D200" s="25" t="n"/>
      <c r="E200" s="6" t="n"/>
      <c r="F200" s="19">
        <f>IF(E200="","",_xlfn.IMAGE(E200))</f>
        <v/>
      </c>
      <c r="G200" s="17" t="n"/>
      <c r="H200" s="39" t="n"/>
      <c r="I200" s="7" t="n"/>
      <c r="J200" s="25" t="n"/>
      <c r="K200" s="28" t="n"/>
      <c r="L200" s="6" t="n"/>
      <c r="M200" s="6" t="n"/>
      <c r="N200" s="6" t="n"/>
      <c r="O200" s="6" t="n"/>
      <c r="P200" s="8" t="n"/>
      <c r="Q200" s="7" t="n"/>
      <c r="R200" s="9" t="n"/>
      <c r="S200" s="10">
        <f>IF($C200="","",$I200*$R200)</f>
        <v/>
      </c>
      <c r="T200" s="10">
        <f>IF($C200="","",(IF($N200="Purchased",$H200,0)+$Q200))</f>
        <v/>
      </c>
      <c r="U200" s="10">
        <f>IF($C200="","",$S200-$T200)</f>
        <v/>
      </c>
      <c r="V200" s="11">
        <f>IF(OR($C200="",$I200=0),"",CEILING($T200/$I200,1))</f>
        <v/>
      </c>
      <c r="W200" s="6" t="n"/>
      <c r="X200">
        <f>IF(C200="","",LOWER(SUBSTITUTE(SUBSTITUTE(C200," ","-"),"'",""))&amp;".jpg")</f>
        <v/>
      </c>
      <c r="Y200">
        <f>IF(X200="","","/inventory/"&amp;X200)</f>
        <v/>
      </c>
      <c r="Z200">
        <f>IF(O200="Available","available",IF(OR(O200="Rented",O200="Cleaning",O200="Repair"),"unavailable",IF(O200="Retired","unavailable","")))</f>
        <v/>
      </c>
    </row>
    <row r="201" ht="150" customHeight="1">
      <c r="A201" t="inlineStr">
        <is>
          <t>W200</t>
        </is>
      </c>
      <c r="B201" s="6" t="n"/>
      <c r="C201" s="21" t="n"/>
      <c r="D201" s="25" t="n"/>
      <c r="E201" s="6" t="n"/>
      <c r="F201" s="19">
        <f>IF(E201="","",_xlfn.IMAGE(E201))</f>
        <v/>
      </c>
      <c r="G201" s="17" t="n"/>
      <c r="H201" s="39" t="n"/>
      <c r="I201" s="7" t="n"/>
      <c r="J201" s="25" t="n"/>
      <c r="K201" s="28" t="n"/>
      <c r="L201" s="6" t="n"/>
      <c r="M201" s="6" t="n"/>
      <c r="N201" s="6" t="n"/>
      <c r="O201" s="6" t="n"/>
      <c r="P201" s="8" t="n"/>
      <c r="Q201" s="7" t="n"/>
      <c r="R201" s="9" t="n"/>
      <c r="S201" s="10">
        <f>IF($C201="","",$I201*$R201)</f>
        <v/>
      </c>
      <c r="T201" s="10">
        <f>IF($C201="","",(IF($N201="Purchased",$H201,0)+$Q201))</f>
        <v/>
      </c>
      <c r="U201" s="10">
        <f>IF($C201="","",$S201-$T201)</f>
        <v/>
      </c>
      <c r="V201" s="11">
        <f>IF(OR($C201="",$I201=0),"",CEILING($T201/$I201,1))</f>
        <v/>
      </c>
      <c r="W201" s="6" t="n"/>
      <c r="X201">
        <f>IF(C201="","",LOWER(SUBSTITUTE(SUBSTITUTE(C201," ","-"),"'",""))&amp;".jpg")</f>
        <v/>
      </c>
      <c r="Y201">
        <f>IF(X201="","","/inventory/"&amp;X201)</f>
        <v/>
      </c>
      <c r="Z201">
        <f>IF(O201="Available","available",IF(OR(O201="Rented",O201="Cleaning",O201="Repair"),"unavailable",IF(O201="Retired","unavailable","")))</f>
        <v/>
      </c>
    </row>
    <row r="202" ht="150" customHeight="1">
      <c r="A202" t="inlineStr">
        <is>
          <t>W201</t>
        </is>
      </c>
      <c r="B202" s="6" t="n"/>
      <c r="C202" s="21" t="n"/>
      <c r="D202" s="25" t="n"/>
      <c r="E202" s="6" t="n"/>
      <c r="F202" s="19">
        <f>IF(E202="","",_xlfn.IMAGE(E202))</f>
        <v/>
      </c>
      <c r="G202" s="17" t="n"/>
      <c r="H202" s="39" t="n"/>
      <c r="I202" s="7" t="n"/>
      <c r="J202" s="25" t="n"/>
      <c r="K202" s="28" t="n"/>
      <c r="L202" s="6" t="n"/>
      <c r="M202" s="6" t="n"/>
      <c r="N202" s="6" t="n"/>
      <c r="O202" s="6" t="n"/>
      <c r="P202" s="8" t="n"/>
      <c r="Q202" s="7" t="n"/>
      <c r="R202" s="9" t="n"/>
      <c r="S202" s="10">
        <f>IF($C202="","",$I202*$R202)</f>
        <v/>
      </c>
      <c r="T202" s="10">
        <f>IF($C202="","",(IF($N202="Purchased",$H202,0)+$Q202))</f>
        <v/>
      </c>
      <c r="U202" s="10">
        <f>IF($C202="","",$S202-$T202)</f>
        <v/>
      </c>
      <c r="V202" s="11">
        <f>IF(OR($C202="",$I202=0),"",CEILING($T202/$I202,1))</f>
        <v/>
      </c>
      <c r="W202" s="6" t="n"/>
      <c r="X202">
        <f>IF(C202="","",LOWER(SUBSTITUTE(SUBSTITUTE(C202," ","-"),"'",""))&amp;".jpg")</f>
        <v/>
      </c>
      <c r="Y202">
        <f>IF(X202="","","/inventory/"&amp;X202)</f>
        <v/>
      </c>
      <c r="Z202">
        <f>IF(O202="Available","available",IF(OR(O202="Rented",O202="Cleaning",O202="Repair"),"unavailable",IF(O202="Retired","unavailable","")))</f>
        <v/>
      </c>
    </row>
    <row r="203" ht="150" customHeight="1">
      <c r="A203" t="inlineStr">
        <is>
          <t>W202</t>
        </is>
      </c>
      <c r="B203" s="6" t="n"/>
      <c r="C203" s="21" t="n"/>
      <c r="D203" s="25" t="n"/>
      <c r="E203" s="6" t="n"/>
      <c r="F203" s="19">
        <f>IF(E203="","",_xlfn.IMAGE(E203))</f>
        <v/>
      </c>
      <c r="G203" s="17" t="n"/>
      <c r="H203" s="39" t="n"/>
      <c r="I203" s="7" t="n"/>
      <c r="J203" s="25" t="n"/>
      <c r="K203" s="28" t="n"/>
      <c r="L203" s="6" t="n"/>
      <c r="M203" s="6" t="n"/>
      <c r="N203" s="6" t="n"/>
      <c r="O203" s="6" t="n"/>
      <c r="P203" s="8" t="n"/>
      <c r="Q203" s="7" t="n"/>
      <c r="R203" s="9" t="n"/>
      <c r="S203" s="10">
        <f>IF($C203="","",$I203*$R203)</f>
        <v/>
      </c>
      <c r="T203" s="10">
        <f>IF($C203="","",(IF($N203="Purchased",$H203,0)+$Q203))</f>
        <v/>
      </c>
      <c r="U203" s="10">
        <f>IF($C203="","",$S203-$T203)</f>
        <v/>
      </c>
      <c r="V203" s="11">
        <f>IF(OR($C203="",$I203=0),"",CEILING($T203/$I203,1))</f>
        <v/>
      </c>
      <c r="W203" s="6" t="n"/>
      <c r="X203">
        <f>IF(C203="","",LOWER(SUBSTITUTE(SUBSTITUTE(C203," ","-"),"'",""))&amp;".jpg")</f>
        <v/>
      </c>
      <c r="Y203">
        <f>IF(X203="","","/inventory/"&amp;X203)</f>
        <v/>
      </c>
      <c r="Z203">
        <f>IF(O203="Available","available",IF(OR(O203="Rented",O203="Cleaning",O203="Repair"),"unavailable",IF(O203="Retired","unavailable","")))</f>
        <v/>
      </c>
    </row>
    <row r="204" ht="150" customHeight="1">
      <c r="A204" t="inlineStr">
        <is>
          <t>W203</t>
        </is>
      </c>
      <c r="B204" s="6" t="n"/>
      <c r="C204" s="21" t="n"/>
      <c r="D204" s="25" t="n"/>
      <c r="E204" s="6" t="n"/>
      <c r="F204" s="19">
        <f>IF(E204="","",_xlfn.IMAGE(E204))</f>
        <v/>
      </c>
      <c r="G204" s="17" t="n"/>
      <c r="H204" s="39" t="n"/>
      <c r="I204" s="7" t="n"/>
      <c r="J204" s="25" t="n"/>
      <c r="K204" s="28" t="n"/>
      <c r="L204" s="6" t="n"/>
      <c r="M204" s="6" t="n"/>
      <c r="N204" s="6" t="n"/>
      <c r="O204" s="6" t="n"/>
      <c r="P204" s="8" t="n"/>
      <c r="Q204" s="7" t="n"/>
      <c r="R204" s="9" t="n"/>
      <c r="S204" s="10">
        <f>IF($C204="","",$I204*$R204)</f>
        <v/>
      </c>
      <c r="T204" s="10">
        <f>IF($C204="","",(IF($N204="Purchased",$H204,0)+$Q204))</f>
        <v/>
      </c>
      <c r="U204" s="10">
        <f>IF($C204="","",$S204-$T204)</f>
        <v/>
      </c>
      <c r="V204" s="11">
        <f>IF(OR($C204="",$I204=0),"",CEILING($T204/$I204,1))</f>
        <v/>
      </c>
      <c r="W204" s="6" t="n"/>
      <c r="X204">
        <f>IF(C204="","",LOWER(SUBSTITUTE(SUBSTITUTE(C204," ","-"),"'",""))&amp;".jpg")</f>
        <v/>
      </c>
      <c r="Y204">
        <f>IF(X204="","","/inventory/"&amp;X204)</f>
        <v/>
      </c>
      <c r="Z204">
        <f>IF(O204="Available","available",IF(OR(O204="Rented",O204="Cleaning",O204="Repair"),"unavailable",IF(O204="Retired","unavailable","")))</f>
        <v/>
      </c>
    </row>
    <row r="205" ht="150" customHeight="1">
      <c r="A205" t="inlineStr">
        <is>
          <t>W204</t>
        </is>
      </c>
      <c r="B205" s="6" t="n"/>
      <c r="C205" s="21" t="n"/>
      <c r="D205" s="25" t="n"/>
      <c r="E205" s="6" t="n"/>
      <c r="F205" s="19">
        <f>IF(E205="","",_xlfn.IMAGE(E205))</f>
        <v/>
      </c>
      <c r="G205" s="17" t="n"/>
      <c r="H205" s="39" t="n"/>
      <c r="I205" s="7" t="n"/>
      <c r="J205" s="25" t="n"/>
      <c r="K205" s="28" t="n"/>
      <c r="L205" s="6" t="n"/>
      <c r="M205" s="6" t="n"/>
      <c r="N205" s="6" t="n"/>
      <c r="O205" s="6" t="n"/>
      <c r="P205" s="8" t="n"/>
      <c r="Q205" s="7" t="n"/>
      <c r="R205" s="9" t="n"/>
      <c r="S205" s="10">
        <f>IF($C205="","",$I205*$R205)</f>
        <v/>
      </c>
      <c r="T205" s="10">
        <f>IF($C205="","",(IF($N205="Purchased",$H205,0)+$Q205))</f>
        <v/>
      </c>
      <c r="U205" s="10">
        <f>IF($C205="","",$S205-$T205)</f>
        <v/>
      </c>
      <c r="V205" s="11">
        <f>IF(OR($C205="",$I205=0),"",CEILING($T205/$I205,1))</f>
        <v/>
      </c>
      <c r="W205" s="6" t="n"/>
      <c r="X205">
        <f>IF(C205="","",LOWER(SUBSTITUTE(SUBSTITUTE(C205," ","-"),"'",""))&amp;".jpg")</f>
        <v/>
      </c>
      <c r="Y205">
        <f>IF(X205="","","/inventory/"&amp;X205)</f>
        <v/>
      </c>
      <c r="Z205">
        <f>IF(O205="Available","available",IF(OR(O205="Rented",O205="Cleaning",O205="Repair"),"unavailable",IF(O205="Retired","unavailable","")))</f>
        <v/>
      </c>
    </row>
    <row r="206" ht="150" customHeight="1">
      <c r="A206" t="inlineStr">
        <is>
          <t>W205</t>
        </is>
      </c>
      <c r="B206" s="6" t="n"/>
      <c r="C206" s="21" t="n"/>
      <c r="D206" s="25" t="n"/>
      <c r="E206" s="6" t="n"/>
      <c r="F206" s="19">
        <f>IF(E206="","",_xlfn.IMAGE(E206))</f>
        <v/>
      </c>
      <c r="G206" s="17" t="n"/>
      <c r="H206" s="39" t="n"/>
      <c r="I206" s="7" t="n"/>
      <c r="J206" s="25" t="n"/>
      <c r="K206" s="28" t="n"/>
      <c r="L206" s="6" t="n"/>
      <c r="M206" s="6" t="n"/>
      <c r="N206" s="6" t="n"/>
      <c r="O206" s="6" t="n"/>
      <c r="P206" s="8" t="n"/>
      <c r="Q206" s="7" t="n"/>
      <c r="R206" s="9" t="n"/>
      <c r="S206" s="10">
        <f>IF($C206="","",$I206*$R206)</f>
        <v/>
      </c>
      <c r="T206" s="10">
        <f>IF($C206="","",(IF($N206="Purchased",$H206,0)+$Q206))</f>
        <v/>
      </c>
      <c r="U206" s="10">
        <f>IF($C206="","",$S206-$T206)</f>
        <v/>
      </c>
      <c r="V206" s="11">
        <f>IF(OR($C206="",$I206=0),"",CEILING($T206/$I206,1))</f>
        <v/>
      </c>
      <c r="W206" s="6" t="n"/>
      <c r="X206">
        <f>IF(C206="","",LOWER(SUBSTITUTE(SUBSTITUTE(C206," ","-"),"'",""))&amp;".jpg")</f>
        <v/>
      </c>
      <c r="Y206">
        <f>IF(X206="","","/inventory/"&amp;X206)</f>
        <v/>
      </c>
      <c r="Z206">
        <f>IF(O206="Available","available",IF(OR(O206="Rented",O206="Cleaning",O206="Repair"),"unavailable",IF(O206="Retired","unavailable","")))</f>
        <v/>
      </c>
    </row>
    <row r="207" ht="150" customHeight="1">
      <c r="A207" t="inlineStr">
        <is>
          <t>W206</t>
        </is>
      </c>
      <c r="B207" s="6" t="n"/>
      <c r="C207" s="21" t="n"/>
      <c r="D207" s="25" t="n"/>
      <c r="E207" s="6" t="n"/>
      <c r="F207" s="19">
        <f>IF(E207="","",_xlfn.IMAGE(E207))</f>
        <v/>
      </c>
      <c r="G207" s="17" t="n"/>
      <c r="H207" s="39" t="n"/>
      <c r="I207" s="7" t="n"/>
      <c r="J207" s="25" t="n"/>
      <c r="K207" s="28" t="n"/>
      <c r="L207" s="6" t="n"/>
      <c r="M207" s="6" t="n"/>
      <c r="N207" s="6" t="n"/>
      <c r="O207" s="6" t="n"/>
      <c r="P207" s="8" t="n"/>
      <c r="Q207" s="7" t="n"/>
      <c r="R207" s="9" t="n"/>
      <c r="S207" s="10">
        <f>IF($C207="","",$I207*$R207)</f>
        <v/>
      </c>
      <c r="T207" s="10">
        <f>IF($C207="","",(IF($N207="Purchased",$H207,0)+$Q207))</f>
        <v/>
      </c>
      <c r="U207" s="10">
        <f>IF($C207="","",$S207-$T207)</f>
        <v/>
      </c>
      <c r="V207" s="11">
        <f>IF(OR($C207="",$I207=0),"",CEILING($T207/$I207,1))</f>
        <v/>
      </c>
      <c r="W207" s="6" t="n"/>
      <c r="X207">
        <f>IF(C207="","",LOWER(SUBSTITUTE(SUBSTITUTE(C207," ","-"),"'",""))&amp;".jpg")</f>
        <v/>
      </c>
      <c r="Y207">
        <f>IF(X207="","","/inventory/"&amp;X207)</f>
        <v/>
      </c>
      <c r="Z207">
        <f>IF(O207="Available","available",IF(OR(O207="Rented",O207="Cleaning",O207="Repair"),"unavailable",IF(O207="Retired","unavailable","")))</f>
        <v/>
      </c>
    </row>
    <row r="208" ht="150" customHeight="1">
      <c r="A208" t="inlineStr">
        <is>
          <t>W207</t>
        </is>
      </c>
      <c r="B208" s="6" t="n"/>
      <c r="C208" s="21" t="n"/>
      <c r="D208" s="25" t="n"/>
      <c r="E208" s="6" t="n"/>
      <c r="F208" s="19">
        <f>IF(E208="","",_xlfn.IMAGE(E208))</f>
        <v/>
      </c>
      <c r="G208" s="17" t="n"/>
      <c r="H208" s="39" t="n"/>
      <c r="I208" s="7" t="n"/>
      <c r="J208" s="25" t="n"/>
      <c r="K208" s="28" t="n"/>
      <c r="L208" s="6" t="n"/>
      <c r="M208" s="6" t="n"/>
      <c r="N208" s="6" t="n"/>
      <c r="O208" s="6" t="n"/>
      <c r="P208" s="8" t="n"/>
      <c r="Q208" s="7" t="n"/>
      <c r="R208" s="9" t="n"/>
      <c r="S208" s="10">
        <f>IF($C208="","",$I208*$R208)</f>
        <v/>
      </c>
      <c r="T208" s="10">
        <f>IF($C208="","",(IF($N208="Purchased",$H208,0)+$Q208))</f>
        <v/>
      </c>
      <c r="U208" s="10">
        <f>IF($C208="","",$S208-$T208)</f>
        <v/>
      </c>
      <c r="V208" s="11">
        <f>IF(OR($C208="",$I208=0),"",CEILING($T208/$I208,1))</f>
        <v/>
      </c>
      <c r="W208" s="6" t="n"/>
      <c r="X208">
        <f>IF(C208="","",LOWER(SUBSTITUTE(SUBSTITUTE(C208," ","-"),"'",""))&amp;".jpg")</f>
        <v/>
      </c>
      <c r="Y208">
        <f>IF(X208="","","/inventory/"&amp;X208)</f>
        <v/>
      </c>
      <c r="Z208">
        <f>IF(O208="Available","available",IF(OR(O208="Rented",O208="Cleaning",O208="Repair"),"unavailable",IF(O208="Retired","unavailable","")))</f>
        <v/>
      </c>
    </row>
    <row r="209" ht="150" customHeight="1">
      <c r="A209" t="inlineStr">
        <is>
          <t>W208</t>
        </is>
      </c>
      <c r="B209" s="6" t="n"/>
      <c r="C209" s="21" t="n"/>
      <c r="D209" s="25" t="n"/>
      <c r="E209" s="6" t="n"/>
      <c r="F209" s="19">
        <f>IF(E209="","",_xlfn.IMAGE(E209))</f>
        <v/>
      </c>
      <c r="G209" s="17" t="n"/>
      <c r="H209" s="39" t="n"/>
      <c r="I209" s="7" t="n"/>
      <c r="J209" s="25" t="n"/>
      <c r="K209" s="28" t="n"/>
      <c r="L209" s="6" t="n"/>
      <c r="M209" s="6" t="n"/>
      <c r="N209" s="6" t="n"/>
      <c r="O209" s="6" t="n"/>
      <c r="P209" s="8" t="n"/>
      <c r="Q209" s="7" t="n"/>
      <c r="R209" s="9" t="n"/>
      <c r="S209" s="10">
        <f>IF($C209="","",$I209*$R209)</f>
        <v/>
      </c>
      <c r="T209" s="10">
        <f>IF($C209="","",(IF($N209="Purchased",$H209,0)+$Q209))</f>
        <v/>
      </c>
      <c r="U209" s="10">
        <f>IF($C209="","",$S209-$T209)</f>
        <v/>
      </c>
      <c r="V209" s="11">
        <f>IF(OR($C209="",$I209=0),"",CEILING($T209/$I209,1))</f>
        <v/>
      </c>
      <c r="W209" s="6" t="n"/>
      <c r="X209">
        <f>IF(C209="","",LOWER(SUBSTITUTE(SUBSTITUTE(C209," ","-"),"'",""))&amp;".jpg")</f>
        <v/>
      </c>
      <c r="Y209">
        <f>IF(X209="","","/inventory/"&amp;X209)</f>
        <v/>
      </c>
      <c r="Z209">
        <f>IF(O209="Available","available",IF(OR(O209="Rented",O209="Cleaning",O209="Repair"),"unavailable",IF(O209="Retired","unavailable","")))</f>
        <v/>
      </c>
    </row>
    <row r="210" ht="150" customHeight="1">
      <c r="A210" t="inlineStr">
        <is>
          <t>W209</t>
        </is>
      </c>
      <c r="B210" s="6" t="n"/>
      <c r="C210" s="21" t="n"/>
      <c r="D210" s="25" t="n"/>
      <c r="E210" s="6" t="n"/>
      <c r="F210" s="19">
        <f>IF(E210="","",_xlfn.IMAGE(E210))</f>
        <v/>
      </c>
      <c r="G210" s="17" t="n"/>
      <c r="H210" s="39" t="n"/>
      <c r="I210" s="7" t="n"/>
      <c r="J210" s="25" t="n"/>
      <c r="K210" s="28" t="n"/>
      <c r="L210" s="6" t="n"/>
      <c r="M210" s="6" t="n"/>
      <c r="N210" s="6" t="n"/>
      <c r="O210" s="6" t="n"/>
      <c r="P210" s="8" t="n"/>
      <c r="Q210" s="7" t="n"/>
      <c r="R210" s="9" t="n"/>
      <c r="S210" s="10">
        <f>IF($C210="","",$I210*$R210)</f>
        <v/>
      </c>
      <c r="T210" s="10">
        <f>IF($C210="","",(IF($N210="Purchased",$H210,0)+$Q210))</f>
        <v/>
      </c>
      <c r="U210" s="10">
        <f>IF($C210="","",$S210-$T210)</f>
        <v/>
      </c>
      <c r="V210" s="11">
        <f>IF(OR($C210="",$I210=0),"",CEILING($T210/$I210,1))</f>
        <v/>
      </c>
      <c r="W210" s="6" t="n"/>
      <c r="X210">
        <f>IF(C210="","",LOWER(SUBSTITUTE(SUBSTITUTE(C210," ","-"),"'",""))&amp;".jpg")</f>
        <v/>
      </c>
      <c r="Y210">
        <f>IF(X210="","","/inventory/"&amp;X210)</f>
        <v/>
      </c>
      <c r="Z210">
        <f>IF(O210="Available","available",IF(OR(O210="Rented",O210="Cleaning",O210="Repair"),"unavailable",IF(O210="Retired","unavailable","")))</f>
        <v/>
      </c>
    </row>
    <row r="211" ht="150" customHeight="1">
      <c r="A211" t="inlineStr">
        <is>
          <t>W210</t>
        </is>
      </c>
      <c r="B211" s="6" t="n"/>
      <c r="C211" s="21" t="n"/>
      <c r="D211" s="25" t="n"/>
      <c r="E211" s="6" t="n"/>
      <c r="F211" s="19">
        <f>IF(E211="","",_xlfn.IMAGE(E211))</f>
        <v/>
      </c>
      <c r="G211" s="17" t="n"/>
      <c r="H211" s="39" t="n"/>
      <c r="I211" s="7" t="n"/>
      <c r="J211" s="25" t="n"/>
      <c r="K211" s="28" t="n"/>
      <c r="L211" s="6" t="n"/>
      <c r="M211" s="6" t="n"/>
      <c r="N211" s="6" t="n"/>
      <c r="O211" s="6" t="n"/>
      <c r="P211" s="8" t="n"/>
      <c r="Q211" s="7" t="n"/>
      <c r="R211" s="9" t="n"/>
      <c r="S211" s="10">
        <f>IF($C211="","",$I211*$R211)</f>
        <v/>
      </c>
      <c r="T211" s="10">
        <f>IF($C211="","",(IF($N211="Purchased",$H211,0)+$Q211))</f>
        <v/>
      </c>
      <c r="U211" s="10">
        <f>IF($C211="","",$S211-$T211)</f>
        <v/>
      </c>
      <c r="V211" s="11">
        <f>IF(OR($C211="",$I211=0),"",CEILING($T211/$I211,1))</f>
        <v/>
      </c>
      <c r="W211" s="6" t="n"/>
      <c r="X211">
        <f>IF(C211="","",LOWER(SUBSTITUTE(SUBSTITUTE(C211," ","-"),"'",""))&amp;".jpg")</f>
        <v/>
      </c>
      <c r="Y211">
        <f>IF(X211="","","/inventory/"&amp;X211)</f>
        <v/>
      </c>
      <c r="Z211">
        <f>IF(O211="Available","available",IF(OR(O211="Rented",O211="Cleaning",O211="Repair"),"unavailable",IF(O211="Retired","unavailable","")))</f>
        <v/>
      </c>
    </row>
    <row r="212" ht="150" customHeight="1">
      <c r="A212" t="inlineStr">
        <is>
          <t>W211</t>
        </is>
      </c>
      <c r="B212" s="6" t="n"/>
      <c r="C212" s="21" t="n"/>
      <c r="D212" s="25" t="n"/>
      <c r="E212" s="6" t="n"/>
      <c r="F212" s="19">
        <f>IF(E212="","",_xlfn.IMAGE(E212))</f>
        <v/>
      </c>
      <c r="G212" s="17" t="n"/>
      <c r="H212" s="39" t="n"/>
      <c r="I212" s="7" t="n"/>
      <c r="J212" s="25" t="n"/>
      <c r="K212" s="28" t="n"/>
      <c r="L212" s="6" t="n"/>
      <c r="M212" s="6" t="n"/>
      <c r="N212" s="6" t="n"/>
      <c r="O212" s="6" t="n"/>
      <c r="P212" s="8" t="n"/>
      <c r="Q212" s="7" t="n"/>
      <c r="R212" s="9" t="n"/>
      <c r="S212" s="10">
        <f>IF($C212="","",$I212*$R212)</f>
        <v/>
      </c>
      <c r="T212" s="10">
        <f>IF($C212="","",(IF($N212="Purchased",$H212,0)+$Q212))</f>
        <v/>
      </c>
      <c r="U212" s="10">
        <f>IF($C212="","",$S212-$T212)</f>
        <v/>
      </c>
      <c r="V212" s="11">
        <f>IF(OR($C212="",$I212=0),"",CEILING($T212/$I212,1))</f>
        <v/>
      </c>
      <c r="W212" s="6" t="n"/>
      <c r="X212">
        <f>IF(C212="","",LOWER(SUBSTITUTE(SUBSTITUTE(C212," ","-"),"'",""))&amp;".jpg")</f>
        <v/>
      </c>
      <c r="Y212">
        <f>IF(X212="","","/inventory/"&amp;X212)</f>
        <v/>
      </c>
      <c r="Z212">
        <f>IF(O212="Available","available",IF(OR(O212="Rented",O212="Cleaning",O212="Repair"),"unavailable",IF(O212="Retired","unavailable","")))</f>
        <v/>
      </c>
    </row>
    <row r="213" ht="150" customHeight="1">
      <c r="A213" t="inlineStr">
        <is>
          <t>W212</t>
        </is>
      </c>
      <c r="B213" s="6" t="n"/>
      <c r="C213" s="21" t="n"/>
      <c r="D213" s="25" t="n"/>
      <c r="E213" s="6" t="n"/>
      <c r="F213" s="19">
        <f>IF(E213="","",_xlfn.IMAGE(E213))</f>
        <v/>
      </c>
      <c r="G213" s="17" t="n"/>
      <c r="H213" s="39" t="n"/>
      <c r="I213" s="7" t="n"/>
      <c r="J213" s="25" t="n"/>
      <c r="K213" s="28" t="n"/>
      <c r="L213" s="6" t="n"/>
      <c r="M213" s="6" t="n"/>
      <c r="N213" s="6" t="n"/>
      <c r="O213" s="6" t="n"/>
      <c r="P213" s="8" t="n"/>
      <c r="Q213" s="7" t="n"/>
      <c r="R213" s="9" t="n"/>
      <c r="S213" s="10">
        <f>IF($C213="","",$I213*$R213)</f>
        <v/>
      </c>
      <c r="T213" s="10">
        <f>IF($C213="","",(IF($N213="Purchased",$H213,0)+$Q213))</f>
        <v/>
      </c>
      <c r="U213" s="10">
        <f>IF($C213="","",$S213-$T213)</f>
        <v/>
      </c>
      <c r="V213" s="11">
        <f>IF(OR($C213="",$I213=0),"",CEILING($T213/$I213,1))</f>
        <v/>
      </c>
      <c r="W213" s="6" t="n"/>
      <c r="X213">
        <f>IF(C213="","",LOWER(SUBSTITUTE(SUBSTITUTE(C213," ","-"),"'",""))&amp;".jpg")</f>
        <v/>
      </c>
      <c r="Y213">
        <f>IF(X213="","","/inventory/"&amp;X213)</f>
        <v/>
      </c>
      <c r="Z213">
        <f>IF(O213="Available","available",IF(OR(O213="Rented",O213="Cleaning",O213="Repair"),"unavailable",IF(O213="Retired","unavailable","")))</f>
        <v/>
      </c>
    </row>
    <row r="214" ht="150" customHeight="1">
      <c r="A214" t="inlineStr">
        <is>
          <t>W213</t>
        </is>
      </c>
      <c r="B214" s="6" t="n"/>
      <c r="C214" s="21" t="n"/>
      <c r="D214" s="25" t="n"/>
      <c r="E214" s="6" t="n"/>
      <c r="F214" s="19">
        <f>IF(E214="","",_xlfn.IMAGE(E214))</f>
        <v/>
      </c>
      <c r="G214" s="17" t="n"/>
      <c r="H214" s="39" t="n"/>
      <c r="I214" s="7" t="n"/>
      <c r="J214" s="25" t="n"/>
      <c r="K214" s="28" t="n"/>
      <c r="L214" s="6" t="n"/>
      <c r="M214" s="6" t="n"/>
      <c r="N214" s="6" t="n"/>
      <c r="O214" s="6" t="n"/>
      <c r="P214" s="8" t="n"/>
      <c r="Q214" s="7" t="n"/>
      <c r="R214" s="9" t="n"/>
      <c r="S214" s="10">
        <f>IF($C214="","",$I214*$R214)</f>
        <v/>
      </c>
      <c r="T214" s="10">
        <f>IF($C214="","",(IF($N214="Purchased",$H214,0)+$Q214))</f>
        <v/>
      </c>
      <c r="U214" s="10">
        <f>IF($C214="","",$S214-$T214)</f>
        <v/>
      </c>
      <c r="V214" s="11">
        <f>IF(OR($C214="",$I214=0),"",CEILING($T214/$I214,1))</f>
        <v/>
      </c>
      <c r="W214" s="6" t="n"/>
      <c r="X214">
        <f>IF(C214="","",LOWER(SUBSTITUTE(SUBSTITUTE(C214," ","-"),"'",""))&amp;".jpg")</f>
        <v/>
      </c>
      <c r="Y214">
        <f>IF(X214="","","/inventory/"&amp;X214)</f>
        <v/>
      </c>
      <c r="Z214">
        <f>IF(O214="Available","available",IF(OR(O214="Rented",O214="Cleaning",O214="Repair"),"unavailable",IF(O214="Retired","unavailable","")))</f>
        <v/>
      </c>
    </row>
    <row r="215" ht="150" customHeight="1">
      <c r="A215" t="inlineStr">
        <is>
          <t>W214</t>
        </is>
      </c>
      <c r="B215" s="6" t="n"/>
      <c r="C215" s="21" t="n"/>
      <c r="D215" s="25" t="n"/>
      <c r="E215" s="6" t="n"/>
      <c r="F215" s="19">
        <f>IF(E215="","",_xlfn.IMAGE(E215))</f>
        <v/>
      </c>
      <c r="G215" s="17" t="n"/>
      <c r="H215" s="39" t="n"/>
      <c r="I215" s="7" t="n"/>
      <c r="J215" s="25" t="n"/>
      <c r="K215" s="28" t="n"/>
      <c r="L215" s="6" t="n"/>
      <c r="M215" s="6" t="n"/>
      <c r="N215" s="6" t="n"/>
      <c r="O215" s="6" t="n"/>
      <c r="P215" s="8" t="n"/>
      <c r="Q215" s="7" t="n"/>
      <c r="R215" s="9" t="n"/>
      <c r="S215" s="10">
        <f>IF($C215="","",$I215*$R215)</f>
        <v/>
      </c>
      <c r="T215" s="10">
        <f>IF($C215="","",(IF($N215="Purchased",$H215,0)+$Q215))</f>
        <v/>
      </c>
      <c r="U215" s="10">
        <f>IF($C215="","",$S215-$T215)</f>
        <v/>
      </c>
      <c r="V215" s="11">
        <f>IF(OR($C215="",$I215=0),"",CEILING($T215/$I215,1))</f>
        <v/>
      </c>
      <c r="W215" s="6" t="n"/>
      <c r="X215">
        <f>IF(C215="","",LOWER(SUBSTITUTE(SUBSTITUTE(C215," ","-"),"'",""))&amp;".jpg")</f>
        <v/>
      </c>
      <c r="Y215">
        <f>IF(X215="","","/inventory/"&amp;X215)</f>
        <v/>
      </c>
      <c r="Z215">
        <f>IF(O215="Available","available",IF(OR(O215="Rented",O215="Cleaning",O215="Repair"),"unavailable",IF(O215="Retired","unavailable","")))</f>
        <v/>
      </c>
    </row>
    <row r="216" ht="150" customHeight="1">
      <c r="A216" t="inlineStr">
        <is>
          <t>W215</t>
        </is>
      </c>
      <c r="B216" s="6" t="n"/>
      <c r="C216" s="21" t="n"/>
      <c r="D216" s="25" t="n"/>
      <c r="E216" s="6" t="n"/>
      <c r="F216" s="19">
        <f>IF(E216="","",_xlfn.IMAGE(E216))</f>
        <v/>
      </c>
      <c r="G216" s="17" t="n"/>
      <c r="H216" s="39" t="n"/>
      <c r="I216" s="7" t="n"/>
      <c r="J216" s="25" t="n"/>
      <c r="K216" s="28" t="n"/>
      <c r="L216" s="6" t="n"/>
      <c r="M216" s="6" t="n"/>
      <c r="N216" s="6" t="n"/>
      <c r="O216" s="6" t="n"/>
      <c r="P216" s="8" t="n"/>
      <c r="Q216" s="7" t="n"/>
      <c r="R216" s="9" t="n"/>
      <c r="S216" s="10">
        <f>IF($C216="","",$I216*$R216)</f>
        <v/>
      </c>
      <c r="T216" s="10">
        <f>IF($C216="","",(IF($N216="Purchased",$H216,0)+$Q216))</f>
        <v/>
      </c>
      <c r="U216" s="10">
        <f>IF($C216="","",$S216-$T216)</f>
        <v/>
      </c>
      <c r="V216" s="11">
        <f>IF(OR($C216="",$I216=0),"",CEILING($T216/$I216,1))</f>
        <v/>
      </c>
      <c r="W216" s="6" t="n"/>
      <c r="X216">
        <f>IF(C216="","",LOWER(SUBSTITUTE(SUBSTITUTE(C216," ","-"),"'",""))&amp;".jpg")</f>
        <v/>
      </c>
      <c r="Y216">
        <f>IF(X216="","","/inventory/"&amp;X216)</f>
        <v/>
      </c>
      <c r="Z216">
        <f>IF(O216="Available","available",IF(OR(O216="Rented",O216="Cleaning",O216="Repair"),"unavailable",IF(O216="Retired","unavailable","")))</f>
        <v/>
      </c>
    </row>
    <row r="217" ht="150" customHeight="1">
      <c r="A217" t="inlineStr">
        <is>
          <t>W216</t>
        </is>
      </c>
      <c r="B217" s="6" t="n"/>
      <c r="C217" s="21" t="n"/>
      <c r="D217" s="25" t="n"/>
      <c r="E217" s="6" t="n"/>
      <c r="F217" s="19">
        <f>IF(E217="","",_xlfn.IMAGE(E217))</f>
        <v/>
      </c>
      <c r="G217" s="17" t="n"/>
      <c r="H217" s="39" t="n"/>
      <c r="I217" s="7" t="n"/>
      <c r="J217" s="25" t="n"/>
      <c r="K217" s="28" t="n"/>
      <c r="L217" s="6" t="n"/>
      <c r="M217" s="6" t="n"/>
      <c r="N217" s="6" t="n"/>
      <c r="O217" s="6" t="n"/>
      <c r="P217" s="8" t="n"/>
      <c r="Q217" s="7" t="n"/>
      <c r="R217" s="9" t="n"/>
      <c r="S217" s="10">
        <f>IF($C217="","",$I217*$R217)</f>
        <v/>
      </c>
      <c r="T217" s="10">
        <f>IF($C217="","",(IF($N217="Purchased",$H217,0)+$Q217))</f>
        <v/>
      </c>
      <c r="U217" s="10">
        <f>IF($C217="","",$S217-$T217)</f>
        <v/>
      </c>
      <c r="V217" s="11">
        <f>IF(OR($C217="",$I217=0),"",CEILING($T217/$I217,1))</f>
        <v/>
      </c>
      <c r="W217" s="6" t="n"/>
      <c r="X217">
        <f>IF(C217="","",LOWER(SUBSTITUTE(SUBSTITUTE(C217," ","-"),"'",""))&amp;".jpg")</f>
        <v/>
      </c>
      <c r="Y217">
        <f>IF(X217="","","/inventory/"&amp;X217)</f>
        <v/>
      </c>
      <c r="Z217">
        <f>IF(O217="Available","available",IF(OR(O217="Rented",O217="Cleaning",O217="Repair"),"unavailable",IF(O217="Retired","unavailable","")))</f>
        <v/>
      </c>
    </row>
    <row r="218" ht="150" customHeight="1">
      <c r="A218" t="inlineStr">
        <is>
          <t>W217</t>
        </is>
      </c>
      <c r="B218" s="6" t="n"/>
      <c r="C218" s="21" t="n"/>
      <c r="D218" s="25" t="n"/>
      <c r="E218" s="6" t="n"/>
      <c r="F218" s="19">
        <f>IF(E218="","",_xlfn.IMAGE(E218))</f>
        <v/>
      </c>
      <c r="G218" s="17" t="n"/>
      <c r="H218" s="39" t="n"/>
      <c r="I218" s="7" t="n"/>
      <c r="J218" s="25" t="n"/>
      <c r="K218" s="28" t="n"/>
      <c r="L218" s="6" t="n"/>
      <c r="M218" s="6" t="n"/>
      <c r="N218" s="6" t="n"/>
      <c r="O218" s="6" t="n"/>
      <c r="P218" s="8" t="n"/>
      <c r="Q218" s="7" t="n"/>
      <c r="R218" s="9" t="n"/>
      <c r="S218" s="10">
        <f>IF($C218="","",$I218*$R218)</f>
        <v/>
      </c>
      <c r="T218" s="10">
        <f>IF($C218="","",(IF($N218="Purchased",$H218,0)+$Q218))</f>
        <v/>
      </c>
      <c r="U218" s="10">
        <f>IF($C218="","",$S218-$T218)</f>
        <v/>
      </c>
      <c r="V218" s="11">
        <f>IF(OR($C218="",$I218=0),"",CEILING($T218/$I218,1))</f>
        <v/>
      </c>
      <c r="W218" s="6" t="n"/>
      <c r="X218">
        <f>IF(C218="","",LOWER(SUBSTITUTE(SUBSTITUTE(C218," ","-"),"'",""))&amp;".jpg")</f>
        <v/>
      </c>
      <c r="Y218">
        <f>IF(X218="","","/inventory/"&amp;X218)</f>
        <v/>
      </c>
      <c r="Z218">
        <f>IF(O218="Available","available",IF(OR(O218="Rented",O218="Cleaning",O218="Repair"),"unavailable",IF(O218="Retired","unavailable","")))</f>
        <v/>
      </c>
    </row>
    <row r="219" ht="150" customHeight="1">
      <c r="A219" t="inlineStr">
        <is>
          <t>W218</t>
        </is>
      </c>
      <c r="B219" s="6" t="n"/>
      <c r="C219" s="21" t="n"/>
      <c r="D219" s="25" t="n"/>
      <c r="E219" s="6" t="n"/>
      <c r="F219" s="19">
        <f>IF(E219="","",_xlfn.IMAGE(E219))</f>
        <v/>
      </c>
      <c r="G219" s="17" t="n"/>
      <c r="H219" s="39" t="n"/>
      <c r="I219" s="7" t="n"/>
      <c r="J219" s="25" t="n"/>
      <c r="K219" s="28" t="n"/>
      <c r="L219" s="6" t="n"/>
      <c r="M219" s="6" t="n"/>
      <c r="N219" s="6" t="n"/>
      <c r="O219" s="6" t="n"/>
      <c r="P219" s="8" t="n"/>
      <c r="Q219" s="7" t="n"/>
      <c r="R219" s="9" t="n"/>
      <c r="S219" s="10">
        <f>IF($C219="","",$I219*$R219)</f>
        <v/>
      </c>
      <c r="T219" s="10">
        <f>IF($C219="","",(IF($N219="Purchased",$H219,0)+$Q219))</f>
        <v/>
      </c>
      <c r="U219" s="10">
        <f>IF($C219="","",$S219-$T219)</f>
        <v/>
      </c>
      <c r="V219" s="11">
        <f>IF(OR($C219="",$I219=0),"",CEILING($T219/$I219,1))</f>
        <v/>
      </c>
      <c r="W219" s="6" t="n"/>
      <c r="X219">
        <f>IF(C219="","",LOWER(SUBSTITUTE(SUBSTITUTE(C219," ","-"),"'",""))&amp;".jpg")</f>
        <v/>
      </c>
      <c r="Y219">
        <f>IF(X219="","","/inventory/"&amp;X219)</f>
        <v/>
      </c>
      <c r="Z219">
        <f>IF(O219="Available","available",IF(OR(O219="Rented",O219="Cleaning",O219="Repair"),"unavailable",IF(O219="Retired","unavailable","")))</f>
        <v/>
      </c>
    </row>
    <row r="220" ht="150" customHeight="1">
      <c r="A220" t="inlineStr">
        <is>
          <t>W219</t>
        </is>
      </c>
      <c r="B220" s="6" t="n"/>
      <c r="C220" s="21" t="n"/>
      <c r="D220" s="25" t="n"/>
      <c r="E220" s="6" t="n"/>
      <c r="F220" s="19">
        <f>IF(E220="","",_xlfn.IMAGE(E220))</f>
        <v/>
      </c>
      <c r="G220" s="17" t="n"/>
      <c r="H220" s="39" t="n"/>
      <c r="I220" s="7" t="n"/>
      <c r="J220" s="25" t="n"/>
      <c r="K220" s="28" t="n"/>
      <c r="L220" s="6" t="n"/>
      <c r="M220" s="6" t="n"/>
      <c r="N220" s="6" t="n"/>
      <c r="O220" s="6" t="n"/>
      <c r="P220" s="8" t="n"/>
      <c r="Q220" s="7" t="n"/>
      <c r="R220" s="9" t="n"/>
      <c r="S220" s="10">
        <f>IF($C220="","",$I220*$R220)</f>
        <v/>
      </c>
      <c r="T220" s="10">
        <f>IF($C220="","",(IF($N220="Purchased",$H220,0)+$Q220))</f>
        <v/>
      </c>
      <c r="U220" s="10">
        <f>IF($C220="","",$S220-$T220)</f>
        <v/>
      </c>
      <c r="V220" s="11">
        <f>IF(OR($C220="",$I220=0),"",CEILING($T220/$I220,1))</f>
        <v/>
      </c>
      <c r="W220" s="6" t="n"/>
      <c r="X220">
        <f>IF(C220="","",LOWER(SUBSTITUTE(SUBSTITUTE(C220," ","-"),"'",""))&amp;".jpg")</f>
        <v/>
      </c>
      <c r="Y220">
        <f>IF(X220="","","/inventory/"&amp;X220)</f>
        <v/>
      </c>
      <c r="Z220">
        <f>IF(O220="Available","available",IF(OR(O220="Rented",O220="Cleaning",O220="Repair"),"unavailable",IF(O220="Retired","unavailable","")))</f>
        <v/>
      </c>
    </row>
    <row r="221" ht="150" customHeight="1">
      <c r="A221" t="inlineStr">
        <is>
          <t>W220</t>
        </is>
      </c>
      <c r="B221" s="6" t="n"/>
      <c r="C221" s="21" t="n"/>
      <c r="D221" s="25" t="n"/>
      <c r="E221" s="6" t="n"/>
      <c r="F221" s="19">
        <f>IF(E221="","",_xlfn.IMAGE(E221))</f>
        <v/>
      </c>
      <c r="G221" s="17" t="n"/>
      <c r="H221" s="39" t="n"/>
      <c r="I221" s="7" t="n"/>
      <c r="J221" s="25" t="n"/>
      <c r="K221" s="28" t="n"/>
      <c r="L221" s="6" t="n"/>
      <c r="M221" s="6" t="n"/>
      <c r="N221" s="6" t="n"/>
      <c r="O221" s="6" t="n"/>
      <c r="P221" s="8" t="n"/>
      <c r="Q221" s="7" t="n"/>
      <c r="R221" s="9" t="n"/>
      <c r="S221" s="10">
        <f>IF($C221="","",$I221*$R221)</f>
        <v/>
      </c>
      <c r="T221" s="10">
        <f>IF($C221="","",(IF($N221="Purchased",$H221,0)+$Q221))</f>
        <v/>
      </c>
      <c r="U221" s="10">
        <f>IF($C221="","",$S221-$T221)</f>
        <v/>
      </c>
      <c r="V221" s="11">
        <f>IF(OR($C221="",$I221=0),"",CEILING($T221/$I221,1))</f>
        <v/>
      </c>
      <c r="W221" s="6" t="n"/>
      <c r="X221">
        <f>IF(C221="","",LOWER(SUBSTITUTE(SUBSTITUTE(C221," ","-"),"'",""))&amp;".jpg")</f>
        <v/>
      </c>
      <c r="Y221">
        <f>IF(X221="","","/inventory/"&amp;X221)</f>
        <v/>
      </c>
      <c r="Z221">
        <f>IF(O221="Available","available",IF(OR(O221="Rented",O221="Cleaning",O221="Repair"),"unavailable",IF(O221="Retired","unavailable","")))</f>
        <v/>
      </c>
    </row>
    <row r="222" ht="150" customHeight="1">
      <c r="A222" t="inlineStr">
        <is>
          <t>W221</t>
        </is>
      </c>
      <c r="B222" s="6" t="n"/>
      <c r="C222" s="21" t="n"/>
      <c r="D222" s="25" t="n"/>
      <c r="E222" s="6" t="n"/>
      <c r="F222" s="19">
        <f>IF(E222="","",_xlfn.IMAGE(E222))</f>
        <v/>
      </c>
      <c r="G222" s="17" t="n"/>
      <c r="H222" s="39" t="n"/>
      <c r="I222" s="7" t="n"/>
      <c r="J222" s="25" t="n"/>
      <c r="K222" s="28" t="n"/>
      <c r="L222" s="6" t="n"/>
      <c r="M222" s="6" t="n"/>
      <c r="N222" s="6" t="n"/>
      <c r="O222" s="6" t="n"/>
      <c r="P222" s="8" t="n"/>
      <c r="Q222" s="7" t="n"/>
      <c r="R222" s="9" t="n"/>
      <c r="S222" s="10">
        <f>IF($C222="","",$I222*$R222)</f>
        <v/>
      </c>
      <c r="T222" s="10">
        <f>IF($C222="","",(IF($N222="Purchased",$H222,0)+$Q222))</f>
        <v/>
      </c>
      <c r="U222" s="10">
        <f>IF($C222="","",$S222-$T222)</f>
        <v/>
      </c>
      <c r="V222" s="11">
        <f>IF(OR($C222="",$I222=0),"",CEILING($T222/$I222,1))</f>
        <v/>
      </c>
      <c r="W222" s="6" t="n"/>
      <c r="X222">
        <f>IF(C222="","",LOWER(SUBSTITUTE(SUBSTITUTE(C222," ","-"),"'",""))&amp;".jpg")</f>
        <v/>
      </c>
      <c r="Y222">
        <f>IF(X222="","","/inventory/"&amp;X222)</f>
        <v/>
      </c>
      <c r="Z222">
        <f>IF(O222="Available","available",IF(OR(O222="Rented",O222="Cleaning",O222="Repair"),"unavailable",IF(O222="Retired","unavailable","")))</f>
        <v/>
      </c>
    </row>
    <row r="223" ht="150" customHeight="1">
      <c r="A223" t="inlineStr">
        <is>
          <t>W222</t>
        </is>
      </c>
      <c r="B223" s="6" t="n"/>
      <c r="C223" s="21" t="n"/>
      <c r="D223" s="25" t="n"/>
      <c r="E223" s="6" t="n"/>
      <c r="F223" s="19">
        <f>IF(E223="","",_xlfn.IMAGE(E223))</f>
        <v/>
      </c>
      <c r="G223" s="17" t="n"/>
      <c r="H223" s="39" t="n"/>
      <c r="I223" s="7" t="n"/>
      <c r="J223" s="25" t="n"/>
      <c r="K223" s="28" t="n"/>
      <c r="L223" s="6" t="n"/>
      <c r="M223" s="6" t="n"/>
      <c r="N223" s="6" t="n"/>
      <c r="O223" s="6" t="n"/>
      <c r="P223" s="8" t="n"/>
      <c r="Q223" s="7" t="n"/>
      <c r="R223" s="9" t="n"/>
      <c r="S223" s="10">
        <f>IF($C223="","",$I223*$R223)</f>
        <v/>
      </c>
      <c r="T223" s="10">
        <f>IF($C223="","",(IF($N223="Purchased",$H223,0)+$Q223))</f>
        <v/>
      </c>
      <c r="U223" s="10">
        <f>IF($C223="","",$S223-$T223)</f>
        <v/>
      </c>
      <c r="V223" s="11">
        <f>IF(OR($C223="",$I223=0),"",CEILING($T223/$I223,1))</f>
        <v/>
      </c>
      <c r="W223" s="6" t="n"/>
      <c r="X223">
        <f>IF(C223="","",LOWER(SUBSTITUTE(SUBSTITUTE(C223," ","-"),"'",""))&amp;".jpg")</f>
        <v/>
      </c>
      <c r="Y223">
        <f>IF(X223="","","/inventory/"&amp;X223)</f>
        <v/>
      </c>
      <c r="Z223">
        <f>IF(O223="Available","available",IF(OR(O223="Rented",O223="Cleaning",O223="Repair"),"unavailable",IF(O223="Retired","unavailable","")))</f>
        <v/>
      </c>
    </row>
    <row r="224" ht="150" customHeight="1">
      <c r="A224" t="inlineStr">
        <is>
          <t>W223</t>
        </is>
      </c>
      <c r="B224" s="6" t="n"/>
      <c r="C224" s="21" t="n"/>
      <c r="D224" s="25" t="n"/>
      <c r="E224" s="6" t="n"/>
      <c r="F224" s="19">
        <f>IF(E224="","",_xlfn.IMAGE(E224))</f>
        <v/>
      </c>
      <c r="G224" s="17" t="n"/>
      <c r="H224" s="39" t="n"/>
      <c r="I224" s="7" t="n"/>
      <c r="J224" s="25" t="n"/>
      <c r="K224" s="28" t="n"/>
      <c r="L224" s="6" t="n"/>
      <c r="M224" s="6" t="n"/>
      <c r="N224" s="6" t="n"/>
      <c r="O224" s="6" t="n"/>
      <c r="P224" s="8" t="n"/>
      <c r="Q224" s="7" t="n"/>
      <c r="R224" s="9" t="n"/>
      <c r="S224" s="10">
        <f>IF($C224="","",$I224*$R224)</f>
        <v/>
      </c>
      <c r="T224" s="10">
        <f>IF($C224="","",(IF($N224="Purchased",$H224,0)+$Q224))</f>
        <v/>
      </c>
      <c r="U224" s="10">
        <f>IF($C224="","",$S224-$T224)</f>
        <v/>
      </c>
      <c r="V224" s="11">
        <f>IF(OR($C224="",$I224=0),"",CEILING($T224/$I224,1))</f>
        <v/>
      </c>
      <c r="W224" s="6" t="n"/>
      <c r="X224">
        <f>IF(C224="","",LOWER(SUBSTITUTE(SUBSTITUTE(C224," ","-"),"'",""))&amp;".jpg")</f>
        <v/>
      </c>
      <c r="Y224">
        <f>IF(X224="","","/inventory/"&amp;X224)</f>
        <v/>
      </c>
      <c r="Z224">
        <f>IF(O224="Available","available",IF(OR(O224="Rented",O224="Cleaning",O224="Repair"),"unavailable",IF(O224="Retired","unavailable","")))</f>
        <v/>
      </c>
    </row>
    <row r="225" ht="150" customHeight="1">
      <c r="A225" t="inlineStr">
        <is>
          <t>W224</t>
        </is>
      </c>
      <c r="B225" s="6" t="n"/>
      <c r="C225" s="21" t="n"/>
      <c r="D225" s="25" t="n"/>
      <c r="E225" s="6" t="n"/>
      <c r="F225" s="19">
        <f>IF(E225="","",_xlfn.IMAGE(E225))</f>
        <v/>
      </c>
      <c r="G225" s="17" t="n"/>
      <c r="H225" s="39" t="n"/>
      <c r="I225" s="7" t="n"/>
      <c r="J225" s="25" t="n"/>
      <c r="K225" s="28" t="n"/>
      <c r="L225" s="6" t="n"/>
      <c r="M225" s="6" t="n"/>
      <c r="N225" s="6" t="n"/>
      <c r="O225" s="6" t="n"/>
      <c r="P225" s="8" t="n"/>
      <c r="Q225" s="7" t="n"/>
      <c r="R225" s="9" t="n"/>
      <c r="S225" s="10">
        <f>IF($C225="","",$I225*$R225)</f>
        <v/>
      </c>
      <c r="T225" s="10">
        <f>IF($C225="","",(IF($N225="Purchased",$H225,0)+$Q225))</f>
        <v/>
      </c>
      <c r="U225" s="10">
        <f>IF($C225="","",$S225-$T225)</f>
        <v/>
      </c>
      <c r="V225" s="11">
        <f>IF(OR($C225="",$I225=0),"",CEILING($T225/$I225,1))</f>
        <v/>
      </c>
      <c r="W225" s="6" t="n"/>
      <c r="X225">
        <f>IF(C225="","",LOWER(SUBSTITUTE(SUBSTITUTE(C225," ","-"),"'",""))&amp;".jpg")</f>
        <v/>
      </c>
      <c r="Y225">
        <f>IF(X225="","","/inventory/"&amp;X225)</f>
        <v/>
      </c>
      <c r="Z225">
        <f>IF(O225="Available","available",IF(OR(O225="Rented",O225="Cleaning",O225="Repair"),"unavailable",IF(O225="Retired","unavailable","")))</f>
        <v/>
      </c>
    </row>
    <row r="226" ht="150" customHeight="1">
      <c r="A226" t="inlineStr">
        <is>
          <t>W225</t>
        </is>
      </c>
      <c r="B226" s="6" t="n"/>
      <c r="C226" s="21" t="n"/>
      <c r="D226" s="25" t="n"/>
      <c r="E226" s="6" t="n"/>
      <c r="F226" s="19">
        <f>IF(E226="","",_xlfn.IMAGE(E226))</f>
        <v/>
      </c>
      <c r="G226" s="17" t="n"/>
      <c r="H226" s="39" t="n"/>
      <c r="I226" s="7" t="n"/>
      <c r="J226" s="25" t="n"/>
      <c r="K226" s="28" t="n"/>
      <c r="L226" s="6" t="n"/>
      <c r="M226" s="6" t="n"/>
      <c r="N226" s="6" t="n"/>
      <c r="O226" s="6" t="n"/>
      <c r="P226" s="8" t="n"/>
      <c r="Q226" s="7" t="n"/>
      <c r="R226" s="9" t="n"/>
      <c r="S226" s="10">
        <f>IF($C226="","",$I226*$R226)</f>
        <v/>
      </c>
      <c r="T226" s="10">
        <f>IF($C226="","",(IF($N226="Purchased",$H226,0)+$Q226))</f>
        <v/>
      </c>
      <c r="U226" s="10">
        <f>IF($C226="","",$S226-$T226)</f>
        <v/>
      </c>
      <c r="V226" s="11">
        <f>IF(OR($C226="",$I226=0),"",CEILING($T226/$I226,1))</f>
        <v/>
      </c>
      <c r="W226" s="6" t="n"/>
      <c r="X226">
        <f>IF(C226="","",LOWER(SUBSTITUTE(SUBSTITUTE(C226," ","-"),"'",""))&amp;".jpg")</f>
        <v/>
      </c>
      <c r="Y226">
        <f>IF(X226="","","/inventory/"&amp;X226)</f>
        <v/>
      </c>
      <c r="Z226">
        <f>IF(O226="Available","available",IF(OR(O226="Rented",O226="Cleaning",O226="Repair"),"unavailable",IF(O226="Retired","unavailable","")))</f>
        <v/>
      </c>
    </row>
    <row r="227" ht="150" customHeight="1">
      <c r="A227" t="inlineStr">
        <is>
          <t>W226</t>
        </is>
      </c>
      <c r="B227" s="6" t="n"/>
      <c r="C227" s="21" t="n"/>
      <c r="D227" s="25" t="n"/>
      <c r="E227" s="6" t="n"/>
      <c r="F227" s="19">
        <f>IF(E227="","",_xlfn.IMAGE(E227))</f>
        <v/>
      </c>
      <c r="G227" s="17" t="n"/>
      <c r="H227" s="39" t="n"/>
      <c r="I227" s="7" t="n"/>
      <c r="J227" s="25" t="n"/>
      <c r="K227" s="28" t="n"/>
      <c r="L227" s="6" t="n"/>
      <c r="M227" s="6" t="n"/>
      <c r="N227" s="6" t="n"/>
      <c r="O227" s="6" t="n"/>
      <c r="P227" s="8" t="n"/>
      <c r="Q227" s="7" t="n"/>
      <c r="R227" s="9" t="n"/>
      <c r="S227" s="10">
        <f>IF($C227="","",$I227*$R227)</f>
        <v/>
      </c>
      <c r="T227" s="10">
        <f>IF($C227="","",(IF($N227="Purchased",$H227,0)+$Q227))</f>
        <v/>
      </c>
      <c r="U227" s="10">
        <f>IF($C227="","",$S227-$T227)</f>
        <v/>
      </c>
      <c r="V227" s="11">
        <f>IF(OR($C227="",$I227=0),"",CEILING($T227/$I227,1))</f>
        <v/>
      </c>
      <c r="W227" s="6" t="n"/>
      <c r="X227">
        <f>IF(C227="","",LOWER(SUBSTITUTE(SUBSTITUTE(C227," ","-"),"'",""))&amp;".jpg")</f>
        <v/>
      </c>
      <c r="Y227">
        <f>IF(X227="","","/inventory/"&amp;X227)</f>
        <v/>
      </c>
      <c r="Z227">
        <f>IF(O227="Available","available",IF(OR(O227="Rented",O227="Cleaning",O227="Repair"),"unavailable",IF(O227="Retired","unavailable","")))</f>
        <v/>
      </c>
    </row>
    <row r="228" ht="150" customHeight="1">
      <c r="A228" t="inlineStr">
        <is>
          <t>W227</t>
        </is>
      </c>
      <c r="B228" s="6" t="n"/>
      <c r="C228" s="21" t="n"/>
      <c r="D228" s="25" t="n"/>
      <c r="E228" s="6" t="n"/>
      <c r="F228" s="19">
        <f>IF(E228="","",_xlfn.IMAGE(E228))</f>
        <v/>
      </c>
      <c r="G228" s="17" t="n"/>
      <c r="H228" s="39" t="n"/>
      <c r="I228" s="7" t="n"/>
      <c r="J228" s="25" t="n"/>
      <c r="K228" s="28" t="n"/>
      <c r="L228" s="6" t="n"/>
      <c r="M228" s="6" t="n"/>
      <c r="N228" s="6" t="n"/>
      <c r="O228" s="6" t="n"/>
      <c r="P228" s="8" t="n"/>
      <c r="Q228" s="7" t="n"/>
      <c r="R228" s="9" t="n"/>
      <c r="S228" s="10">
        <f>IF($C228="","",$I228*$R228)</f>
        <v/>
      </c>
      <c r="T228" s="10">
        <f>IF($C228="","",(IF($N228="Purchased",$H228,0)+$Q228))</f>
        <v/>
      </c>
      <c r="U228" s="10">
        <f>IF($C228="","",$S228-$T228)</f>
        <v/>
      </c>
      <c r="V228" s="11">
        <f>IF(OR($C228="",$I228=0),"",CEILING($T228/$I228,1))</f>
        <v/>
      </c>
      <c r="W228" s="6" t="n"/>
      <c r="X228">
        <f>IF(C228="","",LOWER(SUBSTITUTE(SUBSTITUTE(C228," ","-"),"'",""))&amp;".jpg")</f>
        <v/>
      </c>
      <c r="Y228">
        <f>IF(X228="","","/inventory/"&amp;X228)</f>
        <v/>
      </c>
      <c r="Z228">
        <f>IF(O228="Available","available",IF(OR(O228="Rented",O228="Cleaning",O228="Repair"),"unavailable",IF(O228="Retired","unavailable","")))</f>
        <v/>
      </c>
    </row>
    <row r="229" ht="150" customHeight="1">
      <c r="A229" t="inlineStr">
        <is>
          <t>W228</t>
        </is>
      </c>
      <c r="B229" s="6" t="n"/>
      <c r="C229" s="21" t="n"/>
      <c r="D229" s="25" t="n"/>
      <c r="E229" s="6" t="n"/>
      <c r="F229" s="19">
        <f>IF(E229="","",_xlfn.IMAGE(E229))</f>
        <v/>
      </c>
      <c r="G229" s="17" t="n"/>
      <c r="H229" s="39" t="n"/>
      <c r="I229" s="7" t="n"/>
      <c r="J229" s="25" t="n"/>
      <c r="K229" s="28" t="n"/>
      <c r="L229" s="6" t="n"/>
      <c r="M229" s="6" t="n"/>
      <c r="N229" s="6" t="n"/>
      <c r="O229" s="6" t="n"/>
      <c r="P229" s="8" t="n"/>
      <c r="Q229" s="7" t="n"/>
      <c r="R229" s="9" t="n"/>
      <c r="S229" s="10">
        <f>IF($C229="","",$I229*$R229)</f>
        <v/>
      </c>
      <c r="T229" s="10">
        <f>IF($C229="","",(IF($N229="Purchased",$H229,0)+$Q229))</f>
        <v/>
      </c>
      <c r="U229" s="10">
        <f>IF($C229="","",$S229-$T229)</f>
        <v/>
      </c>
      <c r="V229" s="11">
        <f>IF(OR($C229="",$I229=0),"",CEILING($T229/$I229,1))</f>
        <v/>
      </c>
      <c r="W229" s="6" t="n"/>
      <c r="X229">
        <f>IF(C229="","",LOWER(SUBSTITUTE(SUBSTITUTE(C229," ","-"),"'",""))&amp;".jpg")</f>
        <v/>
      </c>
      <c r="Y229">
        <f>IF(X229="","","/inventory/"&amp;X229)</f>
        <v/>
      </c>
      <c r="Z229">
        <f>IF(O229="Available","available",IF(OR(O229="Rented",O229="Cleaning",O229="Repair"),"unavailable",IF(O229="Retired","unavailable","")))</f>
        <v/>
      </c>
    </row>
    <row r="230" ht="150" customHeight="1">
      <c r="A230" t="inlineStr">
        <is>
          <t>W229</t>
        </is>
      </c>
      <c r="B230" s="6" t="n"/>
      <c r="C230" s="21" t="n"/>
      <c r="D230" s="25" t="n"/>
      <c r="E230" s="6" t="n"/>
      <c r="F230" s="19">
        <f>IF(E230="","",_xlfn.IMAGE(E230))</f>
        <v/>
      </c>
      <c r="G230" s="17" t="n"/>
      <c r="H230" s="39" t="n"/>
      <c r="I230" s="7" t="n"/>
      <c r="J230" s="25" t="n"/>
      <c r="K230" s="28" t="n"/>
      <c r="L230" s="6" t="n"/>
      <c r="M230" s="6" t="n"/>
      <c r="N230" s="6" t="n"/>
      <c r="O230" s="6" t="n"/>
      <c r="P230" s="8" t="n"/>
      <c r="Q230" s="7" t="n"/>
      <c r="R230" s="9" t="n"/>
      <c r="S230" s="10">
        <f>IF($C230="","",$I230*$R230)</f>
        <v/>
      </c>
      <c r="T230" s="10">
        <f>IF($C230="","",(IF($N230="Purchased",$H230,0)+$Q230))</f>
        <v/>
      </c>
      <c r="U230" s="10">
        <f>IF($C230="","",$S230-$T230)</f>
        <v/>
      </c>
      <c r="V230" s="11">
        <f>IF(OR($C230="",$I230=0),"",CEILING($T230/$I230,1))</f>
        <v/>
      </c>
      <c r="W230" s="6" t="n"/>
      <c r="X230">
        <f>IF(C230="","",LOWER(SUBSTITUTE(SUBSTITUTE(C230," ","-"),"'",""))&amp;".jpg")</f>
        <v/>
      </c>
      <c r="Y230">
        <f>IF(X230="","","/inventory/"&amp;X230)</f>
        <v/>
      </c>
      <c r="Z230">
        <f>IF(O230="Available","available",IF(OR(O230="Rented",O230="Cleaning",O230="Repair"),"unavailable",IF(O230="Retired","unavailable","")))</f>
        <v/>
      </c>
    </row>
    <row r="231" ht="150" customHeight="1">
      <c r="A231" t="inlineStr">
        <is>
          <t>W230</t>
        </is>
      </c>
      <c r="B231" s="6" t="n"/>
      <c r="C231" s="21" t="n"/>
      <c r="D231" s="25" t="n"/>
      <c r="E231" s="6" t="n"/>
      <c r="F231" s="19">
        <f>IF(E231="","",_xlfn.IMAGE(E231))</f>
        <v/>
      </c>
      <c r="G231" s="17" t="n"/>
      <c r="H231" s="39" t="n"/>
      <c r="I231" s="7" t="n"/>
      <c r="J231" s="25" t="n"/>
      <c r="K231" s="28" t="n"/>
      <c r="L231" s="6" t="n"/>
      <c r="M231" s="6" t="n"/>
      <c r="N231" s="6" t="n"/>
      <c r="O231" s="6" t="n"/>
      <c r="P231" s="8" t="n"/>
      <c r="Q231" s="7" t="n"/>
      <c r="R231" s="9" t="n"/>
      <c r="S231" s="10">
        <f>IF($C231="","",$I231*$R231)</f>
        <v/>
      </c>
      <c r="T231" s="10">
        <f>IF($C231="","",(IF($N231="Purchased",$H231,0)+$Q231))</f>
        <v/>
      </c>
      <c r="U231" s="10">
        <f>IF($C231="","",$S231-$T231)</f>
        <v/>
      </c>
      <c r="V231" s="11">
        <f>IF(OR($C231="",$I231=0),"",CEILING($T231/$I231,1))</f>
        <v/>
      </c>
      <c r="W231" s="6" t="n"/>
      <c r="X231">
        <f>IF(C231="","",LOWER(SUBSTITUTE(SUBSTITUTE(C231," ","-"),"'",""))&amp;".jpg")</f>
        <v/>
      </c>
      <c r="Y231">
        <f>IF(X231="","","/inventory/"&amp;X231)</f>
        <v/>
      </c>
      <c r="Z231">
        <f>IF(O231="Available","available",IF(OR(O231="Rented",O231="Cleaning",O231="Repair"),"unavailable",IF(O231="Retired","unavailable","")))</f>
        <v/>
      </c>
    </row>
    <row r="232" ht="150" customHeight="1">
      <c r="A232" t="inlineStr">
        <is>
          <t>W231</t>
        </is>
      </c>
      <c r="B232" s="6" t="n"/>
      <c r="C232" s="21" t="n"/>
      <c r="D232" s="25" t="n"/>
      <c r="E232" s="6" t="n"/>
      <c r="F232" s="19">
        <f>IF(E232="","",_xlfn.IMAGE(E232))</f>
        <v/>
      </c>
      <c r="G232" s="17" t="n"/>
      <c r="H232" s="39" t="n"/>
      <c r="I232" s="7" t="n"/>
      <c r="J232" s="25" t="n"/>
      <c r="K232" s="28" t="n"/>
      <c r="L232" s="6" t="n"/>
      <c r="M232" s="6" t="n"/>
      <c r="N232" s="6" t="n"/>
      <c r="O232" s="6" t="n"/>
      <c r="P232" s="8" t="n"/>
      <c r="Q232" s="7" t="n"/>
      <c r="R232" s="9" t="n"/>
      <c r="S232" s="10">
        <f>IF($C232="","",$I232*$R232)</f>
        <v/>
      </c>
      <c r="T232" s="10">
        <f>IF($C232="","",(IF($N232="Purchased",$H232,0)+$Q232))</f>
        <v/>
      </c>
      <c r="U232" s="10">
        <f>IF($C232="","",$S232-$T232)</f>
        <v/>
      </c>
      <c r="V232" s="11">
        <f>IF(OR($C232="",$I232=0),"",CEILING($T232/$I232,1))</f>
        <v/>
      </c>
      <c r="W232" s="6" t="n"/>
      <c r="X232">
        <f>IF(C232="","",LOWER(SUBSTITUTE(SUBSTITUTE(C232," ","-"),"'",""))&amp;".jpg")</f>
        <v/>
      </c>
      <c r="Y232">
        <f>IF(X232="","","/inventory/"&amp;X232)</f>
        <v/>
      </c>
      <c r="Z232">
        <f>IF(O232="Available","available",IF(OR(O232="Rented",O232="Cleaning",O232="Repair"),"unavailable",IF(O232="Retired","unavailable","")))</f>
        <v/>
      </c>
    </row>
    <row r="233" ht="150" customHeight="1">
      <c r="A233" t="inlineStr">
        <is>
          <t>W232</t>
        </is>
      </c>
      <c r="B233" s="6" t="n"/>
      <c r="C233" s="21" t="n"/>
      <c r="D233" s="25" t="n"/>
      <c r="E233" s="6" t="n"/>
      <c r="F233" s="19">
        <f>IF(E233="","",_xlfn.IMAGE(E233))</f>
        <v/>
      </c>
      <c r="G233" s="17" t="n"/>
      <c r="H233" s="39" t="n"/>
      <c r="I233" s="7" t="n"/>
      <c r="J233" s="25" t="n"/>
      <c r="K233" s="28" t="n"/>
      <c r="L233" s="6" t="n"/>
      <c r="M233" s="6" t="n"/>
      <c r="N233" s="6" t="n"/>
      <c r="O233" s="6" t="n"/>
      <c r="P233" s="8" t="n"/>
      <c r="Q233" s="7" t="n"/>
      <c r="R233" s="9" t="n"/>
      <c r="S233" s="10">
        <f>IF($C233="","",$I233*$R233)</f>
        <v/>
      </c>
      <c r="T233" s="10">
        <f>IF($C233="","",(IF($N233="Purchased",$H233,0)+$Q233))</f>
        <v/>
      </c>
      <c r="U233" s="10">
        <f>IF($C233="","",$S233-$T233)</f>
        <v/>
      </c>
      <c r="V233" s="11">
        <f>IF(OR($C233="",$I233=0),"",CEILING($T233/$I233,1))</f>
        <v/>
      </c>
      <c r="W233" s="6" t="n"/>
      <c r="X233">
        <f>IF(C233="","",LOWER(SUBSTITUTE(SUBSTITUTE(C233," ","-"),"'",""))&amp;".jpg")</f>
        <v/>
      </c>
      <c r="Y233">
        <f>IF(X233="","","/inventory/"&amp;X233)</f>
        <v/>
      </c>
      <c r="Z233">
        <f>IF(O233="Available","available",IF(OR(O233="Rented",O233="Cleaning",O233="Repair"),"unavailable",IF(O233="Retired","unavailable","")))</f>
        <v/>
      </c>
    </row>
    <row r="234" ht="150" customHeight="1">
      <c r="A234" t="inlineStr">
        <is>
          <t>W233</t>
        </is>
      </c>
      <c r="B234" s="6" t="n"/>
      <c r="C234" s="21" t="n"/>
      <c r="D234" s="25" t="n"/>
      <c r="E234" s="6" t="n"/>
      <c r="F234" s="19">
        <f>IF(E234="","",_xlfn.IMAGE(E234))</f>
        <v/>
      </c>
      <c r="G234" s="17" t="n"/>
      <c r="H234" s="39" t="n"/>
      <c r="I234" s="7" t="n"/>
      <c r="J234" s="25" t="n"/>
      <c r="K234" s="28" t="n"/>
      <c r="L234" s="6" t="n"/>
      <c r="M234" s="6" t="n"/>
      <c r="N234" s="6" t="n"/>
      <c r="O234" s="6" t="n"/>
      <c r="P234" s="8" t="n"/>
      <c r="Q234" s="7" t="n"/>
      <c r="R234" s="9" t="n"/>
      <c r="S234" s="10">
        <f>IF($C234="","",$I234*$R234)</f>
        <v/>
      </c>
      <c r="T234" s="10">
        <f>IF($C234="","",(IF($N234="Purchased",$H234,0)+$Q234))</f>
        <v/>
      </c>
      <c r="U234" s="10">
        <f>IF($C234="","",$S234-$T234)</f>
        <v/>
      </c>
      <c r="V234" s="11">
        <f>IF(OR($C234="",$I234=0),"",CEILING($T234/$I234,1))</f>
        <v/>
      </c>
      <c r="W234" s="6" t="n"/>
      <c r="X234">
        <f>IF(C234="","",LOWER(SUBSTITUTE(SUBSTITUTE(C234," ","-"),"'",""))&amp;".jpg")</f>
        <v/>
      </c>
      <c r="Y234">
        <f>IF(X234="","","/inventory/"&amp;X234)</f>
        <v/>
      </c>
      <c r="Z234">
        <f>IF(O234="Available","available",IF(OR(O234="Rented",O234="Cleaning",O234="Repair"),"unavailable",IF(O234="Retired","unavailable","")))</f>
        <v/>
      </c>
    </row>
    <row r="235" ht="150" customHeight="1">
      <c r="A235" t="inlineStr">
        <is>
          <t>W234</t>
        </is>
      </c>
      <c r="B235" s="6" t="n"/>
      <c r="C235" s="21" t="n"/>
      <c r="D235" s="25" t="n"/>
      <c r="E235" s="6" t="n"/>
      <c r="F235" s="19">
        <f>IF(E235="","",_xlfn.IMAGE(E235))</f>
        <v/>
      </c>
      <c r="G235" s="17" t="n"/>
      <c r="H235" s="39" t="n"/>
      <c r="I235" s="7" t="n"/>
      <c r="J235" s="25" t="n"/>
      <c r="K235" s="28" t="n"/>
      <c r="L235" s="6" t="n"/>
      <c r="M235" s="6" t="n"/>
      <c r="N235" s="6" t="n"/>
      <c r="O235" s="6" t="n"/>
      <c r="P235" s="8" t="n"/>
      <c r="Q235" s="7" t="n"/>
      <c r="R235" s="9" t="n"/>
      <c r="S235" s="10">
        <f>IF($C235="","",$I235*$R235)</f>
        <v/>
      </c>
      <c r="T235" s="10">
        <f>IF($C235="","",(IF($N235="Purchased",$H235,0)+$Q235))</f>
        <v/>
      </c>
      <c r="U235" s="10">
        <f>IF($C235="","",$S235-$T235)</f>
        <v/>
      </c>
      <c r="V235" s="11">
        <f>IF(OR($C235="",$I235=0),"",CEILING($T235/$I235,1))</f>
        <v/>
      </c>
      <c r="W235" s="6" t="n"/>
      <c r="X235">
        <f>IF(C235="","",LOWER(SUBSTITUTE(SUBSTITUTE(C235," ","-"),"'",""))&amp;".jpg")</f>
        <v/>
      </c>
      <c r="Y235">
        <f>IF(X235="","","/inventory/"&amp;X235)</f>
        <v/>
      </c>
      <c r="Z235">
        <f>IF(O235="Available","available",IF(OR(O235="Rented",O235="Cleaning",O235="Repair"),"unavailable",IF(O235="Retired","unavailable","")))</f>
        <v/>
      </c>
    </row>
    <row r="236" ht="150" customHeight="1">
      <c r="A236" t="inlineStr">
        <is>
          <t>W235</t>
        </is>
      </c>
      <c r="B236" s="6" t="n"/>
      <c r="C236" s="21" t="n"/>
      <c r="D236" s="25" t="n"/>
      <c r="E236" s="6" t="n"/>
      <c r="F236" s="19">
        <f>IF(E236="","",_xlfn.IMAGE(E236))</f>
        <v/>
      </c>
      <c r="G236" s="17" t="n"/>
      <c r="H236" s="39" t="n"/>
      <c r="I236" s="7" t="n"/>
      <c r="J236" s="25" t="n"/>
      <c r="K236" s="28" t="n"/>
      <c r="L236" s="6" t="n"/>
      <c r="M236" s="6" t="n"/>
      <c r="N236" s="6" t="n"/>
      <c r="O236" s="6" t="n"/>
      <c r="P236" s="8" t="n"/>
      <c r="Q236" s="7" t="n"/>
      <c r="R236" s="9" t="n"/>
      <c r="S236" s="10">
        <f>IF($C236="","",$I236*$R236)</f>
        <v/>
      </c>
      <c r="T236" s="10">
        <f>IF($C236="","",(IF($N236="Purchased",$H236,0)+$Q236))</f>
        <v/>
      </c>
      <c r="U236" s="10">
        <f>IF($C236="","",$S236-$T236)</f>
        <v/>
      </c>
      <c r="V236" s="11">
        <f>IF(OR($C236="",$I236=0),"",CEILING($T236/$I236,1))</f>
        <v/>
      </c>
      <c r="W236" s="6" t="n"/>
      <c r="X236">
        <f>IF(C236="","",LOWER(SUBSTITUTE(SUBSTITUTE(C236," ","-"),"'",""))&amp;".jpg")</f>
        <v/>
      </c>
      <c r="Y236">
        <f>IF(X236="","","/inventory/"&amp;X236)</f>
        <v/>
      </c>
      <c r="Z236">
        <f>IF(O236="Available","available",IF(OR(O236="Rented",O236="Cleaning",O236="Repair"),"unavailable",IF(O236="Retired","unavailable","")))</f>
        <v/>
      </c>
    </row>
    <row r="237" ht="150" customHeight="1">
      <c r="A237" t="inlineStr">
        <is>
          <t>W236</t>
        </is>
      </c>
      <c r="B237" s="6" t="n"/>
      <c r="C237" s="21" t="n"/>
      <c r="D237" s="25" t="n"/>
      <c r="E237" s="6" t="n"/>
      <c r="F237" s="19">
        <f>IF(E237="","",_xlfn.IMAGE(E237))</f>
        <v/>
      </c>
      <c r="G237" s="17" t="n"/>
      <c r="H237" s="39" t="n"/>
      <c r="I237" s="7" t="n"/>
      <c r="J237" s="25" t="n"/>
      <c r="K237" s="28" t="n"/>
      <c r="L237" s="6" t="n"/>
      <c r="M237" s="6" t="n"/>
      <c r="N237" s="6" t="n"/>
      <c r="O237" s="6" t="n"/>
      <c r="P237" s="8" t="n"/>
      <c r="Q237" s="7" t="n"/>
      <c r="R237" s="9" t="n"/>
      <c r="S237" s="10">
        <f>IF($C237="","",$I237*$R237)</f>
        <v/>
      </c>
      <c r="T237" s="10">
        <f>IF($C237="","",(IF($N237="Purchased",$H237,0)+$Q237))</f>
        <v/>
      </c>
      <c r="U237" s="10">
        <f>IF($C237="","",$S237-$T237)</f>
        <v/>
      </c>
      <c r="V237" s="11">
        <f>IF(OR($C237="",$I237=0),"",CEILING($T237/$I237,1))</f>
        <v/>
      </c>
      <c r="W237" s="6" t="n"/>
      <c r="X237">
        <f>IF(C237="","",LOWER(SUBSTITUTE(SUBSTITUTE(C237," ","-"),"'",""))&amp;".jpg")</f>
        <v/>
      </c>
      <c r="Y237">
        <f>IF(X237="","","/inventory/"&amp;X237)</f>
        <v/>
      </c>
      <c r="Z237">
        <f>IF(O237="Available","available",IF(OR(O237="Rented",O237="Cleaning",O237="Repair"),"unavailable",IF(O237="Retired","unavailable","")))</f>
        <v/>
      </c>
    </row>
    <row r="238" ht="150" customHeight="1">
      <c r="A238" t="inlineStr">
        <is>
          <t>W237</t>
        </is>
      </c>
      <c r="B238" s="6" t="n"/>
      <c r="C238" s="21" t="n"/>
      <c r="D238" s="25" t="n"/>
      <c r="E238" s="6" t="n"/>
      <c r="F238" s="19">
        <f>IF(E238="","",_xlfn.IMAGE(E238))</f>
        <v/>
      </c>
      <c r="G238" s="17" t="n"/>
      <c r="H238" s="39" t="n"/>
      <c r="I238" s="7" t="n"/>
      <c r="J238" s="25" t="n"/>
      <c r="K238" s="28" t="n"/>
      <c r="L238" s="6" t="n"/>
      <c r="M238" s="6" t="n"/>
      <c r="N238" s="6" t="n"/>
      <c r="O238" s="6" t="n"/>
      <c r="P238" s="8" t="n"/>
      <c r="Q238" s="7" t="n"/>
      <c r="R238" s="9" t="n"/>
      <c r="S238" s="10">
        <f>IF($C238="","",$I238*$R238)</f>
        <v/>
      </c>
      <c r="T238" s="10">
        <f>IF($C238="","",(IF($N238="Purchased",$H238,0)+$Q238))</f>
        <v/>
      </c>
      <c r="U238" s="10">
        <f>IF($C238="","",$S238-$T238)</f>
        <v/>
      </c>
      <c r="V238" s="11">
        <f>IF(OR($C238="",$I238=0),"",CEILING($T238/$I238,1))</f>
        <v/>
      </c>
      <c r="W238" s="6" t="n"/>
      <c r="X238">
        <f>IF(C238="","",LOWER(SUBSTITUTE(SUBSTITUTE(C238," ","-"),"'",""))&amp;".jpg")</f>
        <v/>
      </c>
      <c r="Y238">
        <f>IF(X238="","","/inventory/"&amp;X238)</f>
        <v/>
      </c>
      <c r="Z238">
        <f>IF(O238="Available","available",IF(OR(O238="Rented",O238="Cleaning",O238="Repair"),"unavailable",IF(O238="Retired","unavailable","")))</f>
        <v/>
      </c>
    </row>
    <row r="239" ht="150" customHeight="1">
      <c r="A239" t="inlineStr">
        <is>
          <t>W238</t>
        </is>
      </c>
      <c r="B239" s="6" t="n"/>
      <c r="C239" s="21" t="n"/>
      <c r="D239" s="25" t="n"/>
      <c r="E239" s="6" t="n"/>
      <c r="F239" s="19">
        <f>IF(E239="","",_xlfn.IMAGE(E239))</f>
        <v/>
      </c>
      <c r="G239" s="17" t="n"/>
      <c r="H239" s="39" t="n"/>
      <c r="I239" s="7" t="n"/>
      <c r="J239" s="25" t="n"/>
      <c r="K239" s="28" t="n"/>
      <c r="L239" s="6" t="n"/>
      <c r="M239" s="6" t="n"/>
      <c r="N239" s="6" t="n"/>
      <c r="O239" s="6" t="n"/>
      <c r="P239" s="8" t="n"/>
      <c r="Q239" s="7" t="n"/>
      <c r="R239" s="9" t="n"/>
      <c r="S239" s="10">
        <f>IF($C239="","",$I239*$R239)</f>
        <v/>
      </c>
      <c r="T239" s="10">
        <f>IF($C239="","",(IF($N239="Purchased",$H239,0)+$Q239))</f>
        <v/>
      </c>
      <c r="U239" s="10">
        <f>IF($C239="","",$S239-$T239)</f>
        <v/>
      </c>
      <c r="V239" s="11">
        <f>IF(OR($C239="",$I239=0),"",CEILING($T239/$I239,1))</f>
        <v/>
      </c>
      <c r="W239" s="6" t="n"/>
      <c r="X239">
        <f>IF(C239="","",LOWER(SUBSTITUTE(SUBSTITUTE(C239," ","-"),"'",""))&amp;".jpg")</f>
        <v/>
      </c>
      <c r="Y239">
        <f>IF(X239="","","/inventory/"&amp;X239)</f>
        <v/>
      </c>
      <c r="Z239">
        <f>IF(O239="Available","available",IF(OR(O239="Rented",O239="Cleaning",O239="Repair"),"unavailable",IF(O239="Retired","unavailable","")))</f>
        <v/>
      </c>
    </row>
    <row r="240" ht="150" customHeight="1">
      <c r="A240" t="inlineStr">
        <is>
          <t>W239</t>
        </is>
      </c>
      <c r="B240" s="6" t="n"/>
      <c r="C240" s="21" t="n"/>
      <c r="D240" s="25" t="n"/>
      <c r="E240" s="6" t="n"/>
      <c r="F240" s="19">
        <f>IF(E240="","",_xlfn.IMAGE(E240))</f>
        <v/>
      </c>
      <c r="G240" s="17" t="n"/>
      <c r="H240" s="39" t="n"/>
      <c r="I240" s="7" t="n"/>
      <c r="J240" s="25" t="n"/>
      <c r="K240" s="28" t="n"/>
      <c r="L240" s="6" t="n"/>
      <c r="M240" s="6" t="n"/>
      <c r="N240" s="6" t="n"/>
      <c r="O240" s="6" t="n"/>
      <c r="P240" s="8" t="n"/>
      <c r="Q240" s="7" t="n"/>
      <c r="R240" s="9" t="n"/>
      <c r="S240" s="10">
        <f>IF($C240="","",$I240*$R240)</f>
        <v/>
      </c>
      <c r="T240" s="10">
        <f>IF($C240="","",(IF($N240="Purchased",$H240,0)+$Q240))</f>
        <v/>
      </c>
      <c r="U240" s="10">
        <f>IF($C240="","",$S240-$T240)</f>
        <v/>
      </c>
      <c r="V240" s="11">
        <f>IF(OR($C240="",$I240=0),"",CEILING($T240/$I240,1))</f>
        <v/>
      </c>
      <c r="W240" s="6" t="n"/>
      <c r="X240">
        <f>IF(C240="","",LOWER(SUBSTITUTE(SUBSTITUTE(C240," ","-"),"'",""))&amp;".jpg")</f>
        <v/>
      </c>
      <c r="Y240">
        <f>IF(X240="","","/inventory/"&amp;X240)</f>
        <v/>
      </c>
      <c r="Z240">
        <f>IF(O240="Available","available",IF(OR(O240="Rented",O240="Cleaning",O240="Repair"),"unavailable",IF(O240="Retired","unavailable","")))</f>
        <v/>
      </c>
    </row>
    <row r="241" ht="150" customHeight="1">
      <c r="A241" t="inlineStr">
        <is>
          <t>W240</t>
        </is>
      </c>
      <c r="B241" s="6" t="n"/>
      <c r="C241" s="21" t="n"/>
      <c r="D241" s="25" t="n"/>
      <c r="E241" s="6" t="n"/>
      <c r="F241" s="19">
        <f>IF(E241="","",_xlfn.IMAGE(E241))</f>
        <v/>
      </c>
      <c r="G241" s="17" t="n"/>
      <c r="H241" s="39" t="n"/>
      <c r="I241" s="7" t="n"/>
      <c r="J241" s="25" t="n"/>
      <c r="K241" s="28" t="n"/>
      <c r="L241" s="6" t="n"/>
      <c r="M241" s="6" t="n"/>
      <c r="N241" s="6" t="n"/>
      <c r="O241" s="6" t="n"/>
      <c r="P241" s="8" t="n"/>
      <c r="Q241" s="7" t="n"/>
      <c r="R241" s="9" t="n"/>
      <c r="S241" s="10">
        <f>IF($C241="","",$I241*$R241)</f>
        <v/>
      </c>
      <c r="T241" s="10">
        <f>IF($C241="","",(IF($N241="Purchased",$H241,0)+$Q241))</f>
        <v/>
      </c>
      <c r="U241" s="10">
        <f>IF($C241="","",$S241-$T241)</f>
        <v/>
      </c>
      <c r="V241" s="11">
        <f>IF(OR($C241="",$I241=0),"",CEILING($T241/$I241,1))</f>
        <v/>
      </c>
      <c r="W241" s="6" t="n"/>
      <c r="X241">
        <f>IF(C241="","",LOWER(SUBSTITUTE(SUBSTITUTE(C241," ","-"),"'",""))&amp;".jpg")</f>
        <v/>
      </c>
      <c r="Y241">
        <f>IF(X241="","","/inventory/"&amp;X241)</f>
        <v/>
      </c>
      <c r="Z241">
        <f>IF(O241="Available","available",IF(OR(O241="Rented",O241="Cleaning",O241="Repair"),"unavailable",IF(O241="Retired","unavailable","")))</f>
        <v/>
      </c>
    </row>
    <row r="242" ht="150" customHeight="1">
      <c r="A242" t="inlineStr">
        <is>
          <t>W241</t>
        </is>
      </c>
      <c r="B242" s="6" t="n"/>
      <c r="C242" s="21" t="n"/>
      <c r="D242" s="25" t="n"/>
      <c r="E242" s="6" t="n"/>
      <c r="F242" s="19">
        <f>IF(E242="","",_xlfn.IMAGE(E242))</f>
        <v/>
      </c>
      <c r="G242" s="17" t="n"/>
      <c r="H242" s="39" t="n"/>
      <c r="I242" s="7" t="n"/>
      <c r="J242" s="25" t="n"/>
      <c r="K242" s="28" t="n"/>
      <c r="L242" s="6" t="n"/>
      <c r="M242" s="6" t="n"/>
      <c r="N242" s="6" t="n"/>
      <c r="O242" s="6" t="n"/>
      <c r="P242" s="8" t="n"/>
      <c r="Q242" s="7" t="n"/>
      <c r="R242" s="9" t="n"/>
      <c r="S242" s="10">
        <f>IF($C242="","",$I242*$R242)</f>
        <v/>
      </c>
      <c r="T242" s="10">
        <f>IF($C242="","",(IF($N242="Purchased",$H242,0)+$Q242))</f>
        <v/>
      </c>
      <c r="U242" s="10">
        <f>IF($C242="","",$S242-$T242)</f>
        <v/>
      </c>
      <c r="V242" s="11">
        <f>IF(OR($C242="",$I242=0),"",CEILING($T242/$I242,1))</f>
        <v/>
      </c>
      <c r="W242" s="6" t="n"/>
      <c r="X242">
        <f>IF(C242="","",LOWER(SUBSTITUTE(SUBSTITUTE(C242," ","-"),"'",""))&amp;".jpg")</f>
        <v/>
      </c>
      <c r="Y242">
        <f>IF(X242="","","/inventory/"&amp;X242)</f>
        <v/>
      </c>
      <c r="Z242">
        <f>IF(O242="Available","available",IF(OR(O242="Rented",O242="Cleaning",O242="Repair"),"unavailable",IF(O242="Retired","unavailable","")))</f>
        <v/>
      </c>
    </row>
    <row r="243" ht="150" customHeight="1">
      <c r="A243" t="inlineStr">
        <is>
          <t>W242</t>
        </is>
      </c>
      <c r="B243" s="6" t="n"/>
      <c r="C243" s="21" t="n"/>
      <c r="D243" s="25" t="n"/>
      <c r="E243" s="6" t="n"/>
      <c r="F243" s="19">
        <f>IF(E243="","",_xlfn.IMAGE(E243))</f>
        <v/>
      </c>
      <c r="G243" s="17" t="n"/>
      <c r="H243" s="39" t="n"/>
      <c r="I243" s="7" t="n"/>
      <c r="J243" s="25" t="n"/>
      <c r="K243" s="28" t="n"/>
      <c r="L243" s="6" t="n"/>
      <c r="M243" s="6" t="n"/>
      <c r="N243" s="6" t="n"/>
      <c r="O243" s="6" t="n"/>
      <c r="P243" s="8" t="n"/>
      <c r="Q243" s="7" t="n"/>
      <c r="R243" s="9" t="n"/>
      <c r="S243" s="10">
        <f>IF($C243="","",$I243*$R243)</f>
        <v/>
      </c>
      <c r="T243" s="10">
        <f>IF($C243="","",(IF($N243="Purchased",$H243,0)+$Q243))</f>
        <v/>
      </c>
      <c r="U243" s="10">
        <f>IF($C243="","",$S243-$T243)</f>
        <v/>
      </c>
      <c r="V243" s="11">
        <f>IF(OR($C243="",$I243=0),"",CEILING($T243/$I243,1))</f>
        <v/>
      </c>
      <c r="W243" s="6" t="n"/>
      <c r="X243">
        <f>IF(C243="","",LOWER(SUBSTITUTE(SUBSTITUTE(C243," ","-"),"'",""))&amp;".jpg")</f>
        <v/>
      </c>
      <c r="Y243">
        <f>IF(X243="","","/inventory/"&amp;X243)</f>
        <v/>
      </c>
      <c r="Z243">
        <f>IF(O243="Available","available",IF(OR(O243="Rented",O243="Cleaning",O243="Repair"),"unavailable",IF(O243="Retired","unavailable","")))</f>
        <v/>
      </c>
    </row>
    <row r="244" ht="150" customHeight="1">
      <c r="A244" t="inlineStr">
        <is>
          <t>W243</t>
        </is>
      </c>
      <c r="B244" s="6" t="n"/>
      <c r="C244" s="21" t="n"/>
      <c r="D244" s="25" t="n"/>
      <c r="E244" s="6" t="n"/>
      <c r="F244" s="19">
        <f>IF(E244="","",_xlfn.IMAGE(E244))</f>
        <v/>
      </c>
      <c r="G244" s="17" t="n"/>
      <c r="H244" s="39" t="n"/>
      <c r="I244" s="7" t="n"/>
      <c r="J244" s="25" t="n"/>
      <c r="K244" s="28" t="n"/>
      <c r="L244" s="6" t="n"/>
      <c r="M244" s="6" t="n"/>
      <c r="N244" s="6" t="n"/>
      <c r="O244" s="6" t="n"/>
      <c r="P244" s="8" t="n"/>
      <c r="Q244" s="7" t="n"/>
      <c r="R244" s="9" t="n"/>
      <c r="S244" s="10">
        <f>IF($C244="","",$I244*$R244)</f>
        <v/>
      </c>
      <c r="T244" s="10">
        <f>IF($C244="","",(IF($N244="Purchased",$H244,0)+$Q244))</f>
        <v/>
      </c>
      <c r="U244" s="10">
        <f>IF($C244="","",$S244-$T244)</f>
        <v/>
      </c>
      <c r="V244" s="11">
        <f>IF(OR($C244="",$I244=0),"",CEILING($T244/$I244,1))</f>
        <v/>
      </c>
      <c r="W244" s="6" t="n"/>
      <c r="X244">
        <f>IF(C244="","",LOWER(SUBSTITUTE(SUBSTITUTE(C244," ","-"),"'",""))&amp;".jpg")</f>
        <v/>
      </c>
      <c r="Y244">
        <f>IF(X244="","","/inventory/"&amp;X244)</f>
        <v/>
      </c>
      <c r="Z244">
        <f>IF(O244="Available","available",IF(OR(O244="Rented",O244="Cleaning",O244="Repair"),"unavailable",IF(O244="Retired","unavailable","")))</f>
        <v/>
      </c>
    </row>
    <row r="245" ht="150" customHeight="1">
      <c r="A245" t="inlineStr">
        <is>
          <t>W244</t>
        </is>
      </c>
      <c r="B245" s="6" t="n"/>
      <c r="C245" s="21" t="n"/>
      <c r="D245" s="25" t="n"/>
      <c r="E245" s="6" t="n"/>
      <c r="F245" s="19">
        <f>IF(E245="","",_xlfn.IMAGE(E245))</f>
        <v/>
      </c>
      <c r="G245" s="17" t="n"/>
      <c r="H245" s="39" t="n"/>
      <c r="I245" s="7" t="n"/>
      <c r="J245" s="25" t="n"/>
      <c r="K245" s="28" t="n"/>
      <c r="L245" s="6" t="n"/>
      <c r="M245" s="6" t="n"/>
      <c r="N245" s="6" t="n"/>
      <c r="O245" s="6" t="n"/>
      <c r="P245" s="8" t="n"/>
      <c r="Q245" s="7" t="n"/>
      <c r="R245" s="9" t="n"/>
      <c r="S245" s="10">
        <f>IF($C245="","",$I245*$R245)</f>
        <v/>
      </c>
      <c r="T245" s="10">
        <f>IF($C245="","",(IF($N245="Purchased",$H245,0)+$Q245))</f>
        <v/>
      </c>
      <c r="U245" s="10">
        <f>IF($C245="","",$S245-$T245)</f>
        <v/>
      </c>
      <c r="V245" s="11">
        <f>IF(OR($C245="",$I245=0),"",CEILING($T245/$I245,1))</f>
        <v/>
      </c>
      <c r="W245" s="6" t="n"/>
      <c r="X245">
        <f>IF(C245="","",LOWER(SUBSTITUTE(SUBSTITUTE(C245," ","-"),"'",""))&amp;".jpg")</f>
        <v/>
      </c>
      <c r="Y245">
        <f>IF(X245="","","/inventory/"&amp;X245)</f>
        <v/>
      </c>
      <c r="Z245">
        <f>IF(O245="Available","available",IF(OR(O245="Rented",O245="Cleaning",O245="Repair"),"unavailable",IF(O245="Retired","unavailable","")))</f>
        <v/>
      </c>
    </row>
    <row r="246" ht="150" customHeight="1">
      <c r="A246" t="inlineStr">
        <is>
          <t>W245</t>
        </is>
      </c>
      <c r="B246" s="6" t="n"/>
      <c r="C246" s="21" t="n"/>
      <c r="D246" s="25" t="n"/>
      <c r="E246" s="6" t="n"/>
      <c r="F246" s="19">
        <f>IF(E246="","",_xlfn.IMAGE(E246))</f>
        <v/>
      </c>
      <c r="G246" s="17" t="n"/>
      <c r="H246" s="39" t="n"/>
      <c r="I246" s="7" t="n"/>
      <c r="J246" s="25" t="n"/>
      <c r="K246" s="28" t="n"/>
      <c r="L246" s="6" t="n"/>
      <c r="M246" s="6" t="n"/>
      <c r="N246" s="6" t="n"/>
      <c r="O246" s="6" t="n"/>
      <c r="P246" s="8" t="n"/>
      <c r="Q246" s="7" t="n"/>
      <c r="R246" s="9" t="n"/>
      <c r="S246" s="10">
        <f>IF($C246="","",$I246*$R246)</f>
        <v/>
      </c>
      <c r="T246" s="10">
        <f>IF($C246="","",(IF($N246="Purchased",$H246,0)+$Q246))</f>
        <v/>
      </c>
      <c r="U246" s="10">
        <f>IF($C246="","",$S246-$T246)</f>
        <v/>
      </c>
      <c r="V246" s="11">
        <f>IF(OR($C246="",$I246=0),"",CEILING($T246/$I246,1))</f>
        <v/>
      </c>
      <c r="W246" s="6" t="n"/>
      <c r="X246">
        <f>IF(C246="","",LOWER(SUBSTITUTE(SUBSTITUTE(C246," ","-"),"'",""))&amp;".jpg")</f>
        <v/>
      </c>
      <c r="Y246">
        <f>IF(X246="","","/inventory/"&amp;X246)</f>
        <v/>
      </c>
      <c r="Z246">
        <f>IF(O246="Available","available",IF(OR(O246="Rented",O246="Cleaning",O246="Repair"),"unavailable",IF(O246="Retired","unavailable","")))</f>
        <v/>
      </c>
    </row>
    <row r="247" ht="150" customHeight="1">
      <c r="A247" t="inlineStr">
        <is>
          <t>W246</t>
        </is>
      </c>
      <c r="B247" s="6" t="n"/>
      <c r="C247" s="21" t="n"/>
      <c r="D247" s="25" t="n"/>
      <c r="E247" s="6" t="n"/>
      <c r="F247" s="19">
        <f>IF(E247="","",_xlfn.IMAGE(E247))</f>
        <v/>
      </c>
      <c r="G247" s="17" t="n"/>
      <c r="H247" s="39" t="n"/>
      <c r="I247" s="7" t="n"/>
      <c r="J247" s="25" t="n"/>
      <c r="K247" s="28" t="n"/>
      <c r="L247" s="6" t="n"/>
      <c r="M247" s="6" t="n"/>
      <c r="N247" s="6" t="n"/>
      <c r="O247" s="6" t="n"/>
      <c r="P247" s="8" t="n"/>
      <c r="Q247" s="7" t="n"/>
      <c r="R247" s="9" t="n"/>
      <c r="S247" s="10">
        <f>IF($C247="","",$I247*$R247)</f>
        <v/>
      </c>
      <c r="T247" s="10">
        <f>IF($C247="","",(IF($N247="Purchased",$H247,0)+$Q247))</f>
        <v/>
      </c>
      <c r="U247" s="10">
        <f>IF($C247="","",$S247-$T247)</f>
        <v/>
      </c>
      <c r="V247" s="11">
        <f>IF(OR($C247="",$I247=0),"",CEILING($T247/$I247,1))</f>
        <v/>
      </c>
      <c r="W247" s="6" t="n"/>
      <c r="X247">
        <f>IF(C247="","",LOWER(SUBSTITUTE(SUBSTITUTE(C247," ","-"),"'",""))&amp;".jpg")</f>
        <v/>
      </c>
      <c r="Y247">
        <f>IF(X247="","","/inventory/"&amp;X247)</f>
        <v/>
      </c>
      <c r="Z247">
        <f>IF(O247="Available","available",IF(OR(O247="Rented",O247="Cleaning",O247="Repair"),"unavailable",IF(O247="Retired","unavailable","")))</f>
        <v/>
      </c>
    </row>
    <row r="248" ht="150" customHeight="1">
      <c r="A248" t="inlineStr">
        <is>
          <t>W247</t>
        </is>
      </c>
      <c r="B248" s="6" t="n"/>
      <c r="C248" s="21" t="n"/>
      <c r="D248" s="25" t="n"/>
      <c r="E248" s="6" t="n"/>
      <c r="F248" s="19">
        <f>IF(E248="","",_xlfn.IMAGE(E248))</f>
        <v/>
      </c>
      <c r="G248" s="17" t="n"/>
      <c r="H248" s="39" t="n"/>
      <c r="I248" s="7" t="n"/>
      <c r="J248" s="25" t="n"/>
      <c r="K248" s="28" t="n"/>
      <c r="L248" s="6" t="n"/>
      <c r="M248" s="6" t="n"/>
      <c r="N248" s="6" t="n"/>
      <c r="O248" s="6" t="n"/>
      <c r="P248" s="8" t="n"/>
      <c r="Q248" s="7" t="n"/>
      <c r="R248" s="9" t="n"/>
      <c r="S248" s="10">
        <f>IF($C248="","",$I248*$R248)</f>
        <v/>
      </c>
      <c r="T248" s="10">
        <f>IF($C248="","",(IF($N248="Purchased",$H248,0)+$Q248))</f>
        <v/>
      </c>
      <c r="U248" s="10">
        <f>IF($C248="","",$S248-$T248)</f>
        <v/>
      </c>
      <c r="V248" s="11">
        <f>IF(OR($C248="",$I248=0),"",CEILING($T248/$I248,1))</f>
        <v/>
      </c>
      <c r="W248" s="6" t="n"/>
      <c r="X248">
        <f>IF(C248="","",LOWER(SUBSTITUTE(SUBSTITUTE(C248," ","-"),"'",""))&amp;".jpg")</f>
        <v/>
      </c>
      <c r="Y248">
        <f>IF(X248="","","/inventory/"&amp;X248)</f>
        <v/>
      </c>
      <c r="Z248">
        <f>IF(O248="Available","available",IF(OR(O248="Rented",O248="Cleaning",O248="Repair"),"unavailable",IF(O248="Retired","unavailable","")))</f>
        <v/>
      </c>
    </row>
    <row r="249" ht="150" customHeight="1">
      <c r="A249" t="inlineStr">
        <is>
          <t>W248</t>
        </is>
      </c>
      <c r="B249" s="6" t="n"/>
      <c r="C249" s="21" t="n"/>
      <c r="D249" s="25" t="n"/>
      <c r="E249" s="6" t="n"/>
      <c r="F249" s="19">
        <f>IF(E249="","",_xlfn.IMAGE(E249))</f>
        <v/>
      </c>
      <c r="G249" s="17" t="n"/>
      <c r="H249" s="39" t="n"/>
      <c r="I249" s="7" t="n"/>
      <c r="J249" s="25" t="n"/>
      <c r="K249" s="28" t="n"/>
      <c r="L249" s="6" t="n"/>
      <c r="M249" s="6" t="n"/>
      <c r="N249" s="6" t="n"/>
      <c r="O249" s="6" t="n"/>
      <c r="P249" s="8" t="n"/>
      <c r="Q249" s="7" t="n"/>
      <c r="R249" s="9" t="n"/>
      <c r="S249" s="10">
        <f>IF($C249="","",$I249*$R249)</f>
        <v/>
      </c>
      <c r="T249" s="10">
        <f>IF($C249="","",(IF($N249="Purchased",$H249,0)+$Q249))</f>
        <v/>
      </c>
      <c r="U249" s="10">
        <f>IF($C249="","",$S249-$T249)</f>
        <v/>
      </c>
      <c r="V249" s="11">
        <f>IF(OR($C249="",$I249=0),"",CEILING($T249/$I249,1))</f>
        <v/>
      </c>
      <c r="W249" s="6" t="n"/>
      <c r="X249">
        <f>IF(C249="","",LOWER(SUBSTITUTE(SUBSTITUTE(C249," ","-"),"'",""))&amp;".jpg")</f>
        <v/>
      </c>
      <c r="Y249">
        <f>IF(X249="","","/inventory/"&amp;X249)</f>
        <v/>
      </c>
      <c r="Z249">
        <f>IF(O249="Available","available",IF(OR(O249="Rented",O249="Cleaning",O249="Repair"),"unavailable",IF(O249="Retired","unavailable","")))</f>
        <v/>
      </c>
    </row>
    <row r="250" ht="150" customHeight="1">
      <c r="A250" t="inlineStr">
        <is>
          <t>W249</t>
        </is>
      </c>
      <c r="B250" s="6" t="n"/>
      <c r="C250" s="21" t="n"/>
      <c r="D250" s="25" t="n"/>
      <c r="E250" s="6" t="n"/>
      <c r="F250" s="19">
        <f>IF(E250="","",_xlfn.IMAGE(E250))</f>
        <v/>
      </c>
      <c r="G250" s="17" t="n"/>
      <c r="H250" s="39" t="n"/>
      <c r="I250" s="7" t="n"/>
      <c r="J250" s="25" t="n"/>
      <c r="K250" s="28" t="n"/>
      <c r="L250" s="6" t="n"/>
      <c r="M250" s="6" t="n"/>
      <c r="N250" s="6" t="n"/>
      <c r="O250" s="6" t="n"/>
      <c r="P250" s="8" t="n"/>
      <c r="Q250" s="7" t="n"/>
      <c r="R250" s="9" t="n"/>
      <c r="S250" s="10">
        <f>IF($C250="","",$I250*$R250)</f>
        <v/>
      </c>
      <c r="T250" s="10">
        <f>IF($C250="","",(IF($N250="Purchased",$H250,0)+$Q250))</f>
        <v/>
      </c>
      <c r="U250" s="10">
        <f>IF($C250="","",$S250-$T250)</f>
        <v/>
      </c>
      <c r="V250" s="11">
        <f>IF(OR($C250="",$I250=0),"",CEILING($T250/$I250,1))</f>
        <v/>
      </c>
      <c r="W250" s="6" t="n"/>
      <c r="X250">
        <f>IF(C250="","",LOWER(SUBSTITUTE(SUBSTITUTE(C250," ","-"),"'",""))&amp;".jpg")</f>
        <v/>
      </c>
      <c r="Y250">
        <f>IF(X250="","","/inventory/"&amp;X250)</f>
        <v/>
      </c>
      <c r="Z250">
        <f>IF(O250="Available","available",IF(OR(O250="Rented",O250="Cleaning",O250="Repair"),"unavailable",IF(O250="Retired","unavailable","")))</f>
        <v/>
      </c>
    </row>
    <row r="251" ht="150" customHeight="1">
      <c r="A251" t="inlineStr">
        <is>
          <t>W250</t>
        </is>
      </c>
      <c r="B251" s="6" t="n"/>
      <c r="C251" s="21" t="n"/>
      <c r="D251" s="25" t="n"/>
      <c r="E251" s="6" t="n"/>
      <c r="F251" s="19">
        <f>IF(E251="","",_xlfn.IMAGE(E251))</f>
        <v/>
      </c>
      <c r="G251" s="17" t="n"/>
      <c r="H251" s="39" t="n"/>
      <c r="I251" s="7" t="n"/>
      <c r="J251" s="25" t="n"/>
      <c r="K251" s="28" t="n"/>
      <c r="L251" s="6" t="n"/>
      <c r="M251" s="6" t="n"/>
      <c r="N251" s="6" t="n"/>
      <c r="O251" s="6" t="n"/>
      <c r="P251" s="8" t="n"/>
      <c r="Q251" s="7" t="n"/>
      <c r="R251" s="9" t="n"/>
      <c r="S251" s="10">
        <f>IF($C251="","",$I251*$R251)</f>
        <v/>
      </c>
      <c r="T251" s="10">
        <f>IF($C251="","",(IF($N251="Purchased",$H251,0)+$Q251))</f>
        <v/>
      </c>
      <c r="U251" s="10">
        <f>IF($C251="","",$S251-$T251)</f>
        <v/>
      </c>
      <c r="V251" s="11">
        <f>IF(OR($C251="",$I251=0),"",CEILING($T251/$I251,1))</f>
        <v/>
      </c>
      <c r="W251" s="6" t="n"/>
      <c r="X251">
        <f>IF(C251="","",LOWER(SUBSTITUTE(SUBSTITUTE(C251," ","-"),"'",""))&amp;".jpg")</f>
        <v/>
      </c>
      <c r="Y251">
        <f>IF(X251="","","/inventory/"&amp;X251)</f>
        <v/>
      </c>
      <c r="Z251">
        <f>IF(O251="Available","available",IF(OR(O251="Rented",O251="Cleaning",O251="Repair"),"unavailable",IF(O251="Retired","unavailable","")))</f>
        <v/>
      </c>
    </row>
    <row r="252" ht="150" customHeight="1">
      <c r="A252" t="inlineStr">
        <is>
          <t>W251</t>
        </is>
      </c>
      <c r="B252" s="6" t="n"/>
      <c r="C252" s="21" t="n"/>
      <c r="D252" s="25" t="n"/>
      <c r="E252" s="6" t="n"/>
      <c r="F252" s="19">
        <f>IF(E252="","",_xlfn.IMAGE(E252))</f>
        <v/>
      </c>
      <c r="G252" s="17" t="n"/>
      <c r="H252" s="39" t="n"/>
      <c r="I252" s="7" t="n"/>
      <c r="J252" s="25" t="n"/>
      <c r="K252" s="28" t="n"/>
      <c r="L252" s="6" t="n"/>
      <c r="M252" s="6" t="n"/>
      <c r="N252" s="6" t="n"/>
      <c r="O252" s="6" t="n"/>
      <c r="P252" s="8" t="n"/>
      <c r="Q252" s="7" t="n"/>
      <c r="R252" s="9" t="n"/>
      <c r="S252" s="10">
        <f>IF($C252="","",$I252*$R252)</f>
        <v/>
      </c>
      <c r="T252" s="10">
        <f>IF($C252="","",(IF($N252="Purchased",$H252,0)+$Q252))</f>
        <v/>
      </c>
      <c r="U252" s="10">
        <f>IF($C252="","",$S252-$T252)</f>
        <v/>
      </c>
      <c r="V252" s="11">
        <f>IF(OR($C252="",$I252=0),"",CEILING($T252/$I252,1))</f>
        <v/>
      </c>
      <c r="W252" s="6" t="n"/>
      <c r="X252">
        <f>IF(C252="","",LOWER(SUBSTITUTE(SUBSTITUTE(C252," ","-"),"'",""))&amp;".jpg")</f>
        <v/>
      </c>
      <c r="Y252">
        <f>IF(X252="","","/inventory/"&amp;X252)</f>
        <v/>
      </c>
      <c r="Z252">
        <f>IF(O252="Available","available",IF(OR(O252="Rented",O252="Cleaning",O252="Repair"),"unavailable",IF(O252="Retired","unavailable","")))</f>
        <v/>
      </c>
    </row>
    <row r="253" ht="150" customHeight="1">
      <c r="A253" t="inlineStr">
        <is>
          <t>W252</t>
        </is>
      </c>
      <c r="B253" s="6" t="n"/>
      <c r="C253" s="21" t="n"/>
      <c r="D253" s="25" t="n"/>
      <c r="E253" s="6" t="n"/>
      <c r="F253" s="19">
        <f>IF(E253="","",_xlfn.IMAGE(E253))</f>
        <v/>
      </c>
      <c r="G253" s="17" t="n"/>
      <c r="H253" s="39" t="n"/>
      <c r="I253" s="7" t="n"/>
      <c r="J253" s="25" t="n"/>
      <c r="K253" s="28" t="n"/>
      <c r="L253" s="6" t="n"/>
      <c r="M253" s="6" t="n"/>
      <c r="N253" s="6" t="n"/>
      <c r="O253" s="6" t="n"/>
      <c r="P253" s="8" t="n"/>
      <c r="Q253" s="7" t="n"/>
      <c r="R253" s="9" t="n"/>
      <c r="S253" s="10">
        <f>IF($C253="","",$I253*$R253)</f>
        <v/>
      </c>
      <c r="T253" s="10">
        <f>IF($C253="","",(IF($N253="Purchased",$H253,0)+$Q253))</f>
        <v/>
      </c>
      <c r="U253" s="10">
        <f>IF($C253="","",$S253-$T253)</f>
        <v/>
      </c>
      <c r="V253" s="11">
        <f>IF(OR($C253="",$I253=0),"",CEILING($T253/$I253,1))</f>
        <v/>
      </c>
      <c r="W253" s="6" t="n"/>
      <c r="X253">
        <f>IF(C253="","",LOWER(SUBSTITUTE(SUBSTITUTE(C253," ","-"),"'",""))&amp;".jpg")</f>
        <v/>
      </c>
      <c r="Y253">
        <f>IF(X253="","","/inventory/"&amp;X253)</f>
        <v/>
      </c>
      <c r="Z253">
        <f>IF(O253="Available","available",IF(OR(O253="Rented",O253="Cleaning",O253="Repair"),"unavailable",IF(O253="Retired","unavailable","")))</f>
        <v/>
      </c>
    </row>
    <row r="254" ht="150" customHeight="1">
      <c r="A254" t="inlineStr">
        <is>
          <t>W253</t>
        </is>
      </c>
      <c r="B254" s="6" t="n"/>
      <c r="C254" s="21" t="n"/>
      <c r="D254" s="25" t="n"/>
      <c r="E254" s="6" t="n"/>
      <c r="F254" s="19">
        <f>IF(E254="","",_xlfn.IMAGE(E254))</f>
        <v/>
      </c>
      <c r="G254" s="17" t="n"/>
      <c r="H254" s="39" t="n"/>
      <c r="I254" s="7" t="n"/>
      <c r="J254" s="25" t="n"/>
      <c r="K254" s="28" t="n"/>
      <c r="L254" s="6" t="n"/>
      <c r="M254" s="6" t="n"/>
      <c r="N254" s="6" t="n"/>
      <c r="O254" s="6" t="n"/>
      <c r="P254" s="8" t="n"/>
      <c r="Q254" s="7" t="n"/>
      <c r="R254" s="9" t="n"/>
      <c r="S254" s="10">
        <f>IF($C254="","",$I254*$R254)</f>
        <v/>
      </c>
      <c r="T254" s="10">
        <f>IF($C254="","",(IF($N254="Purchased",$H254,0)+$Q254))</f>
        <v/>
      </c>
      <c r="U254" s="10">
        <f>IF($C254="","",$S254-$T254)</f>
        <v/>
      </c>
      <c r="V254" s="11">
        <f>IF(OR($C254="",$I254=0),"",CEILING($T254/$I254,1))</f>
        <v/>
      </c>
      <c r="W254" s="6" t="n"/>
      <c r="X254">
        <f>IF(C254="","",LOWER(SUBSTITUTE(SUBSTITUTE(C254," ","-"),"'",""))&amp;".jpg")</f>
        <v/>
      </c>
      <c r="Y254">
        <f>IF(X254="","","/inventory/"&amp;X254)</f>
        <v/>
      </c>
      <c r="Z254">
        <f>IF(O254="Available","available",IF(OR(O254="Rented",O254="Cleaning",O254="Repair"),"unavailable",IF(O254="Retired","unavailable","")))</f>
        <v/>
      </c>
    </row>
    <row r="255" ht="150" customHeight="1">
      <c r="A255" t="inlineStr">
        <is>
          <t>W254</t>
        </is>
      </c>
      <c r="B255" s="6" t="n"/>
      <c r="C255" s="21" t="n"/>
      <c r="D255" s="25" t="n"/>
      <c r="E255" s="6" t="n"/>
      <c r="F255" s="19">
        <f>IF(E255="","",_xlfn.IMAGE(E255))</f>
        <v/>
      </c>
      <c r="G255" s="17" t="n"/>
      <c r="H255" s="39" t="n"/>
      <c r="I255" s="7" t="n"/>
      <c r="J255" s="25" t="n"/>
      <c r="K255" s="28" t="n"/>
      <c r="L255" s="6" t="n"/>
      <c r="M255" s="6" t="n"/>
      <c r="N255" s="6" t="n"/>
      <c r="O255" s="6" t="n"/>
      <c r="P255" s="8" t="n"/>
      <c r="Q255" s="7" t="n"/>
      <c r="R255" s="9" t="n"/>
      <c r="S255" s="10">
        <f>IF($C255="","",$I255*$R255)</f>
        <v/>
      </c>
      <c r="T255" s="10">
        <f>IF($C255="","",(IF($N255="Purchased",$H255,0)+$Q255))</f>
        <v/>
      </c>
      <c r="U255" s="10">
        <f>IF($C255="","",$S255-$T255)</f>
        <v/>
      </c>
      <c r="V255" s="11">
        <f>IF(OR($C255="",$I255=0),"",CEILING($T255/$I255,1))</f>
        <v/>
      </c>
      <c r="W255" s="6" t="n"/>
      <c r="X255">
        <f>IF(C255="","",LOWER(SUBSTITUTE(SUBSTITUTE(C255," ","-"),"'",""))&amp;".jpg")</f>
        <v/>
      </c>
      <c r="Y255">
        <f>IF(X255="","","/inventory/"&amp;X255)</f>
        <v/>
      </c>
      <c r="Z255">
        <f>IF(O255="Available","available",IF(OR(O255="Rented",O255="Cleaning",O255="Repair"),"unavailable",IF(O255="Retired","unavailable","")))</f>
        <v/>
      </c>
    </row>
    <row r="256" ht="150" customHeight="1">
      <c r="A256" t="inlineStr">
        <is>
          <t>W255</t>
        </is>
      </c>
      <c r="B256" s="6" t="n"/>
      <c r="C256" s="21" t="n"/>
      <c r="D256" s="25" t="n"/>
      <c r="E256" s="6" t="n"/>
      <c r="F256" s="19">
        <f>IF(E256="","",_xlfn.IMAGE(E256))</f>
        <v/>
      </c>
      <c r="G256" s="17" t="n"/>
      <c r="H256" s="39" t="n"/>
      <c r="I256" s="7" t="n"/>
      <c r="J256" s="25" t="n"/>
      <c r="K256" s="28" t="n"/>
      <c r="L256" s="6" t="n"/>
      <c r="M256" s="6" t="n"/>
      <c r="N256" s="6" t="n"/>
      <c r="O256" s="6" t="n"/>
      <c r="P256" s="8" t="n"/>
      <c r="Q256" s="7" t="n"/>
      <c r="R256" s="9" t="n"/>
      <c r="S256" s="10">
        <f>IF($C256="","",$I256*$R256)</f>
        <v/>
      </c>
      <c r="T256" s="10">
        <f>IF($C256="","",(IF($N256="Purchased",$H256,0)+$Q256))</f>
        <v/>
      </c>
      <c r="U256" s="10">
        <f>IF($C256="","",$S256-$T256)</f>
        <v/>
      </c>
      <c r="V256" s="11">
        <f>IF(OR($C256="",$I256=0),"",CEILING($T256/$I256,1))</f>
        <v/>
      </c>
      <c r="W256" s="6" t="n"/>
      <c r="X256">
        <f>IF(C256="","",LOWER(SUBSTITUTE(SUBSTITUTE(C256," ","-"),"'",""))&amp;".jpg")</f>
        <v/>
      </c>
      <c r="Y256">
        <f>IF(X256="","","/inventory/"&amp;X256)</f>
        <v/>
      </c>
      <c r="Z256">
        <f>IF(O256="Available","available",IF(OR(O256="Rented",O256="Cleaning",O256="Repair"),"unavailable",IF(O256="Retired","unavailable","")))</f>
        <v/>
      </c>
    </row>
    <row r="257" ht="150" customHeight="1">
      <c r="A257" t="inlineStr">
        <is>
          <t>W256</t>
        </is>
      </c>
      <c r="B257" s="6" t="n"/>
      <c r="C257" s="21" t="n"/>
      <c r="D257" s="25" t="n"/>
      <c r="E257" s="6" t="n"/>
      <c r="F257" s="19">
        <f>IF(E257="","",_xlfn.IMAGE(E257))</f>
        <v/>
      </c>
      <c r="G257" s="17" t="n"/>
      <c r="H257" s="39" t="n"/>
      <c r="I257" s="7" t="n"/>
      <c r="J257" s="25" t="n"/>
      <c r="K257" s="28" t="n"/>
      <c r="L257" s="6" t="n"/>
      <c r="M257" s="6" t="n"/>
      <c r="N257" s="6" t="n"/>
      <c r="O257" s="6" t="n"/>
      <c r="P257" s="8" t="n"/>
      <c r="Q257" s="7" t="n"/>
      <c r="R257" s="9" t="n"/>
      <c r="S257" s="10">
        <f>IF($C257="","",$I257*$R257)</f>
        <v/>
      </c>
      <c r="T257" s="10">
        <f>IF($C257="","",(IF($N257="Purchased",$H257,0)+$Q257))</f>
        <v/>
      </c>
      <c r="U257" s="10">
        <f>IF($C257="","",$S257-$T257)</f>
        <v/>
      </c>
      <c r="V257" s="11">
        <f>IF(OR($C257="",$I257=0),"",CEILING($T257/$I257,1))</f>
        <v/>
      </c>
      <c r="W257" s="6" t="n"/>
      <c r="X257">
        <f>IF(C257="","",LOWER(SUBSTITUTE(SUBSTITUTE(C257," ","-"),"'",""))&amp;".jpg")</f>
        <v/>
      </c>
      <c r="Y257">
        <f>IF(X257="","","/inventory/"&amp;X257)</f>
        <v/>
      </c>
      <c r="Z257">
        <f>IF(O257="Available","available",IF(OR(O257="Rented",O257="Cleaning",O257="Repair"),"unavailable",IF(O257="Retired","unavailable","")))</f>
        <v/>
      </c>
    </row>
    <row r="258" ht="150" customHeight="1">
      <c r="A258" t="inlineStr">
        <is>
          <t>W257</t>
        </is>
      </c>
      <c r="B258" s="6" t="n"/>
      <c r="C258" s="21" t="n"/>
      <c r="D258" s="25" t="n"/>
      <c r="E258" s="6" t="n"/>
      <c r="F258" s="19">
        <f>IF(E258="","",_xlfn.IMAGE(E258))</f>
        <v/>
      </c>
      <c r="G258" s="17" t="n"/>
      <c r="H258" s="39" t="n"/>
      <c r="I258" s="7" t="n"/>
      <c r="J258" s="25" t="n"/>
      <c r="K258" s="28" t="n"/>
      <c r="L258" s="6" t="n"/>
      <c r="M258" s="6" t="n"/>
      <c r="N258" s="6" t="n"/>
      <c r="O258" s="6" t="n"/>
      <c r="P258" s="8" t="n"/>
      <c r="Q258" s="7" t="n"/>
      <c r="R258" s="9" t="n"/>
      <c r="S258" s="10">
        <f>IF($C258="","",$I258*$R258)</f>
        <v/>
      </c>
      <c r="T258" s="10">
        <f>IF($C258="","",(IF($N258="Purchased",$H258,0)+$Q258))</f>
        <v/>
      </c>
      <c r="U258" s="10">
        <f>IF($C258="","",$S258-$T258)</f>
        <v/>
      </c>
      <c r="V258" s="11">
        <f>IF(OR($C258="",$I258=0),"",CEILING($T258/$I258,1))</f>
        <v/>
      </c>
      <c r="W258" s="6" t="n"/>
      <c r="X258">
        <f>IF(C258="","",LOWER(SUBSTITUTE(SUBSTITUTE(C258," ","-"),"'",""))&amp;".jpg")</f>
        <v/>
      </c>
      <c r="Y258">
        <f>IF(X258="","","/inventory/"&amp;X258)</f>
        <v/>
      </c>
      <c r="Z258">
        <f>IF(O258="Available","available",IF(OR(O258="Rented",O258="Cleaning",O258="Repair"),"unavailable",IF(O258="Retired","unavailable","")))</f>
        <v/>
      </c>
    </row>
    <row r="259" ht="150" customHeight="1">
      <c r="A259" t="inlineStr">
        <is>
          <t>W258</t>
        </is>
      </c>
      <c r="B259" s="6" t="n"/>
      <c r="C259" s="21" t="n"/>
      <c r="D259" s="25" t="n"/>
      <c r="E259" s="6" t="n"/>
      <c r="F259" s="19">
        <f>IF(E259="","",_xlfn.IMAGE(E259))</f>
        <v/>
      </c>
      <c r="G259" s="17" t="n"/>
      <c r="H259" s="39" t="n"/>
      <c r="I259" s="7" t="n"/>
      <c r="J259" s="25" t="n"/>
      <c r="K259" s="28" t="n"/>
      <c r="L259" s="6" t="n"/>
      <c r="M259" s="6" t="n"/>
      <c r="N259" s="6" t="n"/>
      <c r="O259" s="6" t="n"/>
      <c r="P259" s="8" t="n"/>
      <c r="Q259" s="7" t="n"/>
      <c r="R259" s="9" t="n"/>
      <c r="S259" s="10">
        <f>IF($C259="","",$I259*$R259)</f>
        <v/>
      </c>
      <c r="T259" s="10">
        <f>IF($C259="","",(IF($N259="Purchased",$H259,0)+$Q259))</f>
        <v/>
      </c>
      <c r="U259" s="10">
        <f>IF($C259="","",$S259-$T259)</f>
        <v/>
      </c>
      <c r="V259" s="11">
        <f>IF(OR($C259="",$I259=0),"",CEILING($T259/$I259,1))</f>
        <v/>
      </c>
      <c r="W259" s="6" t="n"/>
      <c r="X259">
        <f>IF(C259="","",LOWER(SUBSTITUTE(SUBSTITUTE(C259," ","-"),"'",""))&amp;".jpg")</f>
        <v/>
      </c>
      <c r="Y259">
        <f>IF(X259="","","/inventory/"&amp;X259)</f>
        <v/>
      </c>
      <c r="Z259">
        <f>IF(O259="Available","available",IF(OR(O259="Rented",O259="Cleaning",O259="Repair"),"unavailable",IF(O259="Retired","unavailable","")))</f>
        <v/>
      </c>
    </row>
    <row r="260" ht="150" customHeight="1">
      <c r="A260" t="inlineStr">
        <is>
          <t>W259</t>
        </is>
      </c>
      <c r="B260" s="6" t="n"/>
      <c r="C260" s="21" t="n"/>
      <c r="D260" s="25" t="n"/>
      <c r="E260" s="6" t="n"/>
      <c r="F260" s="19">
        <f>IF(E260="","",_xlfn.IMAGE(E260))</f>
        <v/>
      </c>
      <c r="G260" s="17" t="n"/>
      <c r="H260" s="39" t="n"/>
      <c r="I260" s="7" t="n"/>
      <c r="J260" s="25" t="n"/>
      <c r="K260" s="28" t="n"/>
      <c r="L260" s="6" t="n"/>
      <c r="M260" s="6" t="n"/>
      <c r="N260" s="6" t="n"/>
      <c r="O260" s="6" t="n"/>
      <c r="P260" s="8" t="n"/>
      <c r="Q260" s="7" t="n"/>
      <c r="R260" s="9" t="n"/>
      <c r="S260" s="10">
        <f>IF($C260="","",$I260*$R260)</f>
        <v/>
      </c>
      <c r="T260" s="10">
        <f>IF($C260="","",(IF($N260="Purchased",$H260,0)+$Q260))</f>
        <v/>
      </c>
      <c r="U260" s="10">
        <f>IF($C260="","",$S260-$T260)</f>
        <v/>
      </c>
      <c r="V260" s="11">
        <f>IF(OR($C260="",$I260=0),"",CEILING($T260/$I260,1))</f>
        <v/>
      </c>
      <c r="W260" s="6" t="n"/>
      <c r="X260">
        <f>IF(C260="","",LOWER(SUBSTITUTE(SUBSTITUTE(C260," ","-"),"'",""))&amp;".jpg")</f>
        <v/>
      </c>
      <c r="Y260">
        <f>IF(X260="","","/inventory/"&amp;X260)</f>
        <v/>
      </c>
      <c r="Z260">
        <f>IF(O260="Available","available",IF(OR(O260="Rented",O260="Cleaning",O260="Repair"),"unavailable",IF(O260="Retired","unavailable","")))</f>
        <v/>
      </c>
    </row>
    <row r="261" ht="150" customHeight="1">
      <c r="A261" t="inlineStr">
        <is>
          <t>W260</t>
        </is>
      </c>
      <c r="B261" s="6" t="n"/>
      <c r="C261" s="21" t="n"/>
      <c r="D261" s="25" t="n"/>
      <c r="E261" s="6" t="n"/>
      <c r="F261" s="19">
        <f>IF(E261="","",_xlfn.IMAGE(E261))</f>
        <v/>
      </c>
      <c r="G261" s="17" t="n"/>
      <c r="H261" s="39" t="n"/>
      <c r="I261" s="7" t="n"/>
      <c r="J261" s="25" t="n"/>
      <c r="K261" s="28" t="n"/>
      <c r="L261" s="6" t="n"/>
      <c r="M261" s="6" t="n"/>
      <c r="N261" s="6" t="n"/>
      <c r="O261" s="6" t="n"/>
      <c r="P261" s="8" t="n"/>
      <c r="Q261" s="7" t="n"/>
      <c r="R261" s="9" t="n"/>
      <c r="S261" s="10">
        <f>IF($C261="","",$I261*$R261)</f>
        <v/>
      </c>
      <c r="T261" s="10">
        <f>IF($C261="","",(IF($N261="Purchased",$H261,0)+$Q261))</f>
        <v/>
      </c>
      <c r="U261" s="10">
        <f>IF($C261="","",$S261-$T261)</f>
        <v/>
      </c>
      <c r="V261" s="11">
        <f>IF(OR($C261="",$I261=0),"",CEILING($T261/$I261,1))</f>
        <v/>
      </c>
      <c r="W261" s="6" t="n"/>
      <c r="X261">
        <f>IF(C261="","",LOWER(SUBSTITUTE(SUBSTITUTE(C261," ","-"),"'",""))&amp;".jpg")</f>
        <v/>
      </c>
      <c r="Y261">
        <f>IF(X261="","","/inventory/"&amp;X261)</f>
        <v/>
      </c>
      <c r="Z261">
        <f>IF(O261="Available","available",IF(OR(O261="Rented",O261="Cleaning",O261="Repair"),"unavailable",IF(O261="Retired","unavailable","")))</f>
        <v/>
      </c>
    </row>
    <row r="262" ht="150" customHeight="1">
      <c r="A262" t="inlineStr">
        <is>
          <t>W261</t>
        </is>
      </c>
      <c r="B262" s="6" t="n"/>
      <c r="C262" s="21" t="n"/>
      <c r="D262" s="25" t="n"/>
      <c r="E262" s="6" t="n"/>
      <c r="F262" s="19">
        <f>IF(E262="","",_xlfn.IMAGE(E262))</f>
        <v/>
      </c>
      <c r="G262" s="17" t="n"/>
      <c r="H262" s="39" t="n"/>
      <c r="I262" s="7" t="n"/>
      <c r="J262" s="25" t="n"/>
      <c r="K262" s="28" t="n"/>
      <c r="L262" s="6" t="n"/>
      <c r="M262" s="6" t="n"/>
      <c r="N262" s="6" t="n"/>
      <c r="O262" s="6" t="n"/>
      <c r="P262" s="8" t="n"/>
      <c r="Q262" s="7" t="n"/>
      <c r="R262" s="9" t="n"/>
      <c r="S262" s="10">
        <f>IF($C262="","",$I262*$R262)</f>
        <v/>
      </c>
      <c r="T262" s="10">
        <f>IF($C262="","",(IF($N262="Purchased",$H262,0)+$Q262))</f>
        <v/>
      </c>
      <c r="U262" s="10">
        <f>IF($C262="","",$S262-$T262)</f>
        <v/>
      </c>
      <c r="V262" s="11">
        <f>IF(OR($C262="",$I262=0),"",CEILING($T262/$I262,1))</f>
        <v/>
      </c>
      <c r="W262" s="6" t="n"/>
      <c r="X262">
        <f>IF(C262="","",LOWER(SUBSTITUTE(SUBSTITUTE(C262," ","-"),"'",""))&amp;".jpg")</f>
        <v/>
      </c>
      <c r="Y262">
        <f>IF(X262="","","/inventory/"&amp;X262)</f>
        <v/>
      </c>
      <c r="Z262">
        <f>IF(O262="Available","available",IF(OR(O262="Rented",O262="Cleaning",O262="Repair"),"unavailable",IF(O262="Retired","unavailable","")))</f>
        <v/>
      </c>
    </row>
    <row r="263" ht="150" customHeight="1">
      <c r="A263" t="inlineStr">
        <is>
          <t>W262</t>
        </is>
      </c>
      <c r="B263" s="6" t="n"/>
      <c r="C263" s="21" t="n"/>
      <c r="D263" s="25" t="n"/>
      <c r="E263" s="6" t="n"/>
      <c r="F263" s="19">
        <f>IF(E263="","",_xlfn.IMAGE(E263))</f>
        <v/>
      </c>
      <c r="G263" s="17" t="n"/>
      <c r="H263" s="39" t="n"/>
      <c r="I263" s="7" t="n"/>
      <c r="J263" s="25" t="n"/>
      <c r="K263" s="28" t="n"/>
      <c r="L263" s="6" t="n"/>
      <c r="M263" s="6" t="n"/>
      <c r="N263" s="6" t="n"/>
      <c r="O263" s="6" t="n"/>
      <c r="P263" s="8" t="n"/>
      <c r="Q263" s="7" t="n"/>
      <c r="R263" s="9" t="n"/>
      <c r="S263" s="10">
        <f>IF($C263="","",$I263*$R263)</f>
        <v/>
      </c>
      <c r="T263" s="10">
        <f>IF($C263="","",(IF($N263="Purchased",$H263,0)+$Q263))</f>
        <v/>
      </c>
      <c r="U263" s="10">
        <f>IF($C263="","",$S263-$T263)</f>
        <v/>
      </c>
      <c r="V263" s="11">
        <f>IF(OR($C263="",$I263=0),"",CEILING($T263/$I263,1))</f>
        <v/>
      </c>
      <c r="W263" s="6" t="n"/>
      <c r="X263">
        <f>IF(C263="","",LOWER(SUBSTITUTE(SUBSTITUTE(C263," ","-"),"'",""))&amp;".jpg")</f>
        <v/>
      </c>
      <c r="Y263">
        <f>IF(X263="","","/inventory/"&amp;X263)</f>
        <v/>
      </c>
      <c r="Z263">
        <f>IF(O263="Available","available",IF(OR(O263="Rented",O263="Cleaning",O263="Repair"),"unavailable",IF(O263="Retired","unavailable","")))</f>
        <v/>
      </c>
    </row>
    <row r="264" ht="150" customHeight="1">
      <c r="A264" t="inlineStr">
        <is>
          <t>W263</t>
        </is>
      </c>
      <c r="B264" s="6" t="n"/>
      <c r="C264" s="21" t="n"/>
      <c r="D264" s="25" t="n"/>
      <c r="E264" s="6" t="n"/>
      <c r="F264" s="19">
        <f>IF(E264="","",_xlfn.IMAGE(E264))</f>
        <v/>
      </c>
      <c r="G264" s="17" t="n"/>
      <c r="H264" s="39" t="n"/>
      <c r="I264" s="7" t="n"/>
      <c r="J264" s="25" t="n"/>
      <c r="K264" s="28" t="n"/>
      <c r="L264" s="6" t="n"/>
      <c r="M264" s="6" t="n"/>
      <c r="N264" s="6" t="n"/>
      <c r="O264" s="6" t="n"/>
      <c r="P264" s="8" t="n"/>
      <c r="Q264" s="7" t="n"/>
      <c r="R264" s="9" t="n"/>
      <c r="S264" s="10">
        <f>IF($C264="","",$I264*$R264)</f>
        <v/>
      </c>
      <c r="T264" s="10">
        <f>IF($C264="","",(IF($N264="Purchased",$H264,0)+$Q264))</f>
        <v/>
      </c>
      <c r="U264" s="10">
        <f>IF($C264="","",$S264-$T264)</f>
        <v/>
      </c>
      <c r="V264" s="11">
        <f>IF(OR($C264="",$I264=0),"",CEILING($T264/$I264,1))</f>
        <v/>
      </c>
      <c r="W264" s="6" t="n"/>
      <c r="X264">
        <f>IF(C264="","",LOWER(SUBSTITUTE(SUBSTITUTE(C264," ","-"),"'",""))&amp;".jpg")</f>
        <v/>
      </c>
      <c r="Y264">
        <f>IF(X264="","","/inventory/"&amp;X264)</f>
        <v/>
      </c>
      <c r="Z264">
        <f>IF(O264="Available","available",IF(OR(O264="Rented",O264="Cleaning",O264="Repair"),"unavailable",IF(O264="Retired","unavailable","")))</f>
        <v/>
      </c>
    </row>
    <row r="265" ht="150" customHeight="1">
      <c r="A265" t="inlineStr">
        <is>
          <t>W264</t>
        </is>
      </c>
      <c r="B265" s="6" t="n"/>
      <c r="C265" s="21" t="n"/>
      <c r="D265" s="25" t="n"/>
      <c r="E265" s="6" t="n"/>
      <c r="F265" s="19">
        <f>IF(E265="","",_xlfn.IMAGE(E265))</f>
        <v/>
      </c>
      <c r="G265" s="17" t="n"/>
      <c r="H265" s="39" t="n"/>
      <c r="I265" s="7" t="n"/>
      <c r="J265" s="25" t="n"/>
      <c r="K265" s="28" t="n"/>
      <c r="L265" s="6" t="n"/>
      <c r="M265" s="6" t="n"/>
      <c r="N265" s="6" t="n"/>
      <c r="O265" s="6" t="n"/>
      <c r="P265" s="8" t="n"/>
      <c r="Q265" s="7" t="n"/>
      <c r="R265" s="9" t="n"/>
      <c r="S265" s="10">
        <f>IF($C265="","",$I265*$R265)</f>
        <v/>
      </c>
      <c r="T265" s="10">
        <f>IF($C265="","",(IF($N265="Purchased",$H265,0)+$Q265))</f>
        <v/>
      </c>
      <c r="U265" s="10">
        <f>IF($C265="","",$S265-$T265)</f>
        <v/>
      </c>
      <c r="V265" s="11">
        <f>IF(OR($C265="",$I265=0),"",CEILING($T265/$I265,1))</f>
        <v/>
      </c>
      <c r="W265" s="6" t="n"/>
      <c r="X265">
        <f>IF(C265="","",LOWER(SUBSTITUTE(SUBSTITUTE(C265," ","-"),"'",""))&amp;".jpg")</f>
        <v/>
      </c>
      <c r="Y265">
        <f>IF(X265="","","/inventory/"&amp;X265)</f>
        <v/>
      </c>
      <c r="Z265">
        <f>IF(O265="Available","available",IF(OR(O265="Rented",O265="Cleaning",O265="Repair"),"unavailable",IF(O265="Retired","unavailable","")))</f>
        <v/>
      </c>
    </row>
    <row r="266" ht="150" customHeight="1">
      <c r="A266" t="inlineStr">
        <is>
          <t>W265</t>
        </is>
      </c>
      <c r="B266" s="6" t="n"/>
      <c r="C266" s="21" t="n"/>
      <c r="D266" s="25" t="n"/>
      <c r="E266" s="6" t="n"/>
      <c r="F266" s="19">
        <f>IF(E266="","",_xlfn.IMAGE(E266))</f>
        <v/>
      </c>
      <c r="G266" s="17" t="n"/>
      <c r="H266" s="39" t="n"/>
      <c r="I266" s="7" t="n"/>
      <c r="J266" s="25" t="n"/>
      <c r="K266" s="28" t="n"/>
      <c r="L266" s="6" t="n"/>
      <c r="M266" s="6" t="n"/>
      <c r="N266" s="6" t="n"/>
      <c r="O266" s="6" t="n"/>
      <c r="P266" s="8" t="n"/>
      <c r="Q266" s="7" t="n"/>
      <c r="R266" s="9" t="n"/>
      <c r="S266" s="10">
        <f>IF($C266="","",$I266*$R266)</f>
        <v/>
      </c>
      <c r="T266" s="10">
        <f>IF($C266="","",(IF($N266="Purchased",$H266,0)+$Q266))</f>
        <v/>
      </c>
      <c r="U266" s="10">
        <f>IF($C266="","",$S266-$T266)</f>
        <v/>
      </c>
      <c r="V266" s="11">
        <f>IF(OR($C266="",$I266=0),"",CEILING($T266/$I266,1))</f>
        <v/>
      </c>
      <c r="W266" s="6" t="n"/>
      <c r="X266">
        <f>IF(C266="","",LOWER(SUBSTITUTE(SUBSTITUTE(C266," ","-"),"'",""))&amp;".jpg")</f>
        <v/>
      </c>
      <c r="Y266">
        <f>IF(X266="","","/inventory/"&amp;X266)</f>
        <v/>
      </c>
      <c r="Z266">
        <f>IF(O266="Available","available",IF(OR(O266="Rented",O266="Cleaning",O266="Repair"),"unavailable",IF(O266="Retired","unavailable","")))</f>
        <v/>
      </c>
    </row>
    <row r="267" ht="150" customHeight="1">
      <c r="A267" t="inlineStr">
        <is>
          <t>W266</t>
        </is>
      </c>
      <c r="B267" s="6" t="n"/>
      <c r="C267" s="21" t="n"/>
      <c r="D267" s="25" t="n"/>
      <c r="E267" s="6" t="n"/>
      <c r="F267" s="19">
        <f>IF(E267="","",_xlfn.IMAGE(E267))</f>
        <v/>
      </c>
      <c r="G267" s="17" t="n"/>
      <c r="H267" s="39" t="n"/>
      <c r="I267" s="7" t="n"/>
      <c r="J267" s="25" t="n"/>
      <c r="K267" s="28" t="n"/>
      <c r="L267" s="6" t="n"/>
      <c r="M267" s="6" t="n"/>
      <c r="N267" s="6" t="n"/>
      <c r="O267" s="6" t="n"/>
      <c r="P267" s="8" t="n"/>
      <c r="Q267" s="7" t="n"/>
      <c r="R267" s="9" t="n"/>
      <c r="S267" s="10">
        <f>IF($C267="","",$I267*$R267)</f>
        <v/>
      </c>
      <c r="T267" s="10">
        <f>IF($C267="","",(IF($N267="Purchased",$H267,0)+$Q267))</f>
        <v/>
      </c>
      <c r="U267" s="10">
        <f>IF($C267="","",$S267-$T267)</f>
        <v/>
      </c>
      <c r="V267" s="11">
        <f>IF(OR($C267="",$I267=0),"",CEILING($T267/$I267,1))</f>
        <v/>
      </c>
      <c r="W267" s="6" t="n"/>
      <c r="X267">
        <f>IF(C267="","",LOWER(SUBSTITUTE(SUBSTITUTE(C267," ","-"),"'",""))&amp;".jpg")</f>
        <v/>
      </c>
      <c r="Y267">
        <f>IF(X267="","","/inventory/"&amp;X267)</f>
        <v/>
      </c>
      <c r="Z267">
        <f>IF(O267="Available","available",IF(OR(O267="Rented",O267="Cleaning",O267="Repair"),"unavailable",IF(O267="Retired","unavailable","")))</f>
        <v/>
      </c>
    </row>
    <row r="268" ht="150" customHeight="1">
      <c r="A268" t="inlineStr">
        <is>
          <t>W267</t>
        </is>
      </c>
      <c r="B268" s="6" t="n"/>
      <c r="C268" s="21" t="n"/>
      <c r="D268" s="25" t="n"/>
      <c r="E268" s="6" t="n"/>
      <c r="F268" s="19">
        <f>IF(E268="","",_xlfn.IMAGE(E268))</f>
        <v/>
      </c>
      <c r="G268" s="17" t="n"/>
      <c r="H268" s="39" t="n"/>
      <c r="I268" s="7" t="n"/>
      <c r="J268" s="25" t="n"/>
      <c r="K268" s="28" t="n"/>
      <c r="L268" s="6" t="n"/>
      <c r="M268" s="6" t="n"/>
      <c r="N268" s="6" t="n"/>
      <c r="O268" s="6" t="n"/>
      <c r="P268" s="8" t="n"/>
      <c r="Q268" s="7" t="n"/>
      <c r="R268" s="9" t="n"/>
      <c r="S268" s="10">
        <f>IF($C268="","",$I268*$R268)</f>
        <v/>
      </c>
      <c r="T268" s="10">
        <f>IF($C268="","",(IF($N268="Purchased",$H268,0)+$Q268))</f>
        <v/>
      </c>
      <c r="U268" s="10">
        <f>IF($C268="","",$S268-$T268)</f>
        <v/>
      </c>
      <c r="V268" s="11">
        <f>IF(OR($C268="",$I268=0),"",CEILING($T268/$I268,1))</f>
        <v/>
      </c>
      <c r="W268" s="6" t="n"/>
      <c r="X268">
        <f>IF(C268="","",LOWER(SUBSTITUTE(SUBSTITUTE(C268," ","-"),"'",""))&amp;".jpg")</f>
        <v/>
      </c>
      <c r="Y268">
        <f>IF(X268="","","/inventory/"&amp;X268)</f>
        <v/>
      </c>
      <c r="Z268">
        <f>IF(O268="Available","available",IF(OR(O268="Rented",O268="Cleaning",O268="Repair"),"unavailable",IF(O268="Retired","unavailable","")))</f>
        <v/>
      </c>
    </row>
    <row r="269" ht="150" customHeight="1">
      <c r="A269" t="inlineStr">
        <is>
          <t>W268</t>
        </is>
      </c>
      <c r="B269" s="6" t="n"/>
      <c r="C269" s="21" t="n"/>
      <c r="D269" s="25" t="n"/>
      <c r="E269" s="6" t="n"/>
      <c r="F269" s="19">
        <f>IF(E269="","",_xlfn.IMAGE(E269))</f>
        <v/>
      </c>
      <c r="G269" s="17" t="n"/>
      <c r="H269" s="39" t="n"/>
      <c r="I269" s="7" t="n"/>
      <c r="J269" s="25" t="n"/>
      <c r="K269" s="28" t="n"/>
      <c r="L269" s="6" t="n"/>
      <c r="M269" s="6" t="n"/>
      <c r="N269" s="6" t="n"/>
      <c r="O269" s="6" t="n"/>
      <c r="P269" s="8" t="n"/>
      <c r="Q269" s="7" t="n"/>
      <c r="R269" s="9" t="n"/>
      <c r="S269" s="10">
        <f>IF($C269="","",$I269*$R269)</f>
        <v/>
      </c>
      <c r="T269" s="10">
        <f>IF($C269="","",(IF($N269="Purchased",$H269,0)+$Q269))</f>
        <v/>
      </c>
      <c r="U269" s="10">
        <f>IF($C269="","",$S269-$T269)</f>
        <v/>
      </c>
      <c r="V269" s="11">
        <f>IF(OR($C269="",$I269=0),"",CEILING($T269/$I269,1))</f>
        <v/>
      </c>
      <c r="W269" s="6" t="n"/>
      <c r="X269">
        <f>IF(C269="","",LOWER(SUBSTITUTE(SUBSTITUTE(C269," ","-"),"'",""))&amp;".jpg")</f>
        <v/>
      </c>
      <c r="Y269">
        <f>IF(X269="","","/inventory/"&amp;X269)</f>
        <v/>
      </c>
      <c r="Z269">
        <f>IF(O269="Available","available",IF(OR(O269="Rented",O269="Cleaning",O269="Repair"),"unavailable",IF(O269="Retired","unavailable","")))</f>
        <v/>
      </c>
    </row>
    <row r="270" ht="150" customHeight="1">
      <c r="A270" t="inlineStr">
        <is>
          <t>W269</t>
        </is>
      </c>
      <c r="B270" s="6" t="n"/>
      <c r="C270" s="21" t="n"/>
      <c r="D270" s="25" t="n"/>
      <c r="E270" s="6" t="n"/>
      <c r="F270" s="19">
        <f>IF(E270="","",_xlfn.IMAGE(E270))</f>
        <v/>
      </c>
      <c r="G270" s="17" t="n"/>
      <c r="H270" s="39" t="n"/>
      <c r="I270" s="7" t="n"/>
      <c r="J270" s="25" t="n"/>
      <c r="K270" s="28" t="n"/>
      <c r="L270" s="6" t="n"/>
      <c r="M270" s="6" t="n"/>
      <c r="N270" s="6" t="n"/>
      <c r="O270" s="6" t="n"/>
      <c r="P270" s="8" t="n"/>
      <c r="Q270" s="7" t="n"/>
      <c r="R270" s="9" t="n"/>
      <c r="S270" s="10">
        <f>IF($C270="","",$I270*$R270)</f>
        <v/>
      </c>
      <c r="T270" s="10">
        <f>IF($C270="","",(IF($N270="Purchased",$H270,0)+$Q270))</f>
        <v/>
      </c>
      <c r="U270" s="10">
        <f>IF($C270="","",$S270-$T270)</f>
        <v/>
      </c>
      <c r="V270" s="11">
        <f>IF(OR($C270="",$I270=0),"",CEILING($T270/$I270,1))</f>
        <v/>
      </c>
      <c r="W270" s="6" t="n"/>
      <c r="X270">
        <f>IF(C270="","",LOWER(SUBSTITUTE(SUBSTITUTE(C270," ","-"),"'",""))&amp;".jpg")</f>
        <v/>
      </c>
      <c r="Y270">
        <f>IF(X270="","","/inventory/"&amp;X270)</f>
        <v/>
      </c>
      <c r="Z270">
        <f>IF(O270="Available","available",IF(OR(O270="Rented",O270="Cleaning",O270="Repair"),"unavailable",IF(O270="Retired","unavailable","")))</f>
        <v/>
      </c>
    </row>
    <row r="271" ht="150" customHeight="1">
      <c r="A271" t="inlineStr">
        <is>
          <t>W270</t>
        </is>
      </c>
      <c r="B271" s="6" t="n"/>
      <c r="C271" s="21" t="n"/>
      <c r="D271" s="25" t="n"/>
      <c r="E271" s="6" t="n"/>
      <c r="F271" s="19">
        <f>IF(E271="","",_xlfn.IMAGE(E271))</f>
        <v/>
      </c>
      <c r="G271" s="17" t="n"/>
      <c r="H271" s="39" t="n"/>
      <c r="I271" s="7" t="n"/>
      <c r="J271" s="25" t="n"/>
      <c r="K271" s="28" t="n"/>
      <c r="L271" s="6" t="n"/>
      <c r="M271" s="6" t="n"/>
      <c r="N271" s="6" t="n"/>
      <c r="O271" s="6" t="n"/>
      <c r="P271" s="8" t="n"/>
      <c r="Q271" s="7" t="n"/>
      <c r="R271" s="9" t="n"/>
      <c r="S271" s="10">
        <f>IF($C271="","",$I271*$R271)</f>
        <v/>
      </c>
      <c r="T271" s="10">
        <f>IF($C271="","",(IF($N271="Purchased",$H271,0)+$Q271))</f>
        <v/>
      </c>
      <c r="U271" s="10">
        <f>IF($C271="","",$S271-$T271)</f>
        <v/>
      </c>
      <c r="V271" s="11">
        <f>IF(OR($C271="",$I271=0),"",CEILING($T271/$I271,1))</f>
        <v/>
      </c>
      <c r="W271" s="6" t="n"/>
      <c r="X271">
        <f>IF(C271="","",LOWER(SUBSTITUTE(SUBSTITUTE(C271," ","-"),"'",""))&amp;".jpg")</f>
        <v/>
      </c>
      <c r="Y271">
        <f>IF(X271="","","/inventory/"&amp;X271)</f>
        <v/>
      </c>
      <c r="Z271">
        <f>IF(O271="Available","available",IF(OR(O271="Rented",O271="Cleaning",O271="Repair"),"unavailable",IF(O271="Retired","unavailable","")))</f>
        <v/>
      </c>
    </row>
    <row r="272" ht="150" customHeight="1">
      <c r="A272" t="inlineStr">
        <is>
          <t>W271</t>
        </is>
      </c>
      <c r="B272" s="6" t="n"/>
      <c r="C272" s="21" t="n"/>
      <c r="D272" s="25" t="n"/>
      <c r="E272" s="6" t="n"/>
      <c r="F272" s="19">
        <f>IF(E272="","",_xlfn.IMAGE(E272))</f>
        <v/>
      </c>
      <c r="G272" s="17" t="n"/>
      <c r="H272" s="39" t="n"/>
      <c r="I272" s="7" t="n"/>
      <c r="J272" s="25" t="n"/>
      <c r="K272" s="28" t="n"/>
      <c r="L272" s="6" t="n"/>
      <c r="M272" s="6" t="n"/>
      <c r="N272" s="6" t="n"/>
      <c r="O272" s="6" t="n"/>
      <c r="P272" s="8" t="n"/>
      <c r="Q272" s="7" t="n"/>
      <c r="R272" s="9" t="n"/>
      <c r="S272" s="10">
        <f>IF($C272="","",$I272*$R272)</f>
        <v/>
      </c>
      <c r="T272" s="10">
        <f>IF($C272="","",(IF($N272="Purchased",$H272,0)+$Q272))</f>
        <v/>
      </c>
      <c r="U272" s="10">
        <f>IF($C272="","",$S272-$T272)</f>
        <v/>
      </c>
      <c r="V272" s="11">
        <f>IF(OR($C272="",$I272=0),"",CEILING($T272/$I272,1))</f>
        <v/>
      </c>
      <c r="W272" s="6" t="n"/>
      <c r="X272">
        <f>IF(C272="","",LOWER(SUBSTITUTE(SUBSTITUTE(C272," ","-"),"'",""))&amp;".jpg")</f>
        <v/>
      </c>
      <c r="Y272">
        <f>IF(X272="","","/inventory/"&amp;X272)</f>
        <v/>
      </c>
      <c r="Z272">
        <f>IF(O272="Available","available",IF(OR(O272="Rented",O272="Cleaning",O272="Repair"),"unavailable",IF(O272="Retired","unavailable","")))</f>
        <v/>
      </c>
    </row>
    <row r="273" ht="150" customHeight="1">
      <c r="A273" t="inlineStr">
        <is>
          <t>W272</t>
        </is>
      </c>
      <c r="B273" s="6" t="n"/>
      <c r="C273" s="21" t="n"/>
      <c r="D273" s="25" t="n"/>
      <c r="E273" s="6" t="n"/>
      <c r="F273" s="19">
        <f>IF(E273="","",_xlfn.IMAGE(E273))</f>
        <v/>
      </c>
      <c r="G273" s="17" t="n"/>
      <c r="H273" s="39" t="n"/>
      <c r="I273" s="7" t="n"/>
      <c r="J273" s="25" t="n"/>
      <c r="K273" s="28" t="n"/>
      <c r="L273" s="6" t="n"/>
      <c r="M273" s="6" t="n"/>
      <c r="N273" s="6" t="n"/>
      <c r="O273" s="6" t="n"/>
      <c r="P273" s="8" t="n"/>
      <c r="Q273" s="7" t="n"/>
      <c r="R273" s="9" t="n"/>
      <c r="S273" s="10">
        <f>IF($C273="","",$I273*$R273)</f>
        <v/>
      </c>
      <c r="T273" s="10">
        <f>IF($C273="","",(IF($N273="Purchased",$H273,0)+$Q273))</f>
        <v/>
      </c>
      <c r="U273" s="10">
        <f>IF($C273="","",$S273-$T273)</f>
        <v/>
      </c>
      <c r="V273" s="11">
        <f>IF(OR($C273="",$I273=0),"",CEILING($T273/$I273,1))</f>
        <v/>
      </c>
      <c r="W273" s="6" t="n"/>
      <c r="X273">
        <f>IF(C273="","",LOWER(SUBSTITUTE(SUBSTITUTE(C273," ","-"),"'",""))&amp;".jpg")</f>
        <v/>
      </c>
      <c r="Y273">
        <f>IF(X273="","","/inventory/"&amp;X273)</f>
        <v/>
      </c>
      <c r="Z273">
        <f>IF(O273="Available","available",IF(OR(O273="Rented",O273="Cleaning",O273="Repair"),"unavailable",IF(O273="Retired","unavailable","")))</f>
        <v/>
      </c>
    </row>
    <row r="274" ht="150" customHeight="1">
      <c r="A274" t="inlineStr">
        <is>
          <t>W273</t>
        </is>
      </c>
      <c r="B274" s="6" t="n"/>
      <c r="C274" s="21" t="n"/>
      <c r="D274" s="25" t="n"/>
      <c r="E274" s="6" t="n"/>
      <c r="F274" s="19">
        <f>IF(E274="","",_xlfn.IMAGE(E274))</f>
        <v/>
      </c>
      <c r="G274" s="17" t="n"/>
      <c r="H274" s="39" t="n"/>
      <c r="I274" s="7" t="n"/>
      <c r="J274" s="25" t="n"/>
      <c r="K274" s="28" t="n"/>
      <c r="L274" s="6" t="n"/>
      <c r="M274" s="6" t="n"/>
      <c r="N274" s="6" t="n"/>
      <c r="O274" s="6" t="n"/>
      <c r="P274" s="8" t="n"/>
      <c r="Q274" s="7" t="n"/>
      <c r="R274" s="9" t="n"/>
      <c r="S274" s="10">
        <f>IF($C274="","",$I274*$R274)</f>
        <v/>
      </c>
      <c r="T274" s="10">
        <f>IF($C274="","",(IF($N274="Purchased",$H274,0)+$Q274))</f>
        <v/>
      </c>
      <c r="U274" s="10">
        <f>IF($C274="","",$S274-$T274)</f>
        <v/>
      </c>
      <c r="V274" s="11">
        <f>IF(OR($C274="",$I274=0),"",CEILING($T274/$I274,1))</f>
        <v/>
      </c>
      <c r="W274" s="6" t="n"/>
      <c r="X274">
        <f>IF(C274="","",LOWER(SUBSTITUTE(SUBSTITUTE(C274," ","-"),"'",""))&amp;".jpg")</f>
        <v/>
      </c>
      <c r="Y274">
        <f>IF(X274="","","/inventory/"&amp;X274)</f>
        <v/>
      </c>
      <c r="Z274">
        <f>IF(O274="Available","available",IF(OR(O274="Rented",O274="Cleaning",O274="Repair"),"unavailable",IF(O274="Retired","unavailable","")))</f>
        <v/>
      </c>
    </row>
    <row r="275" ht="150" customHeight="1">
      <c r="A275" t="inlineStr">
        <is>
          <t>W274</t>
        </is>
      </c>
      <c r="B275" s="6" t="n"/>
      <c r="C275" s="21" t="n"/>
      <c r="D275" s="25" t="n"/>
      <c r="E275" s="6" t="n"/>
      <c r="F275" s="19">
        <f>IF(E275="","",_xlfn.IMAGE(E275))</f>
        <v/>
      </c>
      <c r="G275" s="17" t="n"/>
      <c r="H275" s="39" t="n"/>
      <c r="I275" s="7" t="n"/>
      <c r="J275" s="25" t="n"/>
      <c r="K275" s="28" t="n"/>
      <c r="L275" s="6" t="n"/>
      <c r="M275" s="6" t="n"/>
      <c r="N275" s="6" t="n"/>
      <c r="O275" s="6" t="n"/>
      <c r="P275" s="8" t="n"/>
      <c r="Q275" s="7" t="n"/>
      <c r="R275" s="9" t="n"/>
      <c r="S275" s="10">
        <f>IF($C275="","",$I275*$R275)</f>
        <v/>
      </c>
      <c r="T275" s="10">
        <f>IF($C275="","",(IF($N275="Purchased",$H275,0)+$Q275))</f>
        <v/>
      </c>
      <c r="U275" s="10">
        <f>IF($C275="","",$S275-$T275)</f>
        <v/>
      </c>
      <c r="V275" s="11">
        <f>IF(OR($C275="",$I275=0),"",CEILING($T275/$I275,1))</f>
        <v/>
      </c>
      <c r="W275" s="6" t="n"/>
      <c r="X275">
        <f>IF(C275="","",LOWER(SUBSTITUTE(SUBSTITUTE(C275," ","-"),"'",""))&amp;".jpg")</f>
        <v/>
      </c>
      <c r="Y275">
        <f>IF(X275="","","/inventory/"&amp;X275)</f>
        <v/>
      </c>
      <c r="Z275">
        <f>IF(O275="Available","available",IF(OR(O275="Rented",O275="Cleaning",O275="Repair"),"unavailable",IF(O275="Retired","unavailable","")))</f>
        <v/>
      </c>
    </row>
    <row r="276" ht="150" customHeight="1">
      <c r="A276" t="inlineStr">
        <is>
          <t>W275</t>
        </is>
      </c>
      <c r="B276" s="6" t="n"/>
      <c r="C276" s="21" t="n"/>
      <c r="D276" s="25" t="n"/>
      <c r="E276" s="6" t="n"/>
      <c r="F276" s="19">
        <f>IF(E276="","",_xlfn.IMAGE(E276))</f>
        <v/>
      </c>
      <c r="G276" s="17" t="n"/>
      <c r="H276" s="39" t="n"/>
      <c r="I276" s="7" t="n"/>
      <c r="J276" s="25" t="n"/>
      <c r="K276" s="28" t="n"/>
      <c r="L276" s="6" t="n"/>
      <c r="M276" s="6" t="n"/>
      <c r="N276" s="6" t="n"/>
      <c r="O276" s="6" t="n"/>
      <c r="P276" s="8" t="n"/>
      <c r="Q276" s="7" t="n"/>
      <c r="R276" s="9" t="n"/>
      <c r="S276" s="10">
        <f>IF($C276="","",$I276*$R276)</f>
        <v/>
      </c>
      <c r="T276" s="10">
        <f>IF($C276="","",(IF($N276="Purchased",$H276,0)+$Q276))</f>
        <v/>
      </c>
      <c r="U276" s="10">
        <f>IF($C276="","",$S276-$T276)</f>
        <v/>
      </c>
      <c r="V276" s="11">
        <f>IF(OR($C276="",$I276=0),"",CEILING($T276/$I276,1))</f>
        <v/>
      </c>
      <c r="W276" s="6" t="n"/>
      <c r="X276">
        <f>IF(C276="","",LOWER(SUBSTITUTE(SUBSTITUTE(C276," ","-"),"'",""))&amp;".jpg")</f>
        <v/>
      </c>
      <c r="Y276">
        <f>IF(X276="","","/inventory/"&amp;X276)</f>
        <v/>
      </c>
      <c r="Z276">
        <f>IF(O276="Available","available",IF(OR(O276="Rented",O276="Cleaning",O276="Repair"),"unavailable",IF(O276="Retired","unavailable","")))</f>
        <v/>
      </c>
    </row>
    <row r="277" ht="150" customHeight="1">
      <c r="A277" t="inlineStr">
        <is>
          <t>W276</t>
        </is>
      </c>
      <c r="B277" s="6" t="n"/>
      <c r="C277" s="21" t="n"/>
      <c r="D277" s="25" t="n"/>
      <c r="E277" s="6" t="n"/>
      <c r="F277" s="19">
        <f>IF(E277="","",_xlfn.IMAGE(E277))</f>
        <v/>
      </c>
      <c r="G277" s="17" t="n"/>
      <c r="H277" s="39" t="n"/>
      <c r="I277" s="7" t="n"/>
      <c r="J277" s="25" t="n"/>
      <c r="K277" s="28" t="n"/>
      <c r="L277" s="6" t="n"/>
      <c r="M277" s="6" t="n"/>
      <c r="N277" s="6" t="n"/>
      <c r="O277" s="6" t="n"/>
      <c r="P277" s="8" t="n"/>
      <c r="Q277" s="7" t="n"/>
      <c r="R277" s="9" t="n"/>
      <c r="S277" s="10">
        <f>IF($C277="","",$I277*$R277)</f>
        <v/>
      </c>
      <c r="T277" s="10">
        <f>IF($C277="","",(IF($N277="Purchased",$H277,0)+$Q277))</f>
        <v/>
      </c>
      <c r="U277" s="10">
        <f>IF($C277="","",$S277-$T277)</f>
        <v/>
      </c>
      <c r="V277" s="11">
        <f>IF(OR($C277="",$I277=0),"",CEILING($T277/$I277,1))</f>
        <v/>
      </c>
      <c r="W277" s="6" t="n"/>
      <c r="X277">
        <f>IF(C277="","",LOWER(SUBSTITUTE(SUBSTITUTE(C277," ","-"),"'",""))&amp;".jpg")</f>
        <v/>
      </c>
      <c r="Y277">
        <f>IF(X277="","","/inventory/"&amp;X277)</f>
        <v/>
      </c>
      <c r="Z277">
        <f>IF(O277="Available","available",IF(OR(O277="Rented",O277="Cleaning",O277="Repair"),"unavailable",IF(O277="Retired","unavailable","")))</f>
        <v/>
      </c>
    </row>
    <row r="278" ht="150" customHeight="1">
      <c r="A278" t="inlineStr">
        <is>
          <t>W277</t>
        </is>
      </c>
      <c r="B278" s="6" t="n"/>
      <c r="C278" s="21" t="n"/>
      <c r="D278" s="25" t="n"/>
      <c r="E278" s="6" t="n"/>
      <c r="F278" s="19">
        <f>IF(E278="","",_xlfn.IMAGE(E278))</f>
        <v/>
      </c>
      <c r="G278" s="17" t="n"/>
      <c r="H278" s="39" t="n"/>
      <c r="I278" s="7" t="n"/>
      <c r="J278" s="25" t="n"/>
      <c r="K278" s="28" t="n"/>
      <c r="L278" s="6" t="n"/>
      <c r="M278" s="6" t="n"/>
      <c r="N278" s="6" t="n"/>
      <c r="O278" s="6" t="n"/>
      <c r="P278" s="8" t="n"/>
      <c r="Q278" s="7" t="n"/>
      <c r="R278" s="9" t="n"/>
      <c r="S278" s="10">
        <f>IF($C278="","",$I278*$R278)</f>
        <v/>
      </c>
      <c r="T278" s="10">
        <f>IF($C278="","",(IF($N278="Purchased",$H278,0)+$Q278))</f>
        <v/>
      </c>
      <c r="U278" s="10">
        <f>IF($C278="","",$S278-$T278)</f>
        <v/>
      </c>
      <c r="V278" s="11">
        <f>IF(OR($C278="",$I278=0),"",CEILING($T278/$I278,1))</f>
        <v/>
      </c>
      <c r="W278" s="6" t="n"/>
      <c r="X278">
        <f>IF(C278="","",LOWER(SUBSTITUTE(SUBSTITUTE(C278," ","-"),"'",""))&amp;".jpg")</f>
        <v/>
      </c>
      <c r="Y278">
        <f>IF(X278="","","/inventory/"&amp;X278)</f>
        <v/>
      </c>
      <c r="Z278">
        <f>IF(O278="Available","available",IF(OR(O278="Rented",O278="Cleaning",O278="Repair"),"unavailable",IF(O278="Retired","unavailable","")))</f>
        <v/>
      </c>
    </row>
    <row r="279" ht="150" customHeight="1">
      <c r="A279" t="inlineStr">
        <is>
          <t>W278</t>
        </is>
      </c>
      <c r="B279" s="6" t="n"/>
      <c r="C279" s="21" t="n"/>
      <c r="D279" s="25" t="n"/>
      <c r="E279" s="6" t="n"/>
      <c r="F279" s="19">
        <f>IF(E279="","",_xlfn.IMAGE(E279))</f>
        <v/>
      </c>
      <c r="G279" s="17" t="n"/>
      <c r="H279" s="39" t="n"/>
      <c r="I279" s="7" t="n"/>
      <c r="J279" s="25" t="n"/>
      <c r="K279" s="28" t="n"/>
      <c r="L279" s="6" t="n"/>
      <c r="M279" s="6" t="n"/>
      <c r="N279" s="6" t="n"/>
      <c r="O279" s="6" t="n"/>
      <c r="P279" s="8" t="n"/>
      <c r="Q279" s="7" t="n"/>
      <c r="R279" s="9" t="n"/>
      <c r="S279" s="10">
        <f>IF($C279="","",$I279*$R279)</f>
        <v/>
      </c>
      <c r="T279" s="10">
        <f>IF($C279="","",(IF($N279="Purchased",$H279,0)+$Q279))</f>
        <v/>
      </c>
      <c r="U279" s="10">
        <f>IF($C279="","",$S279-$T279)</f>
        <v/>
      </c>
      <c r="V279" s="11">
        <f>IF(OR($C279="",$I279=0),"",CEILING($T279/$I279,1))</f>
        <v/>
      </c>
      <c r="W279" s="6" t="n"/>
      <c r="X279">
        <f>IF(C279="","",LOWER(SUBSTITUTE(SUBSTITUTE(C279," ","-"),"'",""))&amp;".jpg")</f>
        <v/>
      </c>
      <c r="Y279">
        <f>IF(X279="","","/inventory/"&amp;X279)</f>
        <v/>
      </c>
      <c r="Z279">
        <f>IF(O279="Available","available",IF(OR(O279="Rented",O279="Cleaning",O279="Repair"),"unavailable",IF(O279="Retired","unavailable","")))</f>
        <v/>
      </c>
    </row>
    <row r="280" ht="150" customHeight="1">
      <c r="A280" t="inlineStr">
        <is>
          <t>W279</t>
        </is>
      </c>
      <c r="B280" s="6" t="n"/>
      <c r="C280" s="21" t="n"/>
      <c r="D280" s="25" t="n"/>
      <c r="E280" s="6" t="n"/>
      <c r="F280" s="19">
        <f>IF(E280="","",_xlfn.IMAGE(E280))</f>
        <v/>
      </c>
      <c r="G280" s="17" t="n"/>
      <c r="H280" s="39" t="n"/>
      <c r="I280" s="7" t="n"/>
      <c r="J280" s="25" t="n"/>
      <c r="K280" s="28" t="n"/>
      <c r="L280" s="6" t="n"/>
      <c r="M280" s="6" t="n"/>
      <c r="N280" s="6" t="n"/>
      <c r="O280" s="6" t="n"/>
      <c r="P280" s="8" t="n"/>
      <c r="Q280" s="7" t="n"/>
      <c r="R280" s="9" t="n"/>
      <c r="S280" s="10">
        <f>IF($C280="","",$I280*$R280)</f>
        <v/>
      </c>
      <c r="T280" s="10">
        <f>IF($C280="","",(IF($N280="Purchased",$H280,0)+$Q280))</f>
        <v/>
      </c>
      <c r="U280" s="10">
        <f>IF($C280="","",$S280-$T280)</f>
        <v/>
      </c>
      <c r="V280" s="11">
        <f>IF(OR($C280="",$I280=0),"",CEILING($T280/$I280,1))</f>
        <v/>
      </c>
      <c r="W280" s="6" t="n"/>
      <c r="X280">
        <f>IF(C280="","",LOWER(SUBSTITUTE(SUBSTITUTE(C280," ","-"),"'",""))&amp;".jpg")</f>
        <v/>
      </c>
      <c r="Y280">
        <f>IF(X280="","","/inventory/"&amp;X280)</f>
        <v/>
      </c>
      <c r="Z280">
        <f>IF(O280="Available","available",IF(OR(O280="Rented",O280="Cleaning",O280="Repair"),"unavailable",IF(O280="Retired","unavailable","")))</f>
        <v/>
      </c>
    </row>
    <row r="281" ht="150" customHeight="1">
      <c r="A281" t="inlineStr">
        <is>
          <t>W280</t>
        </is>
      </c>
      <c r="B281" s="6" t="n"/>
      <c r="C281" s="21" t="n"/>
      <c r="D281" s="25" t="n"/>
      <c r="E281" s="6" t="n"/>
      <c r="F281" s="19">
        <f>IF(E281="","",_xlfn.IMAGE(E281))</f>
        <v/>
      </c>
      <c r="G281" s="17" t="n"/>
      <c r="H281" s="39" t="n"/>
      <c r="I281" s="7" t="n"/>
      <c r="J281" s="25" t="n"/>
      <c r="K281" s="28" t="n"/>
      <c r="L281" s="6" t="n"/>
      <c r="M281" s="6" t="n"/>
      <c r="N281" s="6" t="n"/>
      <c r="O281" s="6" t="n"/>
      <c r="P281" s="8" t="n"/>
      <c r="Q281" s="7" t="n"/>
      <c r="R281" s="9" t="n"/>
      <c r="S281" s="10">
        <f>IF($C281="","",$I281*$R281)</f>
        <v/>
      </c>
      <c r="T281" s="10">
        <f>IF($C281="","",(IF($N281="Purchased",$H281,0)+$Q281))</f>
        <v/>
      </c>
      <c r="U281" s="10">
        <f>IF($C281="","",$S281-$T281)</f>
        <v/>
      </c>
      <c r="V281" s="11">
        <f>IF(OR($C281="",$I281=0),"",CEILING($T281/$I281,1))</f>
        <v/>
      </c>
      <c r="W281" s="6" t="n"/>
      <c r="X281">
        <f>IF(C281="","",LOWER(SUBSTITUTE(SUBSTITUTE(C281," ","-"),"'",""))&amp;".jpg")</f>
        <v/>
      </c>
      <c r="Y281">
        <f>IF(X281="","","/inventory/"&amp;X281)</f>
        <v/>
      </c>
      <c r="Z281">
        <f>IF(O281="Available","available",IF(OR(O281="Rented",O281="Cleaning",O281="Repair"),"unavailable",IF(O281="Retired","unavailable","")))</f>
        <v/>
      </c>
    </row>
    <row r="282" ht="150" customHeight="1">
      <c r="A282" t="inlineStr">
        <is>
          <t>W281</t>
        </is>
      </c>
      <c r="B282" s="6" t="n"/>
      <c r="C282" s="21" t="n"/>
      <c r="D282" s="25" t="n"/>
      <c r="E282" s="6" t="n"/>
      <c r="F282" s="19">
        <f>IF(E282="","",_xlfn.IMAGE(E282))</f>
        <v/>
      </c>
      <c r="G282" s="17" t="n"/>
      <c r="H282" s="39" t="n"/>
      <c r="I282" s="7" t="n"/>
      <c r="J282" s="25" t="n"/>
      <c r="K282" s="28" t="n"/>
      <c r="L282" s="6" t="n"/>
      <c r="M282" s="6" t="n"/>
      <c r="N282" s="6" t="n"/>
      <c r="O282" s="6" t="n"/>
      <c r="P282" s="8" t="n"/>
      <c r="Q282" s="7" t="n"/>
      <c r="R282" s="9" t="n"/>
      <c r="S282" s="10">
        <f>IF($C282="","",$I282*$R282)</f>
        <v/>
      </c>
      <c r="T282" s="10">
        <f>IF($C282="","",(IF($N282="Purchased",$H282,0)+$Q282))</f>
        <v/>
      </c>
      <c r="U282" s="10">
        <f>IF($C282="","",$S282-$T282)</f>
        <v/>
      </c>
      <c r="V282" s="11">
        <f>IF(OR($C282="",$I282=0),"",CEILING($T282/$I282,1))</f>
        <v/>
      </c>
      <c r="W282" s="6" t="n"/>
      <c r="X282">
        <f>IF(C282="","",LOWER(SUBSTITUTE(SUBSTITUTE(C282," ","-"),"'",""))&amp;".jpg")</f>
        <v/>
      </c>
      <c r="Y282">
        <f>IF(X282="","","/inventory/"&amp;X282)</f>
        <v/>
      </c>
      <c r="Z282">
        <f>IF(O282="Available","available",IF(OR(O282="Rented",O282="Cleaning",O282="Repair"),"unavailable",IF(O282="Retired","unavailable","")))</f>
        <v/>
      </c>
    </row>
    <row r="283" ht="150" customHeight="1">
      <c r="A283" t="inlineStr">
        <is>
          <t>W282</t>
        </is>
      </c>
      <c r="B283" s="6" t="n"/>
      <c r="C283" s="21" t="n"/>
      <c r="D283" s="25" t="n"/>
      <c r="E283" s="6" t="n"/>
      <c r="F283" s="19">
        <f>IF(E283="","",_xlfn.IMAGE(E283))</f>
        <v/>
      </c>
      <c r="G283" s="17" t="n"/>
      <c r="H283" s="39" t="n"/>
      <c r="I283" s="7" t="n"/>
      <c r="J283" s="25" t="n"/>
      <c r="K283" s="28" t="n"/>
      <c r="L283" s="6" t="n"/>
      <c r="M283" s="6" t="n"/>
      <c r="N283" s="6" t="n"/>
      <c r="O283" s="6" t="n"/>
      <c r="P283" s="8" t="n"/>
      <c r="Q283" s="7" t="n"/>
      <c r="R283" s="9" t="n"/>
      <c r="S283" s="10">
        <f>IF($C283="","",$I283*$R283)</f>
        <v/>
      </c>
      <c r="T283" s="10">
        <f>IF($C283="","",(IF($N283="Purchased",$H283,0)+$Q283))</f>
        <v/>
      </c>
      <c r="U283" s="10">
        <f>IF($C283="","",$S283-$T283)</f>
        <v/>
      </c>
      <c r="V283" s="11">
        <f>IF(OR($C283="",$I283=0),"",CEILING($T283/$I283,1))</f>
        <v/>
      </c>
      <c r="W283" s="6" t="n"/>
      <c r="X283">
        <f>IF(C283="","",LOWER(SUBSTITUTE(SUBSTITUTE(C283," ","-"),"'",""))&amp;".jpg")</f>
        <v/>
      </c>
      <c r="Y283">
        <f>IF(X283="","","/inventory/"&amp;X283)</f>
        <v/>
      </c>
      <c r="Z283">
        <f>IF(O283="Available","available",IF(OR(O283="Rented",O283="Cleaning",O283="Repair"),"unavailable",IF(O283="Retired","unavailable","")))</f>
        <v/>
      </c>
    </row>
    <row r="284" ht="150" customHeight="1">
      <c r="A284" t="inlineStr">
        <is>
          <t>W283</t>
        </is>
      </c>
      <c r="B284" s="6" t="n"/>
      <c r="C284" s="21" t="n"/>
      <c r="D284" s="25" t="n"/>
      <c r="E284" s="6" t="n"/>
      <c r="F284" s="19">
        <f>IF(E284="","",_xlfn.IMAGE(E284))</f>
        <v/>
      </c>
      <c r="G284" s="17" t="n"/>
      <c r="H284" s="39" t="n"/>
      <c r="I284" s="7" t="n"/>
      <c r="J284" s="25" t="n"/>
      <c r="K284" s="28" t="n"/>
      <c r="L284" s="6" t="n"/>
      <c r="M284" s="6" t="n"/>
      <c r="N284" s="6" t="n"/>
      <c r="O284" s="6" t="n"/>
      <c r="P284" s="8" t="n"/>
      <c r="Q284" s="7" t="n"/>
      <c r="R284" s="9" t="n"/>
      <c r="S284" s="10">
        <f>IF($C284="","",$I284*$R284)</f>
        <v/>
      </c>
      <c r="T284" s="10">
        <f>IF($C284="","",(IF($N284="Purchased",$H284,0)+$Q284))</f>
        <v/>
      </c>
      <c r="U284" s="10">
        <f>IF($C284="","",$S284-$T284)</f>
        <v/>
      </c>
      <c r="V284" s="11">
        <f>IF(OR($C284="",$I284=0),"",CEILING($T284/$I284,1))</f>
        <v/>
      </c>
      <c r="W284" s="6" t="n"/>
      <c r="X284">
        <f>IF(C284="","",LOWER(SUBSTITUTE(SUBSTITUTE(C284," ","-"),"'",""))&amp;".jpg")</f>
        <v/>
      </c>
      <c r="Y284">
        <f>IF(X284="","","/inventory/"&amp;X284)</f>
        <v/>
      </c>
      <c r="Z284">
        <f>IF(O284="Available","available",IF(OR(O284="Rented",O284="Cleaning",O284="Repair"),"unavailable",IF(O284="Retired","unavailable","")))</f>
        <v/>
      </c>
    </row>
    <row r="285" ht="150" customHeight="1">
      <c r="A285" t="inlineStr">
        <is>
          <t>W284</t>
        </is>
      </c>
      <c r="B285" s="6" t="n"/>
      <c r="C285" s="21" t="n"/>
      <c r="D285" s="25" t="n"/>
      <c r="E285" s="6" t="n"/>
      <c r="F285" s="19">
        <f>IF(E285="","",_xlfn.IMAGE(E285))</f>
        <v/>
      </c>
      <c r="G285" s="17" t="n"/>
      <c r="H285" s="39" t="n"/>
      <c r="I285" s="7" t="n"/>
      <c r="J285" s="25" t="n"/>
      <c r="K285" s="28" t="n"/>
      <c r="L285" s="6" t="n"/>
      <c r="M285" s="6" t="n"/>
      <c r="N285" s="6" t="n"/>
      <c r="O285" s="6" t="n"/>
      <c r="P285" s="8" t="n"/>
      <c r="Q285" s="7" t="n"/>
      <c r="R285" s="9" t="n"/>
      <c r="S285" s="10">
        <f>IF($C285="","",$I285*$R285)</f>
        <v/>
      </c>
      <c r="T285" s="10">
        <f>IF($C285="","",(IF($N285="Purchased",$H285,0)+$Q285))</f>
        <v/>
      </c>
      <c r="U285" s="10">
        <f>IF($C285="","",$S285-$T285)</f>
        <v/>
      </c>
      <c r="V285" s="11">
        <f>IF(OR($C285="",$I285=0),"",CEILING($T285/$I285,1))</f>
        <v/>
      </c>
      <c r="W285" s="6" t="n"/>
      <c r="X285">
        <f>IF(C285="","",LOWER(SUBSTITUTE(SUBSTITUTE(C285," ","-"),"'",""))&amp;".jpg")</f>
        <v/>
      </c>
      <c r="Y285">
        <f>IF(X285="","","/inventory/"&amp;X285)</f>
        <v/>
      </c>
      <c r="Z285">
        <f>IF(O285="Available","available",IF(OR(O285="Rented",O285="Cleaning",O285="Repair"),"unavailable",IF(O285="Retired","unavailable","")))</f>
        <v/>
      </c>
    </row>
    <row r="286" ht="150" customHeight="1">
      <c r="A286" t="inlineStr">
        <is>
          <t>W285</t>
        </is>
      </c>
      <c r="B286" s="6" t="n"/>
      <c r="C286" s="21" t="n"/>
      <c r="D286" s="25" t="n"/>
      <c r="E286" s="6" t="n"/>
      <c r="F286" s="19">
        <f>IF(E286="","",_xlfn.IMAGE(E286))</f>
        <v/>
      </c>
      <c r="G286" s="17" t="n"/>
      <c r="H286" s="39" t="n"/>
      <c r="I286" s="7" t="n"/>
      <c r="J286" s="25" t="n"/>
      <c r="K286" s="28" t="n"/>
      <c r="L286" s="6" t="n"/>
      <c r="M286" s="6" t="n"/>
      <c r="N286" s="6" t="n"/>
      <c r="O286" s="6" t="n"/>
      <c r="P286" s="8" t="n"/>
      <c r="Q286" s="7" t="n"/>
      <c r="R286" s="9" t="n"/>
      <c r="S286" s="10">
        <f>IF($C286="","",$I286*$R286)</f>
        <v/>
      </c>
      <c r="T286" s="10">
        <f>IF($C286="","",(IF($N286="Purchased",$H286,0)+$Q286))</f>
        <v/>
      </c>
      <c r="U286" s="10">
        <f>IF($C286="","",$S286-$T286)</f>
        <v/>
      </c>
      <c r="V286" s="11">
        <f>IF(OR($C286="",$I286=0),"",CEILING($T286/$I286,1))</f>
        <v/>
      </c>
      <c r="W286" s="6" t="n"/>
      <c r="X286">
        <f>IF(C286="","",LOWER(SUBSTITUTE(SUBSTITUTE(C286," ","-"),"'",""))&amp;".jpg")</f>
        <v/>
      </c>
      <c r="Y286">
        <f>IF(X286="","","/inventory/"&amp;X286)</f>
        <v/>
      </c>
      <c r="Z286">
        <f>IF(O286="Available","available",IF(OR(O286="Rented",O286="Cleaning",O286="Repair"),"unavailable",IF(O286="Retired","unavailable","")))</f>
        <v/>
      </c>
    </row>
    <row r="287" ht="150" customHeight="1">
      <c r="A287" t="inlineStr">
        <is>
          <t>W286</t>
        </is>
      </c>
      <c r="B287" s="6" t="n"/>
      <c r="C287" s="21" t="n"/>
      <c r="D287" s="25" t="n"/>
      <c r="E287" s="6" t="n"/>
      <c r="F287" s="19">
        <f>IF(E287="","",_xlfn.IMAGE(E287))</f>
        <v/>
      </c>
      <c r="G287" s="17" t="n"/>
      <c r="H287" s="39" t="n"/>
      <c r="I287" s="7" t="n"/>
      <c r="J287" s="25" t="n"/>
      <c r="K287" s="28" t="n"/>
      <c r="L287" s="6" t="n"/>
      <c r="M287" s="6" t="n"/>
      <c r="N287" s="6" t="n"/>
      <c r="O287" s="6" t="n"/>
      <c r="P287" s="8" t="n"/>
      <c r="Q287" s="7" t="n"/>
      <c r="R287" s="9" t="n"/>
      <c r="S287" s="10">
        <f>IF($C287="","",$I287*$R287)</f>
        <v/>
      </c>
      <c r="T287" s="10">
        <f>IF($C287="","",(IF($N287="Purchased",$H287,0)+$Q287))</f>
        <v/>
      </c>
      <c r="U287" s="10">
        <f>IF($C287="","",$S287-$T287)</f>
        <v/>
      </c>
      <c r="V287" s="11">
        <f>IF(OR($C287="",$I287=0),"",CEILING($T287/$I287,1))</f>
        <v/>
      </c>
      <c r="W287" s="6" t="n"/>
      <c r="X287">
        <f>IF(C287="","",LOWER(SUBSTITUTE(SUBSTITUTE(C287," ","-"),"'",""))&amp;".jpg")</f>
        <v/>
      </c>
      <c r="Y287">
        <f>IF(X287="","","/inventory/"&amp;X287)</f>
        <v/>
      </c>
      <c r="Z287">
        <f>IF(O287="Available","available",IF(OR(O287="Rented",O287="Cleaning",O287="Repair"),"unavailable",IF(O287="Retired","unavailable","")))</f>
        <v/>
      </c>
    </row>
    <row r="288" ht="150" customHeight="1">
      <c r="A288" t="inlineStr">
        <is>
          <t>W287</t>
        </is>
      </c>
      <c r="B288" s="6" t="n"/>
      <c r="C288" s="21" t="n"/>
      <c r="D288" s="25" t="n"/>
      <c r="E288" s="6" t="n"/>
      <c r="F288" s="19">
        <f>IF(E288="","",_xlfn.IMAGE(E288))</f>
        <v/>
      </c>
      <c r="G288" s="17" t="n"/>
      <c r="H288" s="39" t="n"/>
      <c r="I288" s="7" t="n"/>
      <c r="J288" s="25" t="n"/>
      <c r="K288" s="28" t="n"/>
      <c r="L288" s="6" t="n"/>
      <c r="M288" s="6" t="n"/>
      <c r="N288" s="6" t="n"/>
      <c r="O288" s="6" t="n"/>
      <c r="P288" s="8" t="n"/>
      <c r="Q288" s="7" t="n"/>
      <c r="R288" s="9" t="n"/>
      <c r="S288" s="10">
        <f>IF($C288="","",$I288*$R288)</f>
        <v/>
      </c>
      <c r="T288" s="10">
        <f>IF($C288="","",(IF($N288="Purchased",$H288,0)+$Q288))</f>
        <v/>
      </c>
      <c r="U288" s="10">
        <f>IF($C288="","",$S288-$T288)</f>
        <v/>
      </c>
      <c r="V288" s="11">
        <f>IF(OR($C288="",$I288=0),"",CEILING($T288/$I288,1))</f>
        <v/>
      </c>
      <c r="W288" s="6" t="n"/>
      <c r="X288">
        <f>IF(C288="","",LOWER(SUBSTITUTE(SUBSTITUTE(C288," ","-"),"'",""))&amp;".jpg")</f>
        <v/>
      </c>
      <c r="Y288">
        <f>IF(X288="","","/inventory/"&amp;X288)</f>
        <v/>
      </c>
      <c r="Z288">
        <f>IF(O288="Available","available",IF(OR(O288="Rented",O288="Cleaning",O288="Repair"),"unavailable",IF(O288="Retired","unavailable","")))</f>
        <v/>
      </c>
    </row>
    <row r="289" ht="150" customHeight="1">
      <c r="A289" t="inlineStr">
        <is>
          <t>W288</t>
        </is>
      </c>
      <c r="B289" s="6" t="n"/>
      <c r="C289" s="21" t="n"/>
      <c r="D289" s="25" t="n"/>
      <c r="E289" s="6" t="n"/>
      <c r="F289" s="19">
        <f>IF(E289="","",_xlfn.IMAGE(E289))</f>
        <v/>
      </c>
      <c r="G289" s="17" t="n"/>
      <c r="H289" s="39" t="n"/>
      <c r="I289" s="7" t="n"/>
      <c r="J289" s="25" t="n"/>
      <c r="K289" s="28" t="n"/>
      <c r="L289" s="6" t="n"/>
      <c r="M289" s="6" t="n"/>
      <c r="N289" s="6" t="n"/>
      <c r="O289" s="6" t="n"/>
      <c r="P289" s="8" t="n"/>
      <c r="Q289" s="7" t="n"/>
      <c r="R289" s="9" t="n"/>
      <c r="S289" s="10">
        <f>IF($C289="","",$I289*$R289)</f>
        <v/>
      </c>
      <c r="T289" s="10">
        <f>IF($C289="","",(IF($N289="Purchased",$H289,0)+$Q289))</f>
        <v/>
      </c>
      <c r="U289" s="10">
        <f>IF($C289="","",$S289-$T289)</f>
        <v/>
      </c>
      <c r="V289" s="11">
        <f>IF(OR($C289="",$I289=0),"",CEILING($T289/$I289,1))</f>
        <v/>
      </c>
      <c r="W289" s="6" t="n"/>
      <c r="X289">
        <f>IF(C289="","",LOWER(SUBSTITUTE(SUBSTITUTE(C289," ","-"),"'",""))&amp;".jpg")</f>
        <v/>
      </c>
      <c r="Y289">
        <f>IF(X289="","","/inventory/"&amp;X289)</f>
        <v/>
      </c>
      <c r="Z289">
        <f>IF(O289="Available","available",IF(OR(O289="Rented",O289="Cleaning",O289="Repair"),"unavailable",IF(O289="Retired","unavailable","")))</f>
        <v/>
      </c>
    </row>
    <row r="290" ht="150" customHeight="1">
      <c r="A290" t="inlineStr">
        <is>
          <t>W289</t>
        </is>
      </c>
      <c r="B290" s="6" t="n"/>
      <c r="C290" s="21" t="n"/>
      <c r="D290" s="25" t="n"/>
      <c r="E290" s="6" t="n"/>
      <c r="F290" s="19">
        <f>IF(E290="","",_xlfn.IMAGE(E290))</f>
        <v/>
      </c>
      <c r="G290" s="17" t="n"/>
      <c r="H290" s="39" t="n"/>
      <c r="I290" s="7" t="n"/>
      <c r="J290" s="25" t="n"/>
      <c r="K290" s="28" t="n"/>
      <c r="L290" s="6" t="n"/>
      <c r="M290" s="6" t="n"/>
      <c r="N290" s="6" t="n"/>
      <c r="O290" s="6" t="n"/>
      <c r="P290" s="8" t="n"/>
      <c r="Q290" s="7" t="n"/>
      <c r="R290" s="9" t="n"/>
      <c r="S290" s="10">
        <f>IF($C290="","",$I290*$R290)</f>
        <v/>
      </c>
      <c r="T290" s="10">
        <f>IF($C290="","",(IF($N290="Purchased",$H290,0)+$Q290))</f>
        <v/>
      </c>
      <c r="U290" s="10">
        <f>IF($C290="","",$S290-$T290)</f>
        <v/>
      </c>
      <c r="V290" s="11">
        <f>IF(OR($C290="",$I290=0),"",CEILING($T290/$I290,1))</f>
        <v/>
      </c>
      <c r="W290" s="6" t="n"/>
      <c r="X290">
        <f>IF(C290="","",LOWER(SUBSTITUTE(SUBSTITUTE(C290," ","-"),"'",""))&amp;".jpg")</f>
        <v/>
      </c>
      <c r="Y290">
        <f>IF(X290="","","/inventory/"&amp;X290)</f>
        <v/>
      </c>
      <c r="Z290">
        <f>IF(O290="Available","available",IF(OR(O290="Rented",O290="Cleaning",O290="Repair"),"unavailable",IF(O290="Retired","unavailable","")))</f>
        <v/>
      </c>
    </row>
    <row r="291" ht="150" customHeight="1">
      <c r="A291" t="inlineStr">
        <is>
          <t>W290</t>
        </is>
      </c>
      <c r="B291" s="6" t="n"/>
      <c r="C291" s="21" t="n"/>
      <c r="D291" s="25" t="n"/>
      <c r="E291" s="6" t="n"/>
      <c r="F291" s="19">
        <f>IF(E291="","",_xlfn.IMAGE(E291))</f>
        <v/>
      </c>
      <c r="G291" s="17" t="n"/>
      <c r="H291" s="39" t="n"/>
      <c r="I291" s="7" t="n"/>
      <c r="J291" s="25" t="n"/>
      <c r="K291" s="28" t="n"/>
      <c r="L291" s="6" t="n"/>
      <c r="M291" s="6" t="n"/>
      <c r="N291" s="6" t="n"/>
      <c r="O291" s="6" t="n"/>
      <c r="P291" s="8" t="n"/>
      <c r="Q291" s="7" t="n"/>
      <c r="R291" s="9" t="n"/>
      <c r="S291" s="10">
        <f>IF($C291="","",$I291*$R291)</f>
        <v/>
      </c>
      <c r="T291" s="10">
        <f>IF($C291="","",(IF($N291="Purchased",$H291,0)+$Q291))</f>
        <v/>
      </c>
      <c r="U291" s="10">
        <f>IF($C291="","",$S291-$T291)</f>
        <v/>
      </c>
      <c r="V291" s="11">
        <f>IF(OR($C291="",$I291=0),"",CEILING($T291/$I291,1))</f>
        <v/>
      </c>
      <c r="W291" s="6" t="n"/>
      <c r="X291">
        <f>IF(C291="","",LOWER(SUBSTITUTE(SUBSTITUTE(C291," ","-"),"'",""))&amp;".jpg")</f>
        <v/>
      </c>
      <c r="Y291">
        <f>IF(X291="","","/inventory/"&amp;X291)</f>
        <v/>
      </c>
      <c r="Z291">
        <f>IF(O291="Available","available",IF(OR(O291="Rented",O291="Cleaning",O291="Repair"),"unavailable",IF(O291="Retired","unavailable","")))</f>
        <v/>
      </c>
    </row>
    <row r="292" ht="150" customHeight="1">
      <c r="A292" t="inlineStr">
        <is>
          <t>W291</t>
        </is>
      </c>
      <c r="B292" s="6" t="n"/>
      <c r="C292" s="21" t="n"/>
      <c r="D292" s="25" t="n"/>
      <c r="E292" s="6" t="n"/>
      <c r="F292" s="19">
        <f>IF(E292="","",_xlfn.IMAGE(E292))</f>
        <v/>
      </c>
      <c r="G292" s="17" t="n"/>
      <c r="H292" s="39" t="n"/>
      <c r="I292" s="7" t="n"/>
      <c r="J292" s="25" t="n"/>
      <c r="K292" s="28" t="n"/>
      <c r="L292" s="6" t="n"/>
      <c r="M292" s="6" t="n"/>
      <c r="N292" s="6" t="n"/>
      <c r="O292" s="6" t="n"/>
      <c r="P292" s="8" t="n"/>
      <c r="Q292" s="7" t="n"/>
      <c r="R292" s="9" t="n"/>
      <c r="S292" s="10">
        <f>IF($C292="","",$I292*$R292)</f>
        <v/>
      </c>
      <c r="T292" s="10">
        <f>IF($C292="","",(IF($N292="Purchased",$H292,0)+$Q292))</f>
        <v/>
      </c>
      <c r="U292" s="10">
        <f>IF($C292="","",$S292-$T292)</f>
        <v/>
      </c>
      <c r="V292" s="11">
        <f>IF(OR($C292="",$I292=0),"",CEILING($T292/$I292,1))</f>
        <v/>
      </c>
      <c r="W292" s="6" t="n"/>
      <c r="X292">
        <f>IF(C292="","",LOWER(SUBSTITUTE(SUBSTITUTE(C292," ","-"),"'",""))&amp;".jpg")</f>
        <v/>
      </c>
      <c r="Y292">
        <f>IF(X292="","","/inventory/"&amp;X292)</f>
        <v/>
      </c>
      <c r="Z292">
        <f>IF(O292="Available","available",IF(OR(O292="Rented",O292="Cleaning",O292="Repair"),"unavailable",IF(O292="Retired","unavailable","")))</f>
        <v/>
      </c>
    </row>
    <row r="293" ht="150" customHeight="1">
      <c r="A293" t="inlineStr">
        <is>
          <t>W292</t>
        </is>
      </c>
      <c r="B293" s="6" t="n"/>
      <c r="C293" s="21" t="n"/>
      <c r="D293" s="25" t="n"/>
      <c r="E293" s="6" t="n"/>
      <c r="F293" s="19">
        <f>IF(E293="","",_xlfn.IMAGE(E293))</f>
        <v/>
      </c>
      <c r="G293" s="17" t="n"/>
      <c r="H293" s="39" t="n"/>
      <c r="I293" s="7" t="n"/>
      <c r="J293" s="25" t="n"/>
      <c r="K293" s="28" t="n"/>
      <c r="L293" s="6" t="n"/>
      <c r="M293" s="6" t="n"/>
      <c r="N293" s="6" t="n"/>
      <c r="O293" s="6" t="n"/>
      <c r="P293" s="8" t="n"/>
      <c r="Q293" s="7" t="n"/>
      <c r="R293" s="9" t="n"/>
      <c r="S293" s="10">
        <f>IF($C293="","",$I293*$R293)</f>
        <v/>
      </c>
      <c r="T293" s="10">
        <f>IF($C293="","",(IF($N293="Purchased",$H293,0)+$Q293))</f>
        <v/>
      </c>
      <c r="U293" s="10">
        <f>IF($C293="","",$S293-$T293)</f>
        <v/>
      </c>
      <c r="V293" s="11">
        <f>IF(OR($C293="",$I293=0),"",CEILING($T293/$I293,1))</f>
        <v/>
      </c>
      <c r="W293" s="6" t="n"/>
      <c r="X293">
        <f>IF(C293="","",LOWER(SUBSTITUTE(SUBSTITUTE(C293," ","-"),"'",""))&amp;".jpg")</f>
        <v/>
      </c>
      <c r="Y293">
        <f>IF(X293="","","/inventory/"&amp;X293)</f>
        <v/>
      </c>
      <c r="Z293">
        <f>IF(O293="Available","available",IF(OR(O293="Rented",O293="Cleaning",O293="Repair"),"unavailable",IF(O293="Retired","unavailable","")))</f>
        <v/>
      </c>
    </row>
    <row r="294" ht="150" customHeight="1">
      <c r="A294" t="inlineStr">
        <is>
          <t>W293</t>
        </is>
      </c>
      <c r="B294" s="6" t="n"/>
      <c r="C294" s="21" t="n"/>
      <c r="D294" s="25" t="n"/>
      <c r="E294" s="6" t="n"/>
      <c r="F294" s="19">
        <f>IF(E294="","",_xlfn.IMAGE(E294))</f>
        <v/>
      </c>
      <c r="G294" s="17" t="n"/>
      <c r="H294" s="39" t="n"/>
      <c r="I294" s="7" t="n"/>
      <c r="J294" s="25" t="n"/>
      <c r="K294" s="28" t="n"/>
      <c r="L294" s="6" t="n"/>
      <c r="M294" s="6" t="n"/>
      <c r="N294" s="6" t="n"/>
      <c r="O294" s="6" t="n"/>
      <c r="P294" s="8" t="n"/>
      <c r="Q294" s="7" t="n"/>
      <c r="R294" s="9" t="n"/>
      <c r="S294" s="10">
        <f>IF($C294="","",$I294*$R294)</f>
        <v/>
      </c>
      <c r="T294" s="10">
        <f>IF($C294="","",(IF($N294="Purchased",$H294,0)+$Q294))</f>
        <v/>
      </c>
      <c r="U294" s="10">
        <f>IF($C294="","",$S294-$T294)</f>
        <v/>
      </c>
      <c r="V294" s="11">
        <f>IF(OR($C294="",$I294=0),"",CEILING($T294/$I294,1))</f>
        <v/>
      </c>
      <c r="W294" s="6" t="n"/>
      <c r="X294">
        <f>IF(C294="","",LOWER(SUBSTITUTE(SUBSTITUTE(C294," ","-"),"'",""))&amp;".jpg")</f>
        <v/>
      </c>
      <c r="Y294">
        <f>IF(X294="","","/inventory/"&amp;X294)</f>
        <v/>
      </c>
      <c r="Z294">
        <f>IF(O294="Available","available",IF(OR(O294="Rented",O294="Cleaning",O294="Repair"),"unavailable",IF(O294="Retired","unavailable","")))</f>
        <v/>
      </c>
    </row>
    <row r="295" ht="150" customHeight="1">
      <c r="A295" t="inlineStr">
        <is>
          <t>W294</t>
        </is>
      </c>
      <c r="B295" s="6" t="n"/>
      <c r="C295" s="21" t="n"/>
      <c r="D295" s="25" t="n"/>
      <c r="E295" s="6" t="n"/>
      <c r="F295" s="19">
        <f>IF(E295="","",_xlfn.IMAGE(E295))</f>
        <v/>
      </c>
      <c r="G295" s="17" t="n"/>
      <c r="H295" s="39" t="n"/>
      <c r="I295" s="7" t="n"/>
      <c r="J295" s="25" t="n"/>
      <c r="K295" s="28" t="n"/>
      <c r="L295" s="6" t="n"/>
      <c r="M295" s="6" t="n"/>
      <c r="N295" s="6" t="n"/>
      <c r="O295" s="6" t="n"/>
      <c r="P295" s="8" t="n"/>
      <c r="Q295" s="7" t="n"/>
      <c r="R295" s="9" t="n"/>
      <c r="S295" s="10">
        <f>IF($C295="","",$I295*$R295)</f>
        <v/>
      </c>
      <c r="T295" s="10">
        <f>IF($C295="","",(IF($N295="Purchased",$H295,0)+$Q295))</f>
        <v/>
      </c>
      <c r="U295" s="10">
        <f>IF($C295="","",$S295-$T295)</f>
        <v/>
      </c>
      <c r="V295" s="11">
        <f>IF(OR($C295="",$I295=0),"",CEILING($T295/$I295,1))</f>
        <v/>
      </c>
      <c r="W295" s="6" t="n"/>
      <c r="X295">
        <f>IF(C295="","",LOWER(SUBSTITUTE(SUBSTITUTE(C295," ","-"),"'",""))&amp;".jpg")</f>
        <v/>
      </c>
      <c r="Y295">
        <f>IF(X295="","","/inventory/"&amp;X295)</f>
        <v/>
      </c>
      <c r="Z295">
        <f>IF(O295="Available","available",IF(OR(O295="Rented",O295="Cleaning",O295="Repair"),"unavailable",IF(O295="Retired","unavailable","")))</f>
        <v/>
      </c>
    </row>
    <row r="296" ht="150" customHeight="1">
      <c r="A296" t="inlineStr">
        <is>
          <t>W295</t>
        </is>
      </c>
      <c r="B296" s="6" t="n"/>
      <c r="C296" s="21" t="n"/>
      <c r="D296" s="25" t="n"/>
      <c r="E296" s="6" t="n"/>
      <c r="F296" s="19">
        <f>IF(E296="","",_xlfn.IMAGE(E296))</f>
        <v/>
      </c>
      <c r="G296" s="17" t="n"/>
      <c r="H296" s="39" t="n"/>
      <c r="I296" s="7" t="n"/>
      <c r="J296" s="25" t="n"/>
      <c r="K296" s="28" t="n"/>
      <c r="L296" s="6" t="n"/>
      <c r="M296" s="6" t="n"/>
      <c r="N296" s="6" t="n"/>
      <c r="O296" s="6" t="n"/>
      <c r="P296" s="8" t="n"/>
      <c r="Q296" s="7" t="n"/>
      <c r="R296" s="9" t="n"/>
      <c r="S296" s="10">
        <f>IF($C296="","",$I296*$R296)</f>
        <v/>
      </c>
      <c r="T296" s="10">
        <f>IF($C296="","",(IF($N296="Purchased",$H296,0)+$Q296))</f>
        <v/>
      </c>
      <c r="U296" s="10">
        <f>IF($C296="","",$S296-$T296)</f>
        <v/>
      </c>
      <c r="V296" s="11">
        <f>IF(OR($C296="",$I296=0),"",CEILING($T296/$I296,1))</f>
        <v/>
      </c>
      <c r="W296" s="6" t="n"/>
      <c r="X296">
        <f>IF(C296="","",LOWER(SUBSTITUTE(SUBSTITUTE(C296," ","-"),"'",""))&amp;".jpg")</f>
        <v/>
      </c>
      <c r="Y296">
        <f>IF(X296="","","/inventory/"&amp;X296)</f>
        <v/>
      </c>
      <c r="Z296">
        <f>IF(O296="Available","available",IF(OR(O296="Rented",O296="Cleaning",O296="Repair"),"unavailable",IF(O296="Retired","unavailable","")))</f>
        <v/>
      </c>
    </row>
    <row r="297" ht="150" customHeight="1">
      <c r="A297" t="inlineStr">
        <is>
          <t>W296</t>
        </is>
      </c>
      <c r="B297" s="6" t="n"/>
      <c r="C297" s="21" t="n"/>
      <c r="D297" s="25" t="n"/>
      <c r="E297" s="6" t="n"/>
      <c r="F297" s="19">
        <f>IF(E297="","",_xlfn.IMAGE(E297))</f>
        <v/>
      </c>
      <c r="G297" s="17" t="n"/>
      <c r="H297" s="39" t="n"/>
      <c r="I297" s="7" t="n"/>
      <c r="J297" s="25" t="n"/>
      <c r="K297" s="28" t="n"/>
      <c r="L297" s="6" t="n"/>
      <c r="M297" s="6" t="n"/>
      <c r="N297" s="6" t="n"/>
      <c r="O297" s="6" t="n"/>
      <c r="P297" s="8" t="n"/>
      <c r="Q297" s="7" t="n"/>
      <c r="R297" s="9" t="n"/>
      <c r="S297" s="10">
        <f>IF($C297="","",$I297*$R297)</f>
        <v/>
      </c>
      <c r="T297" s="10">
        <f>IF($C297="","",(IF($N297="Purchased",$H297,0)+$Q297))</f>
        <v/>
      </c>
      <c r="U297" s="10">
        <f>IF($C297="","",$S297-$T297)</f>
        <v/>
      </c>
      <c r="V297" s="11">
        <f>IF(OR($C297="",$I297=0),"",CEILING($T297/$I297,1))</f>
        <v/>
      </c>
      <c r="W297" s="6" t="n"/>
      <c r="X297">
        <f>IF(C297="","",LOWER(SUBSTITUTE(SUBSTITUTE(C297," ","-"),"'",""))&amp;".jpg")</f>
        <v/>
      </c>
      <c r="Y297">
        <f>IF(X297="","","/inventory/"&amp;X297)</f>
        <v/>
      </c>
      <c r="Z297">
        <f>IF(O297="Available","available",IF(OR(O297="Rented",O297="Cleaning",O297="Repair"),"unavailable",IF(O297="Retired","unavailable","")))</f>
        <v/>
      </c>
    </row>
    <row r="298" ht="150" customHeight="1">
      <c r="A298" t="inlineStr">
        <is>
          <t>W297</t>
        </is>
      </c>
      <c r="B298" s="6" t="n"/>
      <c r="C298" s="21" t="n"/>
      <c r="D298" s="25" t="n"/>
      <c r="E298" s="6" t="n"/>
      <c r="F298" s="19">
        <f>IF(E298="","",_xlfn.IMAGE(E298))</f>
        <v/>
      </c>
      <c r="G298" s="17" t="n"/>
      <c r="H298" s="39" t="n"/>
      <c r="I298" s="7" t="n"/>
      <c r="J298" s="25" t="n"/>
      <c r="K298" s="28" t="n"/>
      <c r="L298" s="6" t="n"/>
      <c r="M298" s="6" t="n"/>
      <c r="N298" s="6" t="n"/>
      <c r="O298" s="6" t="n"/>
      <c r="P298" s="8" t="n"/>
      <c r="Q298" s="7" t="n"/>
      <c r="R298" s="9" t="n"/>
      <c r="S298" s="10">
        <f>IF($C298="","",$I298*$R298)</f>
        <v/>
      </c>
      <c r="T298" s="10">
        <f>IF($C298="","",(IF($N298="Purchased",$H298,0)+$Q298))</f>
        <v/>
      </c>
      <c r="U298" s="10">
        <f>IF($C298="","",$S298-$T298)</f>
        <v/>
      </c>
      <c r="V298" s="11">
        <f>IF(OR($C298="",$I298=0),"",CEILING($T298/$I298,1))</f>
        <v/>
      </c>
      <c r="W298" s="6" t="n"/>
      <c r="X298">
        <f>IF(C298="","",LOWER(SUBSTITUTE(SUBSTITUTE(C298," ","-"),"'",""))&amp;".jpg")</f>
        <v/>
      </c>
      <c r="Y298">
        <f>IF(X298="","","/inventory/"&amp;X298)</f>
        <v/>
      </c>
      <c r="Z298">
        <f>IF(O298="Available","available",IF(OR(O298="Rented",O298="Cleaning",O298="Repair"),"unavailable",IF(O298="Retired","unavailable","")))</f>
        <v/>
      </c>
    </row>
    <row r="299" ht="150" customHeight="1">
      <c r="A299" t="inlineStr">
        <is>
          <t>W298</t>
        </is>
      </c>
      <c r="B299" s="6" t="n"/>
      <c r="C299" s="21" t="n"/>
      <c r="D299" s="25" t="n"/>
      <c r="E299" s="6" t="n"/>
      <c r="F299" s="19">
        <f>IF(E299="","",_xlfn.IMAGE(E299))</f>
        <v/>
      </c>
      <c r="G299" s="17" t="n"/>
      <c r="H299" s="39" t="n"/>
      <c r="I299" s="7" t="n"/>
      <c r="J299" s="25" t="n"/>
      <c r="K299" s="28" t="n"/>
      <c r="L299" s="6" t="n"/>
      <c r="M299" s="6" t="n"/>
      <c r="N299" s="6" t="n"/>
      <c r="O299" s="6" t="n"/>
      <c r="P299" s="8" t="n"/>
      <c r="Q299" s="7" t="n"/>
      <c r="R299" s="9" t="n"/>
      <c r="S299" s="10">
        <f>IF($C299="","",$I299*$R299)</f>
        <v/>
      </c>
      <c r="T299" s="10">
        <f>IF($C299="","",(IF($N299="Purchased",$H299,0)+$Q299))</f>
        <v/>
      </c>
      <c r="U299" s="10">
        <f>IF($C299="","",$S299-$T299)</f>
        <v/>
      </c>
      <c r="V299" s="11">
        <f>IF(OR($C299="",$I299=0),"",CEILING($T299/$I299,1))</f>
        <v/>
      </c>
      <c r="W299" s="6" t="n"/>
      <c r="X299">
        <f>IF(C299="","",LOWER(SUBSTITUTE(SUBSTITUTE(C299," ","-"),"'",""))&amp;".jpg")</f>
        <v/>
      </c>
      <c r="Y299">
        <f>IF(X299="","","/inventory/"&amp;X299)</f>
        <v/>
      </c>
      <c r="Z299">
        <f>IF(O299="Available","available",IF(OR(O299="Rented",O299="Cleaning",O299="Repair"),"unavailable",IF(O299="Retired","unavailable","")))</f>
        <v/>
      </c>
    </row>
    <row r="300" ht="150" customHeight="1">
      <c r="A300" t="inlineStr">
        <is>
          <t>W299</t>
        </is>
      </c>
      <c r="B300" s="6" t="n"/>
      <c r="C300" s="21" t="n"/>
      <c r="D300" s="25" t="n"/>
      <c r="E300" s="6" t="n"/>
      <c r="F300" s="19">
        <f>IF(E300="","",_xlfn.IMAGE(E300))</f>
        <v/>
      </c>
      <c r="G300" s="17" t="n"/>
      <c r="H300" s="39" t="n"/>
      <c r="I300" s="7" t="n"/>
      <c r="J300" s="25" t="n"/>
      <c r="K300" s="28" t="n"/>
      <c r="L300" s="6" t="n"/>
      <c r="M300" s="6" t="n"/>
      <c r="N300" s="6" t="n"/>
      <c r="O300" s="6" t="n"/>
      <c r="P300" s="8" t="n"/>
      <c r="Q300" s="7" t="n"/>
      <c r="R300" s="9" t="n"/>
      <c r="S300" s="10">
        <f>IF($C300="","",$I300*$R300)</f>
        <v/>
      </c>
      <c r="T300" s="10">
        <f>IF($C300="","",(IF($N300="Purchased",$H300,0)+$Q300))</f>
        <v/>
      </c>
      <c r="U300" s="10">
        <f>IF($C300="","",$S300-$T300)</f>
        <v/>
      </c>
      <c r="V300" s="11">
        <f>IF(OR($C300="",$I300=0),"",CEILING($T300/$I300,1))</f>
        <v/>
      </c>
      <c r="W300" s="6" t="n"/>
      <c r="X300">
        <f>IF(C300="","",LOWER(SUBSTITUTE(SUBSTITUTE(C300," ","-"),"'",""))&amp;".jpg")</f>
        <v/>
      </c>
      <c r="Y300">
        <f>IF(X300="","","/inventory/"&amp;X300)</f>
        <v/>
      </c>
      <c r="Z300">
        <f>IF(O300="Available","available",IF(OR(O300="Rented",O300="Cleaning",O300="Repair"),"unavailable",IF(O300="Retired","unavailable","")))</f>
        <v/>
      </c>
    </row>
    <row r="301" ht="150" customHeight="1">
      <c r="A301" t="inlineStr">
        <is>
          <t>W300</t>
        </is>
      </c>
      <c r="B301" s="6" t="n"/>
      <c r="C301" s="21" t="n"/>
      <c r="D301" s="25" t="n"/>
      <c r="E301" s="6" t="n"/>
      <c r="F301" s="19">
        <f>IF(E301="","",_xlfn.IMAGE(E301))</f>
        <v/>
      </c>
      <c r="G301" s="17" t="n"/>
      <c r="H301" s="39" t="n"/>
      <c r="I301" s="7" t="n"/>
      <c r="J301" s="25" t="n"/>
      <c r="K301" s="28" t="n"/>
      <c r="L301" s="6" t="n"/>
      <c r="M301" s="6" t="n"/>
      <c r="N301" s="6" t="n"/>
      <c r="O301" s="6" t="n"/>
      <c r="P301" s="8" t="n"/>
      <c r="Q301" s="7" t="n"/>
      <c r="R301" s="9" t="n"/>
      <c r="S301" s="10">
        <f>IF($C301="","",$I301*$R301)</f>
        <v/>
      </c>
      <c r="T301" s="10">
        <f>IF($C301="","",(IF($N301="Purchased",$H301,0)+$Q301))</f>
        <v/>
      </c>
      <c r="U301" s="10">
        <f>IF($C301="","",$S301-$T301)</f>
        <v/>
      </c>
      <c r="V301" s="11">
        <f>IF(OR($C301="",$I301=0),"",CEILING($T301/$I301,1))</f>
        <v/>
      </c>
      <c r="W301" s="6" t="n"/>
      <c r="X301">
        <f>IF(C301="","",LOWER(SUBSTITUTE(SUBSTITUTE(C301," ","-"),"'",""))&amp;".jpg")</f>
        <v/>
      </c>
      <c r="Y301">
        <f>IF(X301="","","/inventory/"&amp;X301)</f>
        <v/>
      </c>
      <c r="Z301">
        <f>IF(O301="Available","available",IF(OR(O301="Rented",O301="Cleaning",O301="Repair"),"unavailable",IF(O301="Retired","unavailable","")))</f>
        <v/>
      </c>
    </row>
    <row r="302" ht="150" customHeight="1">
      <c r="A302" t="inlineStr">
        <is>
          <t>W301</t>
        </is>
      </c>
      <c r="B302" s="6" t="n"/>
      <c r="C302" s="21" t="n"/>
      <c r="D302" s="25" t="n"/>
      <c r="E302" s="6" t="n"/>
      <c r="F302" s="19">
        <f>IF(E302="","",_xlfn.IMAGE(E302))</f>
        <v/>
      </c>
      <c r="G302" s="17" t="n"/>
      <c r="H302" s="39" t="n"/>
      <c r="I302" s="7" t="n"/>
      <c r="J302" s="25" t="n"/>
      <c r="K302" s="28" t="n"/>
      <c r="L302" s="6" t="n"/>
      <c r="M302" s="6" t="n"/>
      <c r="N302" s="6" t="n"/>
      <c r="O302" s="6" t="n"/>
      <c r="P302" s="8" t="n"/>
      <c r="Q302" s="7" t="n"/>
      <c r="R302" s="9" t="n"/>
      <c r="S302" s="10">
        <f>IF($C302="","",$I302*$R302)</f>
        <v/>
      </c>
      <c r="T302" s="10">
        <f>IF($C302="","",(IF($N302="Purchased",$H302,0)+$Q302))</f>
        <v/>
      </c>
      <c r="U302" s="10">
        <f>IF($C302="","",$S302-$T302)</f>
        <v/>
      </c>
      <c r="V302" s="11">
        <f>IF(OR($C302="",$I302=0),"",CEILING($T302/$I302,1))</f>
        <v/>
      </c>
      <c r="W302" s="6" t="n"/>
      <c r="X302">
        <f>IF(C302="","",LOWER(SUBSTITUTE(SUBSTITUTE(C302," ","-"),"'",""))&amp;".jpg")</f>
        <v/>
      </c>
      <c r="Y302">
        <f>IF(X302="","","/inventory/"&amp;X302)</f>
        <v/>
      </c>
      <c r="Z302">
        <f>IF(O302="Available","available",IF(OR(O302="Rented",O302="Cleaning",O302="Repair"),"unavailable",IF(O302="Retired","unavailable","")))</f>
        <v/>
      </c>
    </row>
    <row r="303" ht="150" customHeight="1">
      <c r="A303" t="inlineStr">
        <is>
          <t>W302</t>
        </is>
      </c>
      <c r="B303" s="6" t="n"/>
      <c r="C303" s="21" t="n"/>
      <c r="D303" s="25" t="n"/>
      <c r="E303" s="6" t="n"/>
      <c r="F303" s="19">
        <f>IF(E303="","",_xlfn.IMAGE(E303))</f>
        <v/>
      </c>
      <c r="G303" s="17" t="n"/>
      <c r="H303" s="39" t="n"/>
      <c r="I303" s="7" t="n"/>
      <c r="J303" s="25" t="n"/>
      <c r="K303" s="28" t="n"/>
      <c r="L303" s="6" t="n"/>
      <c r="M303" s="6" t="n"/>
      <c r="N303" s="6" t="n"/>
      <c r="O303" s="6" t="n"/>
      <c r="P303" s="8" t="n"/>
      <c r="Q303" s="7" t="n"/>
      <c r="R303" s="9" t="n"/>
      <c r="S303" s="10">
        <f>IF($C303="","",$I303*$R303)</f>
        <v/>
      </c>
      <c r="T303" s="10">
        <f>IF($C303="","",(IF($N303="Purchased",$H303,0)+$Q303))</f>
        <v/>
      </c>
      <c r="U303" s="10">
        <f>IF($C303="","",$S303-$T303)</f>
        <v/>
      </c>
      <c r="V303" s="11">
        <f>IF(OR($C303="",$I303=0),"",CEILING($T303/$I303,1))</f>
        <v/>
      </c>
      <c r="W303" s="6" t="n"/>
      <c r="X303">
        <f>IF(C303="","",LOWER(SUBSTITUTE(SUBSTITUTE(C303," ","-"),"'",""))&amp;".jpg")</f>
        <v/>
      </c>
      <c r="Y303">
        <f>IF(X303="","","/inventory/"&amp;X303)</f>
        <v/>
      </c>
      <c r="Z303">
        <f>IF(O303="Available","available",IF(OR(O303="Rented",O303="Cleaning",O303="Repair"),"unavailable",IF(O303="Retired","unavailable","")))</f>
        <v/>
      </c>
    </row>
    <row r="304" ht="150" customHeight="1">
      <c r="A304" t="inlineStr">
        <is>
          <t>W303</t>
        </is>
      </c>
      <c r="B304" s="6" t="n"/>
      <c r="C304" s="21" t="n"/>
      <c r="D304" s="25" t="n"/>
      <c r="E304" s="6" t="n"/>
      <c r="F304" s="19">
        <f>IF(E304="","",_xlfn.IMAGE(E304))</f>
        <v/>
      </c>
      <c r="G304" s="17" t="n"/>
      <c r="H304" s="39" t="n"/>
      <c r="I304" s="7" t="n"/>
      <c r="J304" s="25" t="n"/>
      <c r="K304" s="28" t="n"/>
      <c r="L304" s="6" t="n"/>
      <c r="M304" s="6" t="n"/>
      <c r="N304" s="6" t="n"/>
      <c r="O304" s="6" t="n"/>
      <c r="P304" s="8" t="n"/>
      <c r="Q304" s="7" t="n"/>
      <c r="R304" s="9" t="n"/>
      <c r="S304" s="10">
        <f>IF($C304="","",$I304*$R304)</f>
        <v/>
      </c>
      <c r="T304" s="10">
        <f>IF($C304="","",(IF($N304="Purchased",$H304,0)+$Q304))</f>
        <v/>
      </c>
      <c r="U304" s="10">
        <f>IF($C304="","",$S304-$T304)</f>
        <v/>
      </c>
      <c r="V304" s="11">
        <f>IF(OR($C304="",$I304=0),"",CEILING($T304/$I304,1))</f>
        <v/>
      </c>
      <c r="W304" s="6" t="n"/>
      <c r="X304">
        <f>IF(C304="","",LOWER(SUBSTITUTE(SUBSTITUTE(C304," ","-"),"'",""))&amp;".jpg")</f>
        <v/>
      </c>
      <c r="Y304">
        <f>IF(X304="","","/inventory/"&amp;X304)</f>
        <v/>
      </c>
      <c r="Z304">
        <f>IF(O304="Available","available",IF(OR(O304="Rented",O304="Cleaning",O304="Repair"),"unavailable",IF(O304="Retired","unavailable","")))</f>
        <v/>
      </c>
    </row>
    <row r="305" ht="150" customHeight="1">
      <c r="A305" t="inlineStr">
        <is>
          <t>W304</t>
        </is>
      </c>
      <c r="B305" s="6" t="n"/>
      <c r="C305" s="21" t="n"/>
      <c r="D305" s="25" t="n"/>
      <c r="E305" s="6" t="n"/>
      <c r="F305" s="19">
        <f>IF(E305="","",_xlfn.IMAGE(E305))</f>
        <v/>
      </c>
      <c r="G305" s="17" t="n"/>
      <c r="H305" s="39" t="n"/>
      <c r="I305" s="7" t="n"/>
      <c r="J305" s="25" t="n"/>
      <c r="K305" s="28" t="n"/>
      <c r="L305" s="6" t="n"/>
      <c r="M305" s="6" t="n"/>
      <c r="N305" s="6" t="n"/>
      <c r="O305" s="6" t="n"/>
      <c r="P305" s="8" t="n"/>
      <c r="Q305" s="7" t="n"/>
      <c r="R305" s="9" t="n"/>
      <c r="S305" s="10">
        <f>IF($C305="","",$I305*$R305)</f>
        <v/>
      </c>
      <c r="T305" s="10">
        <f>IF($C305="","",(IF($N305="Purchased",$H305,0)+$Q305))</f>
        <v/>
      </c>
      <c r="U305" s="10">
        <f>IF($C305="","",$S305-$T305)</f>
        <v/>
      </c>
      <c r="V305" s="11">
        <f>IF(OR($C305="",$I305=0),"",CEILING($T305/$I305,1))</f>
        <v/>
      </c>
      <c r="W305" s="6" t="n"/>
      <c r="X305">
        <f>IF(C305="","",LOWER(SUBSTITUTE(SUBSTITUTE(C305," ","-"),"'",""))&amp;".jpg")</f>
        <v/>
      </c>
      <c r="Y305">
        <f>IF(X305="","","/inventory/"&amp;X305)</f>
        <v/>
      </c>
      <c r="Z305">
        <f>IF(O305="Available","available",IF(OR(O305="Rented",O305="Cleaning",O305="Repair"),"unavailable",IF(O305="Retired","unavailable","")))</f>
        <v/>
      </c>
    </row>
    <row r="306" ht="150" customHeight="1">
      <c r="A306" t="inlineStr">
        <is>
          <t>W305</t>
        </is>
      </c>
      <c r="B306" s="6" t="n"/>
      <c r="C306" s="21" t="n"/>
      <c r="D306" s="25" t="n"/>
      <c r="E306" s="6" t="n"/>
      <c r="F306" s="19">
        <f>IF(E306="","",_xlfn.IMAGE(E306))</f>
        <v/>
      </c>
      <c r="G306" s="17" t="n"/>
      <c r="H306" s="39" t="n"/>
      <c r="I306" s="7" t="n"/>
      <c r="J306" s="25" t="n"/>
      <c r="K306" s="28" t="n"/>
      <c r="L306" s="6" t="n"/>
      <c r="M306" s="6" t="n"/>
      <c r="N306" s="6" t="n"/>
      <c r="O306" s="6" t="n"/>
      <c r="P306" s="8" t="n"/>
      <c r="Q306" s="7" t="n"/>
      <c r="R306" s="9" t="n"/>
      <c r="S306" s="10">
        <f>IF($C306="","",$I306*$R306)</f>
        <v/>
      </c>
      <c r="T306" s="10">
        <f>IF($C306="","",(IF($N306="Purchased",$H306,0)+$Q306))</f>
        <v/>
      </c>
      <c r="U306" s="10">
        <f>IF($C306="","",$S306-$T306)</f>
        <v/>
      </c>
      <c r="V306" s="11">
        <f>IF(OR($C306="",$I306=0),"",CEILING($T306/$I306,1))</f>
        <v/>
      </c>
      <c r="W306" s="6" t="n"/>
      <c r="X306">
        <f>IF(C306="","",LOWER(SUBSTITUTE(SUBSTITUTE(C306," ","-"),"'",""))&amp;".jpg")</f>
        <v/>
      </c>
      <c r="Y306">
        <f>IF(X306="","","/inventory/"&amp;X306)</f>
        <v/>
      </c>
      <c r="Z306">
        <f>IF(O306="Available","available",IF(OR(O306="Rented",O306="Cleaning",O306="Repair"),"unavailable",IF(O306="Retired","unavailable","")))</f>
        <v/>
      </c>
    </row>
    <row r="307" ht="150" customHeight="1">
      <c r="A307" t="inlineStr">
        <is>
          <t>W306</t>
        </is>
      </c>
      <c r="B307" s="6" t="n"/>
      <c r="C307" s="21" t="n"/>
      <c r="D307" s="25" t="n"/>
      <c r="E307" s="6" t="n"/>
      <c r="F307" s="19">
        <f>IF(E307="","",_xlfn.IMAGE(E307))</f>
        <v/>
      </c>
      <c r="G307" s="17" t="n"/>
      <c r="H307" s="39" t="n"/>
      <c r="I307" s="7" t="n"/>
      <c r="J307" s="25" t="n"/>
      <c r="K307" s="28" t="n"/>
      <c r="L307" s="6" t="n"/>
      <c r="M307" s="6" t="n"/>
      <c r="N307" s="6" t="n"/>
      <c r="O307" s="6" t="n"/>
      <c r="P307" s="8" t="n"/>
      <c r="Q307" s="7" t="n"/>
      <c r="R307" s="9" t="n"/>
      <c r="S307" s="10">
        <f>IF($C307="","",$I307*$R307)</f>
        <v/>
      </c>
      <c r="T307" s="10">
        <f>IF($C307="","",(IF($N307="Purchased",$H307,0)+$Q307))</f>
        <v/>
      </c>
      <c r="U307" s="10">
        <f>IF($C307="","",$S307-$T307)</f>
        <v/>
      </c>
      <c r="V307" s="11">
        <f>IF(OR($C307="",$I307=0),"",CEILING($T307/$I307,1))</f>
        <v/>
      </c>
      <c r="W307" s="6" t="n"/>
      <c r="X307">
        <f>IF(C307="","",LOWER(SUBSTITUTE(SUBSTITUTE(C307," ","-"),"'",""))&amp;".jpg")</f>
        <v/>
      </c>
      <c r="Y307">
        <f>IF(X307="","","/inventory/"&amp;X307)</f>
        <v/>
      </c>
      <c r="Z307">
        <f>IF(O307="Available","available",IF(OR(O307="Rented",O307="Cleaning",O307="Repair"),"unavailable",IF(O307="Retired","unavailable","")))</f>
        <v/>
      </c>
    </row>
    <row r="308" ht="150" customHeight="1">
      <c r="A308" t="inlineStr">
        <is>
          <t>W307</t>
        </is>
      </c>
      <c r="B308" s="6" t="n"/>
      <c r="C308" s="21" t="n"/>
      <c r="D308" s="25" t="n"/>
      <c r="E308" s="6" t="n"/>
      <c r="F308" s="19">
        <f>IF(E308="","",_xlfn.IMAGE(E308))</f>
        <v/>
      </c>
      <c r="G308" s="17" t="n"/>
      <c r="H308" s="39" t="n"/>
      <c r="I308" s="7" t="n"/>
      <c r="J308" s="25" t="n"/>
      <c r="K308" s="28" t="n"/>
      <c r="L308" s="6" t="n"/>
      <c r="M308" s="6" t="n"/>
      <c r="N308" s="6" t="n"/>
      <c r="O308" s="6" t="n"/>
      <c r="P308" s="8" t="n"/>
      <c r="Q308" s="7" t="n"/>
      <c r="R308" s="9" t="n"/>
      <c r="S308" s="10">
        <f>IF($C308="","",$I308*$R308)</f>
        <v/>
      </c>
      <c r="T308" s="10">
        <f>IF($C308="","",(IF($N308="Purchased",$H308,0)+$Q308))</f>
        <v/>
      </c>
      <c r="U308" s="10">
        <f>IF($C308="","",$S308-$T308)</f>
        <v/>
      </c>
      <c r="V308" s="11">
        <f>IF(OR($C308="",$I308=0),"",CEILING($T308/$I308,1))</f>
        <v/>
      </c>
      <c r="W308" s="6" t="n"/>
      <c r="X308">
        <f>IF(C308="","",LOWER(SUBSTITUTE(SUBSTITUTE(C308," ","-"),"'",""))&amp;".jpg")</f>
        <v/>
      </c>
      <c r="Y308">
        <f>IF(X308="","","/inventory/"&amp;X308)</f>
        <v/>
      </c>
      <c r="Z308">
        <f>IF(O308="Available","available",IF(OR(O308="Rented",O308="Cleaning",O308="Repair"),"unavailable",IF(O308="Retired","unavailable","")))</f>
        <v/>
      </c>
    </row>
    <row r="309" ht="150" customHeight="1">
      <c r="A309" t="inlineStr">
        <is>
          <t>W308</t>
        </is>
      </c>
      <c r="B309" s="6" t="n"/>
      <c r="C309" s="21" t="n"/>
      <c r="D309" s="25" t="n"/>
      <c r="E309" s="6" t="n"/>
      <c r="F309" s="19">
        <f>IF(E309="","",_xlfn.IMAGE(E309))</f>
        <v/>
      </c>
      <c r="G309" s="17" t="n"/>
      <c r="H309" s="39" t="n"/>
      <c r="I309" s="7" t="n"/>
      <c r="J309" s="25" t="n"/>
      <c r="K309" s="28" t="n"/>
      <c r="L309" s="6" t="n"/>
      <c r="M309" s="6" t="n"/>
      <c r="N309" s="6" t="n"/>
      <c r="O309" s="6" t="n"/>
      <c r="P309" s="8" t="n"/>
      <c r="Q309" s="7" t="n"/>
      <c r="R309" s="9" t="n"/>
      <c r="S309" s="10">
        <f>IF($C309="","",$I309*$R309)</f>
        <v/>
      </c>
      <c r="T309" s="10">
        <f>IF($C309="","",(IF($N309="Purchased",$H309,0)+$Q309))</f>
        <v/>
      </c>
      <c r="U309" s="10">
        <f>IF($C309="","",$S309-$T309)</f>
        <v/>
      </c>
      <c r="V309" s="11">
        <f>IF(OR($C309="",$I309=0),"",CEILING($T309/$I309,1))</f>
        <v/>
      </c>
      <c r="W309" s="6" t="n"/>
      <c r="X309">
        <f>IF(C309="","",LOWER(SUBSTITUTE(SUBSTITUTE(C309," ","-"),"'",""))&amp;".jpg")</f>
        <v/>
      </c>
      <c r="Y309">
        <f>IF(X309="","","/inventory/"&amp;X309)</f>
        <v/>
      </c>
      <c r="Z309">
        <f>IF(O309="Available","available",IF(OR(O309="Rented",O309="Cleaning",O309="Repair"),"unavailable",IF(O309="Retired","unavailable","")))</f>
        <v/>
      </c>
    </row>
    <row r="310" ht="150" customHeight="1">
      <c r="A310" t="inlineStr">
        <is>
          <t>W309</t>
        </is>
      </c>
      <c r="B310" s="6" t="n"/>
      <c r="C310" s="21" t="n"/>
      <c r="D310" s="25" t="n"/>
      <c r="E310" s="6" t="n"/>
      <c r="F310" s="19">
        <f>IF(E310="","",_xlfn.IMAGE(E310))</f>
        <v/>
      </c>
      <c r="G310" s="17" t="n"/>
      <c r="H310" s="39" t="n"/>
      <c r="I310" s="7" t="n"/>
      <c r="J310" s="25" t="n"/>
      <c r="K310" s="28" t="n"/>
      <c r="L310" s="6" t="n"/>
      <c r="M310" s="6" t="n"/>
      <c r="N310" s="6" t="n"/>
      <c r="O310" s="6" t="n"/>
      <c r="P310" s="8" t="n"/>
      <c r="Q310" s="7" t="n"/>
      <c r="R310" s="9" t="n"/>
      <c r="S310" s="10">
        <f>IF($C310="","",$I310*$R310)</f>
        <v/>
      </c>
      <c r="T310" s="10">
        <f>IF($C310="","",(IF($N310="Purchased",$H310,0)+$Q310))</f>
        <v/>
      </c>
      <c r="U310" s="10">
        <f>IF($C310="","",$S310-$T310)</f>
        <v/>
      </c>
      <c r="V310" s="11">
        <f>IF(OR($C310="",$I310=0),"",CEILING($T310/$I310,1))</f>
        <v/>
      </c>
      <c r="W310" s="6" t="n"/>
      <c r="X310">
        <f>IF(C310="","",LOWER(SUBSTITUTE(SUBSTITUTE(C310," ","-"),"'",""))&amp;".jpg")</f>
        <v/>
      </c>
      <c r="Y310">
        <f>IF(X310="","","/inventory/"&amp;X310)</f>
        <v/>
      </c>
      <c r="Z310">
        <f>IF(O310="Available","available",IF(OR(O310="Rented",O310="Cleaning",O310="Repair"),"unavailable",IF(O310="Retired","unavailable","")))</f>
        <v/>
      </c>
    </row>
    <row r="311" ht="150" customHeight="1">
      <c r="A311" t="inlineStr">
        <is>
          <t>W310</t>
        </is>
      </c>
      <c r="B311" s="6" t="n"/>
      <c r="C311" s="21" t="n"/>
      <c r="D311" s="25" t="n"/>
      <c r="E311" s="6" t="n"/>
      <c r="F311" s="19">
        <f>IF(E311="","",_xlfn.IMAGE(E311))</f>
        <v/>
      </c>
      <c r="G311" s="17" t="n"/>
      <c r="H311" s="39" t="n"/>
      <c r="I311" s="7" t="n"/>
      <c r="J311" s="25" t="n"/>
      <c r="K311" s="28" t="n"/>
      <c r="L311" s="6" t="n"/>
      <c r="M311" s="6" t="n"/>
      <c r="N311" s="6" t="n"/>
      <c r="O311" s="6" t="n"/>
      <c r="P311" s="8" t="n"/>
      <c r="Q311" s="7" t="n"/>
      <c r="R311" s="9" t="n"/>
      <c r="S311" s="10">
        <f>IF($C311="","",$I311*$R311)</f>
        <v/>
      </c>
      <c r="T311" s="10">
        <f>IF($C311="","",(IF($N311="Purchased",$H311,0)+$Q311))</f>
        <v/>
      </c>
      <c r="U311" s="10">
        <f>IF($C311="","",$S311-$T311)</f>
        <v/>
      </c>
      <c r="V311" s="11">
        <f>IF(OR($C311="",$I311=0),"",CEILING($T311/$I311,1))</f>
        <v/>
      </c>
      <c r="W311" s="6" t="n"/>
      <c r="X311">
        <f>IF(C311="","",LOWER(SUBSTITUTE(SUBSTITUTE(C311," ","-"),"'",""))&amp;".jpg")</f>
        <v/>
      </c>
      <c r="Y311">
        <f>IF(X311="","","/inventory/"&amp;X311)</f>
        <v/>
      </c>
      <c r="Z311">
        <f>IF(O311="Available","available",IF(OR(O311="Rented",O311="Cleaning",O311="Repair"),"unavailable",IF(O311="Retired","unavailable","")))</f>
        <v/>
      </c>
    </row>
    <row r="312" ht="150" customHeight="1">
      <c r="A312" t="inlineStr">
        <is>
          <t>W311</t>
        </is>
      </c>
      <c r="B312" s="6" t="n"/>
      <c r="C312" s="21" t="n"/>
      <c r="D312" s="25" t="n"/>
      <c r="E312" s="6" t="n"/>
      <c r="F312" s="19">
        <f>IF(E312="","",_xlfn.IMAGE(E312))</f>
        <v/>
      </c>
      <c r="G312" s="17" t="n"/>
      <c r="H312" s="39" t="n"/>
      <c r="I312" s="7" t="n"/>
      <c r="J312" s="25" t="n"/>
      <c r="K312" s="28" t="n"/>
      <c r="L312" s="6" t="n"/>
      <c r="M312" s="6" t="n"/>
      <c r="N312" s="6" t="n"/>
      <c r="O312" s="6" t="n"/>
      <c r="P312" s="8" t="n"/>
      <c r="Q312" s="7" t="n"/>
      <c r="R312" s="9" t="n"/>
      <c r="S312" s="10">
        <f>IF($C312="","",$I312*$R312)</f>
        <v/>
      </c>
      <c r="T312" s="10">
        <f>IF($C312="","",(IF($N312="Purchased",$H312,0)+$Q312))</f>
        <v/>
      </c>
      <c r="U312" s="10">
        <f>IF($C312="","",$S312-$T312)</f>
        <v/>
      </c>
      <c r="V312" s="11">
        <f>IF(OR($C312="",$I312=0),"",CEILING($T312/$I312,1))</f>
        <v/>
      </c>
      <c r="W312" s="6" t="n"/>
      <c r="X312">
        <f>IF(C312="","",LOWER(SUBSTITUTE(SUBSTITUTE(C312," ","-"),"'",""))&amp;".jpg")</f>
        <v/>
      </c>
      <c r="Y312">
        <f>IF(X312="","","/inventory/"&amp;X312)</f>
        <v/>
      </c>
      <c r="Z312">
        <f>IF(O312="Available","available",IF(OR(O312="Rented",O312="Cleaning",O312="Repair"),"unavailable",IF(O312="Retired","unavailable","")))</f>
        <v/>
      </c>
    </row>
    <row r="313" ht="150" customHeight="1">
      <c r="A313" t="inlineStr">
        <is>
          <t>W312</t>
        </is>
      </c>
      <c r="B313" s="6" t="n"/>
      <c r="C313" s="21" t="n"/>
      <c r="D313" s="25" t="n"/>
      <c r="E313" s="6" t="n"/>
      <c r="F313" s="19">
        <f>IF(E313="","",_xlfn.IMAGE(E313))</f>
        <v/>
      </c>
      <c r="G313" s="17" t="n"/>
      <c r="H313" s="39" t="n"/>
      <c r="I313" s="7" t="n"/>
      <c r="J313" s="25" t="n"/>
      <c r="K313" s="28" t="n"/>
      <c r="L313" s="6" t="n"/>
      <c r="M313" s="6" t="n"/>
      <c r="N313" s="6" t="n"/>
      <c r="O313" s="6" t="n"/>
      <c r="P313" s="8" t="n"/>
      <c r="Q313" s="7" t="n"/>
      <c r="R313" s="9" t="n"/>
      <c r="S313" s="10">
        <f>IF($C313="","",$I313*$R313)</f>
        <v/>
      </c>
      <c r="T313" s="10">
        <f>IF($C313="","",(IF($N313="Purchased",$H313,0)+$Q313))</f>
        <v/>
      </c>
      <c r="U313" s="10">
        <f>IF($C313="","",$S313-$T313)</f>
        <v/>
      </c>
      <c r="V313" s="11">
        <f>IF(OR($C313="",$I313=0),"",CEILING($T313/$I313,1))</f>
        <v/>
      </c>
      <c r="W313" s="6" t="n"/>
      <c r="X313">
        <f>IF(C313="","",LOWER(SUBSTITUTE(SUBSTITUTE(C313," ","-"),"'",""))&amp;".jpg")</f>
        <v/>
      </c>
      <c r="Y313">
        <f>IF(X313="","","/inventory/"&amp;X313)</f>
        <v/>
      </c>
      <c r="Z313">
        <f>IF(O313="Available","available",IF(OR(O313="Rented",O313="Cleaning",O313="Repair"),"unavailable",IF(O313="Retired","unavailable","")))</f>
        <v/>
      </c>
    </row>
    <row r="314" ht="150" customHeight="1">
      <c r="A314" t="inlineStr">
        <is>
          <t>W313</t>
        </is>
      </c>
      <c r="B314" s="6" t="n"/>
      <c r="C314" s="21" t="n"/>
      <c r="D314" s="25" t="n"/>
      <c r="E314" s="6" t="n"/>
      <c r="F314" s="19">
        <f>IF(E314="","",_xlfn.IMAGE(E314))</f>
        <v/>
      </c>
      <c r="G314" s="17" t="n"/>
      <c r="H314" s="39" t="n"/>
      <c r="I314" s="7" t="n"/>
      <c r="J314" s="25" t="n"/>
      <c r="K314" s="28" t="n"/>
      <c r="L314" s="6" t="n"/>
      <c r="M314" s="6" t="n"/>
      <c r="N314" s="6" t="n"/>
      <c r="O314" s="6" t="n"/>
      <c r="P314" s="8" t="n"/>
      <c r="Q314" s="7" t="n"/>
      <c r="R314" s="9" t="n"/>
      <c r="S314" s="10">
        <f>IF($C314="","",$I314*$R314)</f>
        <v/>
      </c>
      <c r="T314" s="10">
        <f>IF($C314="","",(IF($N314="Purchased",$H314,0)+$Q314))</f>
        <v/>
      </c>
      <c r="U314" s="10">
        <f>IF($C314="","",$S314-$T314)</f>
        <v/>
      </c>
      <c r="V314" s="11">
        <f>IF(OR($C314="",$I314=0),"",CEILING($T314/$I314,1))</f>
        <v/>
      </c>
      <c r="W314" s="6" t="n"/>
      <c r="X314">
        <f>IF(C314="","",LOWER(SUBSTITUTE(SUBSTITUTE(C314," ","-"),"'",""))&amp;".jpg")</f>
        <v/>
      </c>
      <c r="Y314">
        <f>IF(X314="","","/inventory/"&amp;X314)</f>
        <v/>
      </c>
      <c r="Z314">
        <f>IF(O314="Available","available",IF(OR(O314="Rented",O314="Cleaning",O314="Repair"),"unavailable",IF(O314="Retired","unavailable","")))</f>
        <v/>
      </c>
    </row>
    <row r="315" ht="150" customHeight="1">
      <c r="A315" t="inlineStr">
        <is>
          <t>W314</t>
        </is>
      </c>
      <c r="B315" s="6" t="n"/>
      <c r="C315" s="21" t="n"/>
      <c r="D315" s="25" t="n"/>
      <c r="E315" s="6" t="n"/>
      <c r="F315" s="19">
        <f>IF(E315="","",_xlfn.IMAGE(E315))</f>
        <v/>
      </c>
      <c r="G315" s="17" t="n"/>
      <c r="H315" s="39" t="n"/>
      <c r="I315" s="7" t="n"/>
      <c r="J315" s="25" t="n"/>
      <c r="K315" s="28" t="n"/>
      <c r="L315" s="6" t="n"/>
      <c r="M315" s="6" t="n"/>
      <c r="N315" s="6" t="n"/>
      <c r="O315" s="6" t="n"/>
      <c r="P315" s="8" t="n"/>
      <c r="Q315" s="7" t="n"/>
      <c r="R315" s="9" t="n"/>
      <c r="S315" s="10">
        <f>IF($C315="","",$I315*$R315)</f>
        <v/>
      </c>
      <c r="T315" s="10">
        <f>IF($C315="","",(IF($N315="Purchased",$H315,0)+$Q315))</f>
        <v/>
      </c>
      <c r="U315" s="10">
        <f>IF($C315="","",$S315-$T315)</f>
        <v/>
      </c>
      <c r="V315" s="11">
        <f>IF(OR($C315="",$I315=0),"",CEILING($T315/$I315,1))</f>
        <v/>
      </c>
      <c r="W315" s="6" t="n"/>
      <c r="X315">
        <f>IF(C315="","",LOWER(SUBSTITUTE(SUBSTITUTE(C315," ","-"),"'",""))&amp;".jpg")</f>
        <v/>
      </c>
      <c r="Y315">
        <f>IF(X315="","","/inventory/"&amp;X315)</f>
        <v/>
      </c>
      <c r="Z315">
        <f>IF(O315="Available","available",IF(OR(O315="Rented",O315="Cleaning",O315="Repair"),"unavailable",IF(O315="Retired","unavailable","")))</f>
        <v/>
      </c>
    </row>
    <row r="316" ht="150" customHeight="1">
      <c r="A316" t="inlineStr">
        <is>
          <t>W315</t>
        </is>
      </c>
      <c r="B316" s="6" t="n"/>
      <c r="C316" s="21" t="n"/>
      <c r="D316" s="25" t="n"/>
      <c r="E316" s="6" t="n"/>
      <c r="F316" s="19">
        <f>IF(E316="","",_xlfn.IMAGE(E316))</f>
        <v/>
      </c>
      <c r="G316" s="17" t="n"/>
      <c r="H316" s="39" t="n"/>
      <c r="I316" s="7" t="n"/>
      <c r="J316" s="25" t="n"/>
      <c r="K316" s="28" t="n"/>
      <c r="L316" s="6" t="n"/>
      <c r="M316" s="6" t="n"/>
      <c r="N316" s="6" t="n"/>
      <c r="O316" s="6" t="n"/>
      <c r="P316" s="8" t="n"/>
      <c r="Q316" s="7" t="n"/>
      <c r="R316" s="9" t="n"/>
      <c r="S316" s="10">
        <f>IF($C316="","",$I316*$R316)</f>
        <v/>
      </c>
      <c r="T316" s="10">
        <f>IF($C316="","",(IF($N316="Purchased",$H316,0)+$Q316))</f>
        <v/>
      </c>
      <c r="U316" s="10">
        <f>IF($C316="","",$S316-$T316)</f>
        <v/>
      </c>
      <c r="V316" s="11">
        <f>IF(OR($C316="",$I316=0),"",CEILING($T316/$I316,1))</f>
        <v/>
      </c>
      <c r="W316" s="6" t="n"/>
      <c r="X316">
        <f>IF(C316="","",LOWER(SUBSTITUTE(SUBSTITUTE(C316," ","-"),"'",""))&amp;".jpg")</f>
        <v/>
      </c>
      <c r="Y316">
        <f>IF(X316="","","/inventory/"&amp;X316)</f>
        <v/>
      </c>
      <c r="Z316">
        <f>IF(O316="Available","available",IF(OR(O316="Rented",O316="Cleaning",O316="Repair"),"unavailable",IF(O316="Retired","unavailable","")))</f>
        <v/>
      </c>
    </row>
    <row r="317" ht="150" customHeight="1">
      <c r="A317" t="inlineStr">
        <is>
          <t>W316</t>
        </is>
      </c>
      <c r="B317" s="6" t="n"/>
      <c r="C317" s="21" t="n"/>
      <c r="D317" s="25" t="n"/>
      <c r="E317" s="6" t="n"/>
      <c r="F317" s="19">
        <f>IF(E317="","",_xlfn.IMAGE(E317))</f>
        <v/>
      </c>
      <c r="G317" s="17" t="n"/>
      <c r="H317" s="39" t="n"/>
      <c r="I317" s="7" t="n"/>
      <c r="J317" s="25" t="n"/>
      <c r="K317" s="28" t="n"/>
      <c r="L317" s="6" t="n"/>
      <c r="M317" s="6" t="n"/>
      <c r="N317" s="6" t="n"/>
      <c r="O317" s="6" t="n"/>
      <c r="P317" s="8" t="n"/>
      <c r="Q317" s="7" t="n"/>
      <c r="R317" s="9" t="n"/>
      <c r="S317" s="10">
        <f>IF($C317="","",$I317*$R317)</f>
        <v/>
      </c>
      <c r="T317" s="10">
        <f>IF($C317="","",(IF($N317="Purchased",$H317,0)+$Q317))</f>
        <v/>
      </c>
      <c r="U317" s="10">
        <f>IF($C317="","",$S317-$T317)</f>
        <v/>
      </c>
      <c r="V317" s="11">
        <f>IF(OR($C317="",$I317=0),"",CEILING($T317/$I317,1))</f>
        <v/>
      </c>
      <c r="W317" s="6" t="n"/>
      <c r="X317">
        <f>IF(C317="","",LOWER(SUBSTITUTE(SUBSTITUTE(C317," ","-"),"'",""))&amp;".jpg")</f>
        <v/>
      </c>
      <c r="Y317">
        <f>IF(X317="","","/inventory/"&amp;X317)</f>
        <v/>
      </c>
      <c r="Z317">
        <f>IF(O317="Available","available",IF(OR(O317="Rented",O317="Cleaning",O317="Repair"),"unavailable",IF(O317="Retired","unavailable","")))</f>
        <v/>
      </c>
    </row>
    <row r="318" ht="150" customHeight="1">
      <c r="A318" t="inlineStr">
        <is>
          <t>W317</t>
        </is>
      </c>
      <c r="B318" s="6" t="n"/>
      <c r="C318" s="21" t="n"/>
      <c r="D318" s="25" t="n"/>
      <c r="E318" s="6" t="n"/>
      <c r="F318" s="19">
        <f>IF(E318="","",_xlfn.IMAGE(E318))</f>
        <v/>
      </c>
      <c r="G318" s="17" t="n"/>
      <c r="H318" s="39" t="n"/>
      <c r="I318" s="7" t="n"/>
      <c r="J318" s="25" t="n"/>
      <c r="K318" s="28" t="n"/>
      <c r="L318" s="6" t="n"/>
      <c r="M318" s="6" t="n"/>
      <c r="N318" s="6" t="n"/>
      <c r="O318" s="6" t="n"/>
      <c r="P318" s="8" t="n"/>
      <c r="Q318" s="7" t="n"/>
      <c r="R318" s="9" t="n"/>
      <c r="S318" s="10">
        <f>IF($C318="","",$I318*$R318)</f>
        <v/>
      </c>
      <c r="T318" s="10">
        <f>IF($C318="","",(IF($N318="Purchased",$H318,0)+$Q318))</f>
        <v/>
      </c>
      <c r="U318" s="10">
        <f>IF($C318="","",$S318-$T318)</f>
        <v/>
      </c>
      <c r="V318" s="11">
        <f>IF(OR($C318="",$I318=0),"",CEILING($T318/$I318,1))</f>
        <v/>
      </c>
      <c r="W318" s="6" t="n"/>
      <c r="X318">
        <f>IF(C318="","",LOWER(SUBSTITUTE(SUBSTITUTE(C318," ","-"),"'",""))&amp;".jpg")</f>
        <v/>
      </c>
      <c r="Y318">
        <f>IF(X318="","","/inventory/"&amp;X318)</f>
        <v/>
      </c>
      <c r="Z318">
        <f>IF(O318="Available","available",IF(OR(O318="Rented",O318="Cleaning",O318="Repair"),"unavailable",IF(O318="Retired","unavailable","")))</f>
        <v/>
      </c>
    </row>
    <row r="319" ht="150" customHeight="1">
      <c r="A319" t="inlineStr">
        <is>
          <t>W318</t>
        </is>
      </c>
      <c r="B319" s="6" t="n"/>
      <c r="C319" s="21" t="n"/>
      <c r="D319" s="25" t="n"/>
      <c r="E319" s="6" t="n"/>
      <c r="F319" s="19">
        <f>IF(E319="","",_xlfn.IMAGE(E319))</f>
        <v/>
      </c>
      <c r="G319" s="17" t="n"/>
      <c r="H319" s="39" t="n"/>
      <c r="I319" s="7" t="n"/>
      <c r="J319" s="25" t="n"/>
      <c r="K319" s="28" t="n"/>
      <c r="L319" s="6" t="n"/>
      <c r="M319" s="6" t="n"/>
      <c r="N319" s="6" t="n"/>
      <c r="O319" s="6" t="n"/>
      <c r="P319" s="8" t="n"/>
      <c r="Q319" s="7" t="n"/>
      <c r="R319" s="9" t="n"/>
      <c r="S319" s="10">
        <f>IF($C319="","",$I319*$R319)</f>
        <v/>
      </c>
      <c r="T319" s="10">
        <f>IF($C319="","",(IF($N319="Purchased",$H319,0)+$Q319))</f>
        <v/>
      </c>
      <c r="U319" s="10">
        <f>IF($C319="","",$S319-$T319)</f>
        <v/>
      </c>
      <c r="V319" s="11">
        <f>IF(OR($C319="",$I319=0),"",CEILING($T319/$I319,1))</f>
        <v/>
      </c>
      <c r="W319" s="6" t="n"/>
      <c r="X319">
        <f>IF(C319="","",LOWER(SUBSTITUTE(SUBSTITUTE(C319," ","-"),"'",""))&amp;".jpg")</f>
        <v/>
      </c>
      <c r="Y319">
        <f>IF(X319="","","/inventory/"&amp;X319)</f>
        <v/>
      </c>
      <c r="Z319">
        <f>IF(O319="Available","available",IF(OR(O319="Rented",O319="Cleaning",O319="Repair"),"unavailable",IF(O319="Retired","unavailable","")))</f>
        <v/>
      </c>
    </row>
    <row r="320" ht="150" customHeight="1">
      <c r="A320" t="inlineStr">
        <is>
          <t>W319</t>
        </is>
      </c>
      <c r="B320" s="6" t="n"/>
      <c r="C320" s="21" t="n"/>
      <c r="D320" s="25" t="n"/>
      <c r="E320" s="6" t="n"/>
      <c r="F320" s="19">
        <f>IF(E320="","",_xlfn.IMAGE(E320))</f>
        <v/>
      </c>
      <c r="G320" s="17" t="n"/>
      <c r="H320" s="39" t="n"/>
      <c r="I320" s="7" t="n"/>
      <c r="J320" s="25" t="n"/>
      <c r="K320" s="28" t="n"/>
      <c r="L320" s="6" t="n"/>
      <c r="M320" s="6" t="n"/>
      <c r="N320" s="6" t="n"/>
      <c r="O320" s="6" t="n"/>
      <c r="P320" s="8" t="n"/>
      <c r="Q320" s="7" t="n"/>
      <c r="R320" s="9" t="n"/>
      <c r="S320" s="10">
        <f>IF($C320="","",$I320*$R320)</f>
        <v/>
      </c>
      <c r="T320" s="10">
        <f>IF($C320="","",(IF($N320="Purchased",$H320,0)+$Q320))</f>
        <v/>
      </c>
      <c r="U320" s="10">
        <f>IF($C320="","",$S320-$T320)</f>
        <v/>
      </c>
      <c r="V320" s="11">
        <f>IF(OR($C320="",$I320=0),"",CEILING($T320/$I320,1))</f>
        <v/>
      </c>
      <c r="W320" s="6" t="n"/>
      <c r="X320">
        <f>IF(C320="","",LOWER(SUBSTITUTE(SUBSTITUTE(C320," ","-"),"'",""))&amp;".jpg")</f>
        <v/>
      </c>
      <c r="Y320">
        <f>IF(X320="","","/inventory/"&amp;X320)</f>
        <v/>
      </c>
      <c r="Z320">
        <f>IF(O320="Available","available",IF(OR(O320="Rented",O320="Cleaning",O320="Repair"),"unavailable",IF(O320="Retired","unavailable","")))</f>
        <v/>
      </c>
    </row>
    <row r="321" ht="150" customHeight="1">
      <c r="A321" t="inlineStr">
        <is>
          <t>W320</t>
        </is>
      </c>
      <c r="B321" s="6" t="n"/>
      <c r="C321" s="21" t="n"/>
      <c r="D321" s="25" t="n"/>
      <c r="E321" s="6" t="n"/>
      <c r="F321" s="19">
        <f>IF(E321="","",_xlfn.IMAGE(E321))</f>
        <v/>
      </c>
      <c r="G321" s="17" t="n"/>
      <c r="H321" s="39" t="n"/>
      <c r="I321" s="7" t="n"/>
      <c r="J321" s="25" t="n"/>
      <c r="K321" s="28" t="n"/>
      <c r="L321" s="6" t="n"/>
      <c r="M321" s="6" t="n"/>
      <c r="N321" s="6" t="n"/>
      <c r="O321" s="6" t="n"/>
      <c r="P321" s="8" t="n"/>
      <c r="Q321" s="7" t="n"/>
      <c r="R321" s="9" t="n"/>
      <c r="S321" s="10">
        <f>IF($C321="","",$I321*$R321)</f>
        <v/>
      </c>
      <c r="T321" s="10">
        <f>IF($C321="","",(IF($N321="Purchased",$H321,0)+$Q321))</f>
        <v/>
      </c>
      <c r="U321" s="10">
        <f>IF($C321="","",$S321-$T321)</f>
        <v/>
      </c>
      <c r="V321" s="11">
        <f>IF(OR($C321="",$I321=0),"",CEILING($T321/$I321,1))</f>
        <v/>
      </c>
      <c r="W321" s="6" t="n"/>
      <c r="X321">
        <f>IF(C321="","",LOWER(SUBSTITUTE(SUBSTITUTE(C321," ","-"),"'",""))&amp;".jpg")</f>
        <v/>
      </c>
      <c r="Y321">
        <f>IF(X321="","","/inventory/"&amp;X321)</f>
        <v/>
      </c>
      <c r="Z321">
        <f>IF(O321="Available","available",IF(OR(O321="Rented",O321="Cleaning",O321="Repair"),"unavailable",IF(O321="Retired","unavailable","")))</f>
        <v/>
      </c>
    </row>
    <row r="322" ht="150" customHeight="1">
      <c r="A322" t="inlineStr">
        <is>
          <t>W321</t>
        </is>
      </c>
      <c r="B322" s="6" t="n"/>
      <c r="C322" s="21" t="n"/>
      <c r="D322" s="25" t="n"/>
      <c r="E322" s="6" t="n"/>
      <c r="F322" s="19">
        <f>IF(E322="","",_xlfn.IMAGE(E322))</f>
        <v/>
      </c>
      <c r="G322" s="17" t="n"/>
      <c r="H322" s="39" t="n"/>
      <c r="I322" s="7" t="n"/>
      <c r="J322" s="25" t="n"/>
      <c r="K322" s="28" t="n"/>
      <c r="L322" s="6" t="n"/>
      <c r="M322" s="6" t="n"/>
      <c r="N322" s="6" t="n"/>
      <c r="O322" s="6" t="n"/>
      <c r="P322" s="8" t="n"/>
      <c r="Q322" s="7" t="n"/>
      <c r="R322" s="9" t="n"/>
      <c r="S322" s="10">
        <f>IF($C322="","",$I322*$R322)</f>
        <v/>
      </c>
      <c r="T322" s="10">
        <f>IF($C322="","",(IF($N322="Purchased",$H322,0)+$Q322))</f>
        <v/>
      </c>
      <c r="U322" s="10">
        <f>IF($C322="","",$S322-$T322)</f>
        <v/>
      </c>
      <c r="V322" s="11">
        <f>IF(OR($C322="",$I322=0),"",CEILING($T322/$I322,1))</f>
        <v/>
      </c>
      <c r="W322" s="6" t="n"/>
      <c r="X322">
        <f>IF(C322="","",LOWER(SUBSTITUTE(SUBSTITUTE(C322," ","-"),"'",""))&amp;".jpg")</f>
        <v/>
      </c>
      <c r="Y322">
        <f>IF(X322="","","/inventory/"&amp;X322)</f>
        <v/>
      </c>
      <c r="Z322">
        <f>IF(O322="Available","available",IF(OR(O322="Rented",O322="Cleaning",O322="Repair"),"unavailable",IF(O322="Retired","unavailable","")))</f>
        <v/>
      </c>
    </row>
    <row r="323" ht="150" customHeight="1">
      <c r="A323" t="inlineStr">
        <is>
          <t>W322</t>
        </is>
      </c>
      <c r="B323" s="6" t="n"/>
      <c r="C323" s="21" t="n"/>
      <c r="D323" s="25" t="n"/>
      <c r="E323" s="6" t="n"/>
      <c r="F323" s="19">
        <f>IF(E323="","",_xlfn.IMAGE(E323))</f>
        <v/>
      </c>
      <c r="G323" s="17" t="n"/>
      <c r="H323" s="39" t="n"/>
      <c r="I323" s="7" t="n"/>
      <c r="J323" s="25" t="n"/>
      <c r="K323" s="28" t="n"/>
      <c r="L323" s="6" t="n"/>
      <c r="M323" s="6" t="n"/>
      <c r="N323" s="6" t="n"/>
      <c r="O323" s="6" t="n"/>
      <c r="P323" s="8" t="n"/>
      <c r="Q323" s="7" t="n"/>
      <c r="R323" s="9" t="n"/>
      <c r="S323" s="10">
        <f>IF($C323="","",$I323*$R323)</f>
        <v/>
      </c>
      <c r="T323" s="10">
        <f>IF($C323="","",(IF($N323="Purchased",$H323,0)+$Q323))</f>
        <v/>
      </c>
      <c r="U323" s="10">
        <f>IF($C323="","",$S323-$T323)</f>
        <v/>
      </c>
      <c r="V323" s="11">
        <f>IF(OR($C323="",$I323=0),"",CEILING($T323/$I323,1))</f>
        <v/>
      </c>
      <c r="W323" s="6" t="n"/>
      <c r="X323">
        <f>IF(C323="","",LOWER(SUBSTITUTE(SUBSTITUTE(C323," ","-"),"'",""))&amp;".jpg")</f>
        <v/>
      </c>
      <c r="Y323">
        <f>IF(X323="","","/inventory/"&amp;X323)</f>
        <v/>
      </c>
      <c r="Z323">
        <f>IF(O323="Available","available",IF(OR(O323="Rented",O323="Cleaning",O323="Repair"),"unavailable",IF(O323="Retired","unavailable","")))</f>
        <v/>
      </c>
    </row>
    <row r="324" ht="150" customHeight="1">
      <c r="A324" t="inlineStr">
        <is>
          <t>W323</t>
        </is>
      </c>
      <c r="B324" s="6" t="n"/>
      <c r="C324" s="21" t="n"/>
      <c r="D324" s="25" t="n"/>
      <c r="E324" s="6" t="n"/>
      <c r="F324" s="19">
        <f>IF(E324="","",_xlfn.IMAGE(E324))</f>
        <v/>
      </c>
      <c r="G324" s="17" t="n"/>
      <c r="H324" s="39" t="n"/>
      <c r="I324" s="7" t="n"/>
      <c r="J324" s="25" t="n"/>
      <c r="K324" s="28" t="n"/>
      <c r="L324" s="6" t="n"/>
      <c r="M324" s="6" t="n"/>
      <c r="N324" s="6" t="n"/>
      <c r="O324" s="6" t="n"/>
      <c r="P324" s="8" t="n"/>
      <c r="Q324" s="7" t="n"/>
      <c r="R324" s="9" t="n"/>
      <c r="S324" s="10">
        <f>IF($C324="","",$I324*$R324)</f>
        <v/>
      </c>
      <c r="T324" s="10">
        <f>IF($C324="","",(IF($N324="Purchased",$H324,0)+$Q324))</f>
        <v/>
      </c>
      <c r="U324" s="10">
        <f>IF($C324="","",$S324-$T324)</f>
        <v/>
      </c>
      <c r="V324" s="11">
        <f>IF(OR($C324="",$I324=0),"",CEILING($T324/$I324,1))</f>
        <v/>
      </c>
      <c r="W324" s="6" t="n"/>
      <c r="X324">
        <f>IF(C324="","",LOWER(SUBSTITUTE(SUBSTITUTE(C324," ","-"),"'",""))&amp;".jpg")</f>
        <v/>
      </c>
      <c r="Y324">
        <f>IF(X324="","","/inventory/"&amp;X324)</f>
        <v/>
      </c>
      <c r="Z324">
        <f>IF(O324="Available","available",IF(OR(O324="Rented",O324="Cleaning",O324="Repair"),"unavailable",IF(O324="Retired","unavailable","")))</f>
        <v/>
      </c>
    </row>
    <row r="325" ht="150" customHeight="1">
      <c r="A325" t="inlineStr">
        <is>
          <t>W324</t>
        </is>
      </c>
      <c r="B325" s="6" t="n"/>
      <c r="C325" s="21" t="n"/>
      <c r="D325" s="25" t="n"/>
      <c r="E325" s="6" t="n"/>
      <c r="F325" s="19">
        <f>IF(E325="","",_xlfn.IMAGE(E325))</f>
        <v/>
      </c>
      <c r="G325" s="17" t="n"/>
      <c r="H325" s="39" t="n"/>
      <c r="I325" s="7" t="n"/>
      <c r="J325" s="25" t="n"/>
      <c r="K325" s="28" t="n"/>
      <c r="L325" s="6" t="n"/>
      <c r="M325" s="6" t="n"/>
      <c r="N325" s="6" t="n"/>
      <c r="O325" s="6" t="n"/>
      <c r="P325" s="8" t="n"/>
      <c r="Q325" s="7" t="n"/>
      <c r="R325" s="9" t="n"/>
      <c r="S325" s="10">
        <f>IF($C325="","",$I325*$R325)</f>
        <v/>
      </c>
      <c r="T325" s="10">
        <f>IF($C325="","",(IF($N325="Purchased",$H325,0)+$Q325))</f>
        <v/>
      </c>
      <c r="U325" s="10">
        <f>IF($C325="","",$S325-$T325)</f>
        <v/>
      </c>
      <c r="V325" s="11">
        <f>IF(OR($C325="",$I325=0),"",CEILING($T325/$I325,1))</f>
        <v/>
      </c>
      <c r="W325" s="6" t="n"/>
      <c r="X325">
        <f>IF(C325="","",LOWER(SUBSTITUTE(SUBSTITUTE(C325," ","-"),"'",""))&amp;".jpg")</f>
        <v/>
      </c>
      <c r="Y325">
        <f>IF(X325="","","/inventory/"&amp;X325)</f>
        <v/>
      </c>
      <c r="Z325">
        <f>IF(O325="Available","available",IF(OR(O325="Rented",O325="Cleaning",O325="Repair"),"unavailable",IF(O325="Retired","unavailable","")))</f>
        <v/>
      </c>
    </row>
    <row r="326" ht="150" customHeight="1">
      <c r="A326" t="inlineStr">
        <is>
          <t>W325</t>
        </is>
      </c>
      <c r="B326" s="6" t="n"/>
      <c r="C326" s="21" t="n"/>
      <c r="D326" s="25" t="n"/>
      <c r="E326" s="6" t="n"/>
      <c r="F326" s="19">
        <f>IF(E326="","",_xlfn.IMAGE(E326))</f>
        <v/>
      </c>
      <c r="G326" s="17" t="n"/>
      <c r="H326" s="39" t="n"/>
      <c r="I326" s="7" t="n"/>
      <c r="J326" s="25" t="n"/>
      <c r="K326" s="28" t="n"/>
      <c r="L326" s="6" t="n"/>
      <c r="M326" s="6" t="n"/>
      <c r="N326" s="6" t="n"/>
      <c r="O326" s="6" t="n"/>
      <c r="P326" s="8" t="n"/>
      <c r="Q326" s="7" t="n"/>
      <c r="R326" s="9" t="n"/>
      <c r="S326" s="10">
        <f>IF($C326="","",$I326*$R326)</f>
        <v/>
      </c>
      <c r="T326" s="10">
        <f>IF($C326="","",(IF($N326="Purchased",$H326,0)+$Q326))</f>
        <v/>
      </c>
      <c r="U326" s="10">
        <f>IF($C326="","",$S326-$T326)</f>
        <v/>
      </c>
      <c r="V326" s="11">
        <f>IF(OR($C326="",$I326=0),"",CEILING($T326/$I326,1))</f>
        <v/>
      </c>
      <c r="W326" s="6" t="n"/>
      <c r="X326">
        <f>IF(C326="","",LOWER(SUBSTITUTE(SUBSTITUTE(C326," ","-"),"'",""))&amp;".jpg")</f>
        <v/>
      </c>
      <c r="Y326">
        <f>IF(X326="","","/inventory/"&amp;X326)</f>
        <v/>
      </c>
      <c r="Z326">
        <f>IF(O326="Available","available",IF(OR(O326="Rented",O326="Cleaning",O326="Repair"),"unavailable",IF(O326="Retired","unavailable","")))</f>
        <v/>
      </c>
    </row>
    <row r="327" ht="150" customHeight="1">
      <c r="A327" t="inlineStr">
        <is>
          <t>W326</t>
        </is>
      </c>
      <c r="B327" s="6" t="n"/>
      <c r="C327" s="21" t="n"/>
      <c r="D327" s="25" t="n"/>
      <c r="E327" s="6" t="n"/>
      <c r="F327" s="19">
        <f>IF(E327="","",_xlfn.IMAGE(E327))</f>
        <v/>
      </c>
      <c r="G327" s="17" t="n"/>
      <c r="H327" s="39" t="n"/>
      <c r="I327" s="7" t="n"/>
      <c r="J327" s="25" t="n"/>
      <c r="K327" s="28" t="n"/>
      <c r="L327" s="6" t="n"/>
      <c r="M327" s="6" t="n"/>
      <c r="N327" s="6" t="n"/>
      <c r="O327" s="6" t="n"/>
      <c r="P327" s="8" t="n"/>
      <c r="Q327" s="7" t="n"/>
      <c r="R327" s="9" t="n"/>
      <c r="S327" s="10">
        <f>IF($C327="","",$I327*$R327)</f>
        <v/>
      </c>
      <c r="T327" s="10">
        <f>IF($C327="","",(IF($N327="Purchased",$H327,0)+$Q327))</f>
        <v/>
      </c>
      <c r="U327" s="10">
        <f>IF($C327="","",$S327-$T327)</f>
        <v/>
      </c>
      <c r="V327" s="11">
        <f>IF(OR($C327="",$I327=0),"",CEILING($T327/$I327,1))</f>
        <v/>
      </c>
      <c r="W327" s="6" t="n"/>
      <c r="X327">
        <f>IF(C327="","",LOWER(SUBSTITUTE(SUBSTITUTE(C327," ","-"),"'",""))&amp;".jpg")</f>
        <v/>
      </c>
      <c r="Y327">
        <f>IF(X327="","","/inventory/"&amp;X327)</f>
        <v/>
      </c>
      <c r="Z327">
        <f>IF(O327="Available","available",IF(OR(O327="Rented",O327="Cleaning",O327="Repair"),"unavailable",IF(O327="Retired","unavailable","")))</f>
        <v/>
      </c>
    </row>
    <row r="328" ht="150" customHeight="1">
      <c r="A328" t="inlineStr">
        <is>
          <t>W327</t>
        </is>
      </c>
      <c r="B328" s="6" t="n"/>
      <c r="C328" s="21" t="n"/>
      <c r="D328" s="25" t="n"/>
      <c r="E328" s="6" t="n"/>
      <c r="F328" s="19">
        <f>IF(E328="","",_xlfn.IMAGE(E328))</f>
        <v/>
      </c>
      <c r="G328" s="17" t="n"/>
      <c r="H328" s="39" t="n"/>
      <c r="I328" s="7" t="n"/>
      <c r="J328" s="25" t="n"/>
      <c r="K328" s="28" t="n"/>
      <c r="L328" s="6" t="n"/>
      <c r="M328" s="6" t="n"/>
      <c r="N328" s="6" t="n"/>
      <c r="O328" s="6" t="n"/>
      <c r="P328" s="8" t="n"/>
      <c r="Q328" s="7" t="n"/>
      <c r="R328" s="9" t="n"/>
      <c r="S328" s="10">
        <f>IF($C328="","",$I328*$R328)</f>
        <v/>
      </c>
      <c r="T328" s="10">
        <f>IF($C328="","",(IF($N328="Purchased",$H328,0)+$Q328))</f>
        <v/>
      </c>
      <c r="U328" s="10">
        <f>IF($C328="","",$S328-$T328)</f>
        <v/>
      </c>
      <c r="V328" s="11">
        <f>IF(OR($C328="",$I328=0),"",CEILING($T328/$I328,1))</f>
        <v/>
      </c>
      <c r="W328" s="6" t="n"/>
      <c r="X328">
        <f>IF(C328="","",LOWER(SUBSTITUTE(SUBSTITUTE(C328," ","-"),"'",""))&amp;".jpg")</f>
        <v/>
      </c>
      <c r="Y328">
        <f>IF(X328="","","/inventory/"&amp;X328)</f>
        <v/>
      </c>
      <c r="Z328">
        <f>IF(O328="Available","available",IF(OR(O328="Rented",O328="Cleaning",O328="Repair"),"unavailable",IF(O328="Retired","unavailable","")))</f>
        <v/>
      </c>
    </row>
    <row r="329" ht="150" customHeight="1">
      <c r="A329" t="inlineStr">
        <is>
          <t>W328</t>
        </is>
      </c>
      <c r="B329" s="6" t="n"/>
      <c r="C329" s="21" t="n"/>
      <c r="D329" s="25" t="n"/>
      <c r="E329" s="6" t="n"/>
      <c r="F329" s="19">
        <f>IF(E329="","",_xlfn.IMAGE(E329))</f>
        <v/>
      </c>
      <c r="G329" s="17" t="n"/>
      <c r="H329" s="39" t="n"/>
      <c r="I329" s="7" t="n"/>
      <c r="J329" s="25" t="n"/>
      <c r="K329" s="28" t="n"/>
      <c r="L329" s="6" t="n"/>
      <c r="M329" s="6" t="n"/>
      <c r="N329" s="6" t="n"/>
      <c r="O329" s="6" t="n"/>
      <c r="P329" s="8" t="n"/>
      <c r="Q329" s="7" t="n"/>
      <c r="R329" s="9" t="n"/>
      <c r="S329" s="10">
        <f>IF($C329="","",$I329*$R329)</f>
        <v/>
      </c>
      <c r="T329" s="10">
        <f>IF($C329="","",(IF($N329="Purchased",$H329,0)+$Q329))</f>
        <v/>
      </c>
      <c r="U329" s="10">
        <f>IF($C329="","",$S329-$T329)</f>
        <v/>
      </c>
      <c r="V329" s="11">
        <f>IF(OR($C329="",$I329=0),"",CEILING($T329/$I329,1))</f>
        <v/>
      </c>
      <c r="W329" s="6" t="n"/>
      <c r="X329">
        <f>IF(C329="","",LOWER(SUBSTITUTE(SUBSTITUTE(C329," ","-"),"'",""))&amp;".jpg")</f>
        <v/>
      </c>
      <c r="Y329">
        <f>IF(X329="","","/inventory/"&amp;X329)</f>
        <v/>
      </c>
      <c r="Z329">
        <f>IF(O329="Available","available",IF(OR(O329="Rented",O329="Cleaning",O329="Repair"),"unavailable",IF(O329="Retired","unavailable","")))</f>
        <v/>
      </c>
    </row>
    <row r="330" ht="150" customHeight="1">
      <c r="A330" t="inlineStr">
        <is>
          <t>W329</t>
        </is>
      </c>
      <c r="B330" s="6" t="n"/>
      <c r="C330" s="21" t="n"/>
      <c r="D330" s="25" t="n"/>
      <c r="E330" s="6" t="n"/>
      <c r="F330" s="19">
        <f>IF(E330="","",_xlfn.IMAGE(E330))</f>
        <v/>
      </c>
      <c r="G330" s="17" t="n"/>
      <c r="H330" s="39" t="n"/>
      <c r="I330" s="7" t="n"/>
      <c r="J330" s="25" t="n"/>
      <c r="K330" s="28" t="n"/>
      <c r="L330" s="6" t="n"/>
      <c r="M330" s="6" t="n"/>
      <c r="N330" s="6" t="n"/>
      <c r="O330" s="6" t="n"/>
      <c r="P330" s="8" t="n"/>
      <c r="Q330" s="7" t="n"/>
      <c r="R330" s="9" t="n"/>
      <c r="S330" s="10">
        <f>IF($C330="","",$I330*$R330)</f>
        <v/>
      </c>
      <c r="T330" s="10">
        <f>IF($C330="","",(IF($N330="Purchased",$H330,0)+$Q330))</f>
        <v/>
      </c>
      <c r="U330" s="10">
        <f>IF($C330="","",$S330-$T330)</f>
        <v/>
      </c>
      <c r="V330" s="11">
        <f>IF(OR($C330="",$I330=0),"",CEILING($T330/$I330,1))</f>
        <v/>
      </c>
      <c r="W330" s="6" t="n"/>
      <c r="X330">
        <f>IF(C330="","",LOWER(SUBSTITUTE(SUBSTITUTE(C330," ","-"),"'",""))&amp;".jpg")</f>
        <v/>
      </c>
      <c r="Y330">
        <f>IF(X330="","","/inventory/"&amp;X330)</f>
        <v/>
      </c>
      <c r="Z330">
        <f>IF(O330="Available","available",IF(OR(O330="Rented",O330="Cleaning",O330="Repair"),"unavailable",IF(O330="Retired","unavailable","")))</f>
        <v/>
      </c>
    </row>
    <row r="331" ht="150" customHeight="1">
      <c r="A331" t="inlineStr">
        <is>
          <t>W330</t>
        </is>
      </c>
      <c r="B331" s="6" t="n"/>
      <c r="C331" s="21" t="n"/>
      <c r="D331" s="25" t="n"/>
      <c r="E331" s="6" t="n"/>
      <c r="F331" s="19">
        <f>IF(E331="","",_xlfn.IMAGE(E331))</f>
        <v/>
      </c>
      <c r="G331" s="17" t="n"/>
      <c r="H331" s="39" t="n"/>
      <c r="I331" s="7" t="n"/>
      <c r="J331" s="25" t="n"/>
      <c r="K331" s="28" t="n"/>
      <c r="L331" s="6" t="n"/>
      <c r="M331" s="6" t="n"/>
      <c r="N331" s="6" t="n"/>
      <c r="O331" s="6" t="n"/>
      <c r="P331" s="8" t="n"/>
      <c r="Q331" s="7" t="n"/>
      <c r="R331" s="9" t="n"/>
      <c r="S331" s="10">
        <f>IF($C331="","",$I331*$R331)</f>
        <v/>
      </c>
      <c r="T331" s="10">
        <f>IF($C331="","",(IF($N331="Purchased",$H331,0)+$Q331))</f>
        <v/>
      </c>
      <c r="U331" s="10">
        <f>IF($C331="","",$S331-$T331)</f>
        <v/>
      </c>
      <c r="V331" s="11">
        <f>IF(OR($C331="",$I331=0),"",CEILING($T331/$I331,1))</f>
        <v/>
      </c>
      <c r="W331" s="6" t="n"/>
      <c r="X331">
        <f>IF(C331="","",LOWER(SUBSTITUTE(SUBSTITUTE(C331," ","-"),"'",""))&amp;".jpg")</f>
        <v/>
      </c>
      <c r="Y331">
        <f>IF(X331="","","/inventory/"&amp;X331)</f>
        <v/>
      </c>
      <c r="Z331">
        <f>IF(O331="Available","available",IF(OR(O331="Rented",O331="Cleaning",O331="Repair"),"unavailable",IF(O331="Retired","unavailable","")))</f>
        <v/>
      </c>
    </row>
    <row r="332" ht="150" customHeight="1">
      <c r="A332" t="inlineStr">
        <is>
          <t>W331</t>
        </is>
      </c>
      <c r="B332" s="6" t="n"/>
      <c r="C332" s="21" t="n"/>
      <c r="D332" s="25" t="n"/>
      <c r="E332" s="6" t="n"/>
      <c r="F332" s="19">
        <f>IF(E332="","",_xlfn.IMAGE(E332))</f>
        <v/>
      </c>
      <c r="G332" s="17" t="n"/>
      <c r="H332" s="39" t="n"/>
      <c r="I332" s="7" t="n"/>
      <c r="J332" s="25" t="n"/>
      <c r="K332" s="28" t="n"/>
      <c r="L332" s="6" t="n"/>
      <c r="M332" s="6" t="n"/>
      <c r="N332" s="6" t="n"/>
      <c r="O332" s="6" t="n"/>
      <c r="P332" s="8" t="n"/>
      <c r="Q332" s="7" t="n"/>
      <c r="R332" s="9" t="n"/>
      <c r="S332" s="10">
        <f>IF($C332="","",$I332*$R332)</f>
        <v/>
      </c>
      <c r="T332" s="10">
        <f>IF($C332="","",(IF($N332="Purchased",$H332,0)+$Q332))</f>
        <v/>
      </c>
      <c r="U332" s="10">
        <f>IF($C332="","",$S332-$T332)</f>
        <v/>
      </c>
      <c r="V332" s="11">
        <f>IF(OR($C332="",$I332=0),"",CEILING($T332/$I332,1))</f>
        <v/>
      </c>
      <c r="W332" s="6" t="n"/>
      <c r="X332">
        <f>IF(C332="","",LOWER(SUBSTITUTE(SUBSTITUTE(C332," ","-"),"'",""))&amp;".jpg")</f>
        <v/>
      </c>
      <c r="Y332">
        <f>IF(X332="","","/inventory/"&amp;X332)</f>
        <v/>
      </c>
      <c r="Z332">
        <f>IF(O332="Available","available",IF(OR(O332="Rented",O332="Cleaning",O332="Repair"),"unavailable",IF(O332="Retired","unavailable","")))</f>
        <v/>
      </c>
    </row>
    <row r="333" ht="150" customHeight="1">
      <c r="A333" t="inlineStr">
        <is>
          <t>W332</t>
        </is>
      </c>
      <c r="B333" s="6" t="n"/>
      <c r="C333" s="21" t="n"/>
      <c r="D333" s="25" t="n"/>
      <c r="E333" s="6" t="n"/>
      <c r="F333" s="19">
        <f>IF(E333="","",_xlfn.IMAGE(E333))</f>
        <v/>
      </c>
      <c r="G333" s="17" t="n"/>
      <c r="H333" s="39" t="n"/>
      <c r="I333" s="7" t="n"/>
      <c r="J333" s="25" t="n"/>
      <c r="K333" s="28" t="n"/>
      <c r="L333" s="6" t="n"/>
      <c r="M333" s="6" t="n"/>
      <c r="N333" s="6" t="n"/>
      <c r="O333" s="6" t="n"/>
      <c r="P333" s="8" t="n"/>
      <c r="Q333" s="7" t="n"/>
      <c r="R333" s="9" t="n"/>
      <c r="S333" s="10">
        <f>IF($C333="","",$I333*$R333)</f>
        <v/>
      </c>
      <c r="T333" s="10">
        <f>IF($C333="","",(IF($N333="Purchased",$H333,0)+$Q333))</f>
        <v/>
      </c>
      <c r="U333" s="10">
        <f>IF($C333="","",$S333-$T333)</f>
        <v/>
      </c>
      <c r="V333" s="11">
        <f>IF(OR($C333="",$I333=0),"",CEILING($T333/$I333,1))</f>
        <v/>
      </c>
      <c r="W333" s="6" t="n"/>
      <c r="X333">
        <f>IF(C333="","",LOWER(SUBSTITUTE(SUBSTITUTE(C333," ","-"),"'",""))&amp;".jpg")</f>
        <v/>
      </c>
      <c r="Y333">
        <f>IF(X333="","","/inventory/"&amp;X333)</f>
        <v/>
      </c>
      <c r="Z333">
        <f>IF(O333="Available","available",IF(OR(O333="Rented",O333="Cleaning",O333="Repair"),"unavailable",IF(O333="Retired","unavailable","")))</f>
        <v/>
      </c>
    </row>
    <row r="334" ht="150" customHeight="1">
      <c r="A334" t="inlineStr">
        <is>
          <t>W333</t>
        </is>
      </c>
      <c r="B334" s="6" t="n"/>
      <c r="C334" s="21" t="n"/>
      <c r="D334" s="25" t="n"/>
      <c r="E334" s="6" t="n"/>
      <c r="F334" s="19">
        <f>IF(E334="","",_xlfn.IMAGE(E334))</f>
        <v/>
      </c>
      <c r="G334" s="17" t="n"/>
      <c r="H334" s="39" t="n"/>
      <c r="I334" s="7" t="n"/>
      <c r="J334" s="25" t="n"/>
      <c r="K334" s="28" t="n"/>
      <c r="L334" s="6" t="n"/>
      <c r="M334" s="6" t="n"/>
      <c r="N334" s="6" t="n"/>
      <c r="O334" s="6" t="n"/>
      <c r="P334" s="8" t="n"/>
      <c r="Q334" s="7" t="n"/>
      <c r="R334" s="9" t="n"/>
      <c r="S334" s="10">
        <f>IF($C334="","",$I334*$R334)</f>
        <v/>
      </c>
      <c r="T334" s="10">
        <f>IF($C334="","",(IF($N334="Purchased",$H334,0)+$Q334))</f>
        <v/>
      </c>
      <c r="U334" s="10">
        <f>IF($C334="","",$S334-$T334)</f>
        <v/>
      </c>
      <c r="V334" s="11">
        <f>IF(OR($C334="",$I334=0),"",CEILING($T334/$I334,1))</f>
        <v/>
      </c>
      <c r="W334" s="6" t="n"/>
      <c r="X334">
        <f>IF(C334="","",LOWER(SUBSTITUTE(SUBSTITUTE(C334," ","-"),"'",""))&amp;".jpg")</f>
        <v/>
      </c>
      <c r="Y334">
        <f>IF(X334="","","/inventory/"&amp;X334)</f>
        <v/>
      </c>
      <c r="Z334">
        <f>IF(O334="Available","available",IF(OR(O334="Rented",O334="Cleaning",O334="Repair"),"unavailable",IF(O334="Retired","unavailable","")))</f>
        <v/>
      </c>
    </row>
    <row r="335" ht="150" customHeight="1">
      <c r="A335" t="inlineStr">
        <is>
          <t>W334</t>
        </is>
      </c>
      <c r="B335" s="6" t="n"/>
      <c r="C335" s="21" t="n"/>
      <c r="D335" s="25" t="n"/>
      <c r="E335" s="6" t="n"/>
      <c r="F335" s="19">
        <f>IF(E335="","",_xlfn.IMAGE(E335))</f>
        <v/>
      </c>
      <c r="G335" s="17" t="n"/>
      <c r="H335" s="39" t="n"/>
      <c r="I335" s="7" t="n"/>
      <c r="J335" s="25" t="n"/>
      <c r="K335" s="28" t="n"/>
      <c r="L335" s="6" t="n"/>
      <c r="M335" s="6" t="n"/>
      <c r="N335" s="6" t="n"/>
      <c r="O335" s="6" t="n"/>
      <c r="P335" s="8" t="n"/>
      <c r="Q335" s="7" t="n"/>
      <c r="R335" s="9" t="n"/>
      <c r="S335" s="10">
        <f>IF($C335="","",$I335*$R335)</f>
        <v/>
      </c>
      <c r="T335" s="10">
        <f>IF($C335="","",(IF($N335="Purchased",$H335,0)+$Q335))</f>
        <v/>
      </c>
      <c r="U335" s="10">
        <f>IF($C335="","",$S335-$T335)</f>
        <v/>
      </c>
      <c r="V335" s="11">
        <f>IF(OR($C335="",$I335=0),"",CEILING($T335/$I335,1))</f>
        <v/>
      </c>
      <c r="W335" s="6" t="n"/>
      <c r="X335">
        <f>IF(C335="","",LOWER(SUBSTITUTE(SUBSTITUTE(C335," ","-"),"'",""))&amp;".jpg")</f>
        <v/>
      </c>
      <c r="Y335">
        <f>IF(X335="","","/inventory/"&amp;X335)</f>
        <v/>
      </c>
      <c r="Z335">
        <f>IF(O335="Available","available",IF(OR(O335="Rented",O335="Cleaning",O335="Repair"),"unavailable",IF(O335="Retired","unavailable","")))</f>
        <v/>
      </c>
    </row>
    <row r="336" ht="150" customHeight="1">
      <c r="A336" t="inlineStr">
        <is>
          <t>W335</t>
        </is>
      </c>
      <c r="B336" s="6" t="n"/>
      <c r="C336" s="21" t="n"/>
      <c r="D336" s="25" t="n"/>
      <c r="E336" s="6" t="n"/>
      <c r="F336" s="19">
        <f>IF(E336="","",_xlfn.IMAGE(E336))</f>
        <v/>
      </c>
      <c r="G336" s="17" t="n"/>
      <c r="H336" s="39" t="n"/>
      <c r="I336" s="7" t="n"/>
      <c r="J336" s="25" t="n"/>
      <c r="K336" s="28" t="n"/>
      <c r="L336" s="6" t="n"/>
      <c r="M336" s="6" t="n"/>
      <c r="N336" s="6" t="n"/>
      <c r="O336" s="6" t="n"/>
      <c r="P336" s="8" t="n"/>
      <c r="Q336" s="7" t="n"/>
      <c r="R336" s="9" t="n"/>
      <c r="S336" s="10">
        <f>IF($C336="","",$I336*$R336)</f>
        <v/>
      </c>
      <c r="T336" s="10">
        <f>IF($C336="","",(IF($N336="Purchased",$H336,0)+$Q336))</f>
        <v/>
      </c>
      <c r="U336" s="10">
        <f>IF($C336="","",$S336-$T336)</f>
        <v/>
      </c>
      <c r="V336" s="11">
        <f>IF(OR($C336="",$I336=0),"",CEILING($T336/$I336,1))</f>
        <v/>
      </c>
      <c r="W336" s="6" t="n"/>
      <c r="X336">
        <f>IF(C336="","",LOWER(SUBSTITUTE(SUBSTITUTE(C336," ","-"),"'",""))&amp;".jpg")</f>
        <v/>
      </c>
      <c r="Y336">
        <f>IF(X336="","","/inventory/"&amp;X336)</f>
        <v/>
      </c>
      <c r="Z336">
        <f>IF(O336="Available","available",IF(OR(O336="Rented",O336="Cleaning",O336="Repair"),"unavailable",IF(O336="Retired","unavailable","")))</f>
        <v/>
      </c>
    </row>
    <row r="337" ht="150" customHeight="1">
      <c r="A337" t="inlineStr">
        <is>
          <t>W336</t>
        </is>
      </c>
      <c r="B337" s="6" t="n"/>
      <c r="C337" s="21" t="n"/>
      <c r="D337" s="25" t="n"/>
      <c r="E337" s="6" t="n"/>
      <c r="F337" s="19">
        <f>IF(E337="","",_xlfn.IMAGE(E337))</f>
        <v/>
      </c>
      <c r="G337" s="17" t="n"/>
      <c r="H337" s="39" t="n"/>
      <c r="I337" s="7" t="n"/>
      <c r="J337" s="25" t="n"/>
      <c r="K337" s="28" t="n"/>
      <c r="L337" s="6" t="n"/>
      <c r="M337" s="6" t="n"/>
      <c r="N337" s="6" t="n"/>
      <c r="O337" s="6" t="n"/>
      <c r="P337" s="8" t="n"/>
      <c r="Q337" s="7" t="n"/>
      <c r="R337" s="9" t="n"/>
      <c r="S337" s="10">
        <f>IF($C337="","",$I337*$R337)</f>
        <v/>
      </c>
      <c r="T337" s="10">
        <f>IF($C337="","",(IF($N337="Purchased",$H337,0)+$Q337))</f>
        <v/>
      </c>
      <c r="U337" s="10">
        <f>IF($C337="","",$S337-$T337)</f>
        <v/>
      </c>
      <c r="V337" s="11">
        <f>IF(OR($C337="",$I337=0),"",CEILING($T337/$I337,1))</f>
        <v/>
      </c>
      <c r="W337" s="6" t="n"/>
      <c r="X337">
        <f>IF(C337="","",LOWER(SUBSTITUTE(SUBSTITUTE(C337," ","-"),"'",""))&amp;".jpg")</f>
        <v/>
      </c>
      <c r="Y337">
        <f>IF(X337="","","/inventory/"&amp;X337)</f>
        <v/>
      </c>
      <c r="Z337">
        <f>IF(O337="Available","available",IF(OR(O337="Rented",O337="Cleaning",O337="Repair"),"unavailable",IF(O337="Retired","unavailable","")))</f>
        <v/>
      </c>
    </row>
    <row r="338" ht="150" customHeight="1">
      <c r="A338" t="inlineStr">
        <is>
          <t>W337</t>
        </is>
      </c>
      <c r="B338" s="6" t="n"/>
      <c r="C338" s="21" t="n"/>
      <c r="D338" s="25" t="n"/>
      <c r="E338" s="6" t="n"/>
      <c r="F338" s="19">
        <f>IF(E338="","",_xlfn.IMAGE(E338))</f>
        <v/>
      </c>
      <c r="G338" s="17" t="n"/>
      <c r="H338" s="39" t="n"/>
      <c r="I338" s="7" t="n"/>
      <c r="J338" s="25" t="n"/>
      <c r="K338" s="28" t="n"/>
      <c r="L338" s="6" t="n"/>
      <c r="M338" s="6" t="n"/>
      <c r="N338" s="6" t="n"/>
      <c r="O338" s="6" t="n"/>
      <c r="P338" s="8" t="n"/>
      <c r="Q338" s="7" t="n"/>
      <c r="R338" s="9" t="n"/>
      <c r="S338" s="10">
        <f>IF($C338="","",$I338*$R338)</f>
        <v/>
      </c>
      <c r="T338" s="10">
        <f>IF($C338="","",(IF($N338="Purchased",$H338,0)+$Q338))</f>
        <v/>
      </c>
      <c r="U338" s="10">
        <f>IF($C338="","",$S338-$T338)</f>
        <v/>
      </c>
      <c r="V338" s="11">
        <f>IF(OR($C338="",$I338=0),"",CEILING($T338/$I338,1))</f>
        <v/>
      </c>
      <c r="W338" s="6" t="n"/>
      <c r="X338">
        <f>IF(C338="","",LOWER(SUBSTITUTE(SUBSTITUTE(C338," ","-"),"'",""))&amp;".jpg")</f>
        <v/>
      </c>
      <c r="Y338">
        <f>IF(X338="","","/inventory/"&amp;X338)</f>
        <v/>
      </c>
      <c r="Z338">
        <f>IF(O338="Available","available",IF(OR(O338="Rented",O338="Cleaning",O338="Repair"),"unavailable",IF(O338="Retired","unavailable","")))</f>
        <v/>
      </c>
    </row>
    <row r="339" ht="150" customHeight="1">
      <c r="A339" t="inlineStr">
        <is>
          <t>W338</t>
        </is>
      </c>
      <c r="B339" s="6" t="n"/>
      <c r="C339" s="21" t="n"/>
      <c r="D339" s="25" t="n"/>
      <c r="E339" s="6" t="n"/>
      <c r="F339" s="19">
        <f>IF(E339="","",_xlfn.IMAGE(E339))</f>
        <v/>
      </c>
      <c r="G339" s="17" t="n"/>
      <c r="H339" s="39" t="n"/>
      <c r="I339" s="7" t="n"/>
      <c r="J339" s="25" t="n"/>
      <c r="K339" s="28" t="n"/>
      <c r="L339" s="6" t="n"/>
      <c r="M339" s="6" t="n"/>
      <c r="N339" s="6" t="n"/>
      <c r="O339" s="6" t="n"/>
      <c r="P339" s="8" t="n"/>
      <c r="Q339" s="7" t="n"/>
      <c r="R339" s="9" t="n"/>
      <c r="S339" s="10">
        <f>IF($C339="","",$I339*$R339)</f>
        <v/>
      </c>
      <c r="T339" s="10">
        <f>IF($C339="","",(IF($N339="Purchased",$H339,0)+$Q339))</f>
        <v/>
      </c>
      <c r="U339" s="10">
        <f>IF($C339="","",$S339-$T339)</f>
        <v/>
      </c>
      <c r="V339" s="11">
        <f>IF(OR($C339="",$I339=0),"",CEILING($T339/$I339,1))</f>
        <v/>
      </c>
      <c r="W339" s="6" t="n"/>
      <c r="X339">
        <f>IF(C339="","",LOWER(SUBSTITUTE(SUBSTITUTE(C339," ","-"),"'",""))&amp;".jpg")</f>
        <v/>
      </c>
      <c r="Y339">
        <f>IF(X339="","","/inventory/"&amp;X339)</f>
        <v/>
      </c>
      <c r="Z339">
        <f>IF(O339="Available","available",IF(OR(O339="Rented",O339="Cleaning",O339="Repair"),"unavailable",IF(O339="Retired","unavailable","")))</f>
        <v/>
      </c>
    </row>
    <row r="340" ht="150" customHeight="1">
      <c r="A340" t="inlineStr">
        <is>
          <t>W339</t>
        </is>
      </c>
      <c r="B340" s="6" t="n"/>
      <c r="C340" s="21" t="n"/>
      <c r="D340" s="25" t="n"/>
      <c r="E340" s="6" t="n"/>
      <c r="F340" s="19">
        <f>IF(E340="","",_xlfn.IMAGE(E340))</f>
        <v/>
      </c>
      <c r="G340" s="17" t="n"/>
      <c r="H340" s="39" t="n"/>
      <c r="I340" s="7" t="n"/>
      <c r="J340" s="25" t="n"/>
      <c r="K340" s="28" t="n"/>
      <c r="L340" s="6" t="n"/>
      <c r="M340" s="6" t="n"/>
      <c r="N340" s="6" t="n"/>
      <c r="O340" s="6" t="n"/>
      <c r="P340" s="8" t="n"/>
      <c r="Q340" s="7" t="n"/>
      <c r="R340" s="9" t="n"/>
      <c r="S340" s="10">
        <f>IF($C340="","",$I340*$R340)</f>
        <v/>
      </c>
      <c r="T340" s="10">
        <f>IF($C340="","",(IF($N340="Purchased",$H340,0)+$Q340))</f>
        <v/>
      </c>
      <c r="U340" s="10">
        <f>IF($C340="","",$S340-$T340)</f>
        <v/>
      </c>
      <c r="V340" s="11">
        <f>IF(OR($C340="",$I340=0),"",CEILING($T340/$I340,1))</f>
        <v/>
      </c>
      <c r="W340" s="6" t="n"/>
      <c r="X340">
        <f>IF(C340="","",LOWER(SUBSTITUTE(SUBSTITUTE(C340," ","-"),"'",""))&amp;".jpg")</f>
        <v/>
      </c>
      <c r="Y340">
        <f>IF(X340="","","/inventory/"&amp;X340)</f>
        <v/>
      </c>
      <c r="Z340">
        <f>IF(O340="Available","available",IF(OR(O340="Rented",O340="Cleaning",O340="Repair"),"unavailable",IF(O340="Retired","unavailable","")))</f>
        <v/>
      </c>
    </row>
    <row r="341" ht="150" customHeight="1">
      <c r="A341" t="inlineStr">
        <is>
          <t>W340</t>
        </is>
      </c>
      <c r="B341" s="6" t="n"/>
      <c r="C341" s="21" t="n"/>
      <c r="D341" s="25" t="n"/>
      <c r="E341" s="6" t="n"/>
      <c r="F341" s="19">
        <f>IF(E341="","",_xlfn.IMAGE(E341))</f>
        <v/>
      </c>
      <c r="G341" s="17" t="n"/>
      <c r="H341" s="39" t="n"/>
      <c r="I341" s="7" t="n"/>
      <c r="J341" s="25" t="n"/>
      <c r="K341" s="28" t="n"/>
      <c r="L341" s="6" t="n"/>
      <c r="M341" s="6" t="n"/>
      <c r="N341" s="6" t="n"/>
      <c r="O341" s="6" t="n"/>
      <c r="P341" s="8" t="n"/>
      <c r="Q341" s="7" t="n"/>
      <c r="R341" s="9" t="n"/>
      <c r="S341" s="10">
        <f>IF($C341="","",$I341*$R341)</f>
        <v/>
      </c>
      <c r="T341" s="10">
        <f>IF($C341="","",(IF($N341="Purchased",$H341,0)+$Q341))</f>
        <v/>
      </c>
      <c r="U341" s="10">
        <f>IF($C341="","",$S341-$T341)</f>
        <v/>
      </c>
      <c r="V341" s="11">
        <f>IF(OR($C341="",$I341=0),"",CEILING($T341/$I341,1))</f>
        <v/>
      </c>
      <c r="W341" s="6" t="n"/>
      <c r="X341">
        <f>IF(C341="","",LOWER(SUBSTITUTE(SUBSTITUTE(C341," ","-"),"'",""))&amp;".jpg")</f>
        <v/>
      </c>
      <c r="Y341">
        <f>IF(X341="","","/inventory/"&amp;X341)</f>
        <v/>
      </c>
      <c r="Z341">
        <f>IF(O341="Available","available",IF(OR(O341="Rented",O341="Cleaning",O341="Repair"),"unavailable",IF(O341="Retired","unavailable","")))</f>
        <v/>
      </c>
    </row>
    <row r="342" ht="150" customHeight="1">
      <c r="A342" t="inlineStr">
        <is>
          <t>W341</t>
        </is>
      </c>
      <c r="B342" s="6" t="n"/>
      <c r="C342" s="21" t="n"/>
      <c r="D342" s="25" t="n"/>
      <c r="E342" s="6" t="n"/>
      <c r="F342" s="19">
        <f>IF(E342="","",_xlfn.IMAGE(E342))</f>
        <v/>
      </c>
      <c r="G342" s="17" t="n"/>
      <c r="H342" s="39" t="n"/>
      <c r="I342" s="7" t="n"/>
      <c r="J342" s="25" t="n"/>
      <c r="K342" s="28" t="n"/>
      <c r="L342" s="6" t="n"/>
      <c r="M342" s="6" t="n"/>
      <c r="N342" s="6" t="n"/>
      <c r="O342" s="6" t="n"/>
      <c r="P342" s="8" t="n"/>
      <c r="Q342" s="7" t="n"/>
      <c r="R342" s="9" t="n"/>
      <c r="S342" s="10">
        <f>IF($C342="","",$I342*$R342)</f>
        <v/>
      </c>
      <c r="T342" s="10">
        <f>IF($C342="","",(IF($N342="Purchased",$H342,0)+$Q342))</f>
        <v/>
      </c>
      <c r="U342" s="10">
        <f>IF($C342="","",$S342-$T342)</f>
        <v/>
      </c>
      <c r="V342" s="11">
        <f>IF(OR($C342="",$I342=0),"",CEILING($T342/$I342,1))</f>
        <v/>
      </c>
      <c r="W342" s="6" t="n"/>
      <c r="X342">
        <f>IF(C342="","",LOWER(SUBSTITUTE(SUBSTITUTE(C342," ","-"),"'",""))&amp;".jpg")</f>
        <v/>
      </c>
      <c r="Y342">
        <f>IF(X342="","","/inventory/"&amp;X342)</f>
        <v/>
      </c>
      <c r="Z342">
        <f>IF(O342="Available","available",IF(OR(O342="Rented",O342="Cleaning",O342="Repair"),"unavailable",IF(O342="Retired","unavailable","")))</f>
        <v/>
      </c>
    </row>
    <row r="343" ht="150" customHeight="1">
      <c r="A343" t="inlineStr">
        <is>
          <t>W342</t>
        </is>
      </c>
      <c r="B343" s="6" t="n"/>
      <c r="C343" s="21" t="n"/>
      <c r="D343" s="25" t="n"/>
      <c r="E343" s="6" t="n"/>
      <c r="F343" s="19">
        <f>IF(E343="","",_xlfn.IMAGE(E343))</f>
        <v/>
      </c>
      <c r="G343" s="17" t="n"/>
      <c r="H343" s="39" t="n"/>
      <c r="I343" s="7" t="n"/>
      <c r="J343" s="25" t="n"/>
      <c r="K343" s="28" t="n"/>
      <c r="L343" s="6" t="n"/>
      <c r="M343" s="6" t="n"/>
      <c r="N343" s="6" t="n"/>
      <c r="O343" s="6" t="n"/>
      <c r="P343" s="8" t="n"/>
      <c r="Q343" s="7" t="n"/>
      <c r="R343" s="9" t="n"/>
      <c r="S343" s="10">
        <f>IF($C343="","",$I343*$R343)</f>
        <v/>
      </c>
      <c r="T343" s="10">
        <f>IF($C343="","",(IF($N343="Purchased",$H343,0)+$Q343))</f>
        <v/>
      </c>
      <c r="U343" s="10">
        <f>IF($C343="","",$S343-$T343)</f>
        <v/>
      </c>
      <c r="V343" s="11">
        <f>IF(OR($C343="",$I343=0),"",CEILING($T343/$I343,1))</f>
        <v/>
      </c>
      <c r="W343" s="6" t="n"/>
      <c r="X343">
        <f>IF(C343="","",LOWER(SUBSTITUTE(SUBSTITUTE(C343," ","-"),"'",""))&amp;".jpg")</f>
        <v/>
      </c>
      <c r="Y343">
        <f>IF(X343="","","/inventory/"&amp;X343)</f>
        <v/>
      </c>
      <c r="Z343">
        <f>IF(O343="Available","available",IF(OR(O343="Rented",O343="Cleaning",O343="Repair"),"unavailable",IF(O343="Retired","unavailable","")))</f>
        <v/>
      </c>
    </row>
    <row r="344" ht="150" customHeight="1">
      <c r="A344" t="inlineStr">
        <is>
          <t>W343</t>
        </is>
      </c>
      <c r="B344" s="6" t="n"/>
      <c r="C344" s="21" t="n"/>
      <c r="D344" s="25" t="n"/>
      <c r="E344" s="6" t="n"/>
      <c r="F344" s="19">
        <f>IF(E344="","",_xlfn.IMAGE(E344))</f>
        <v/>
      </c>
      <c r="G344" s="17" t="n"/>
      <c r="H344" s="39" t="n"/>
      <c r="I344" s="7" t="n"/>
      <c r="J344" s="25" t="n"/>
      <c r="K344" s="28" t="n"/>
      <c r="L344" s="6" t="n"/>
      <c r="M344" s="6" t="n"/>
      <c r="N344" s="6" t="n"/>
      <c r="O344" s="6" t="n"/>
      <c r="P344" s="8" t="n"/>
      <c r="Q344" s="7" t="n"/>
      <c r="R344" s="9" t="n"/>
      <c r="S344" s="10">
        <f>IF($C344="","",$I344*$R344)</f>
        <v/>
      </c>
      <c r="T344" s="10">
        <f>IF($C344="","",(IF($N344="Purchased",$H344,0)+$Q344))</f>
        <v/>
      </c>
      <c r="U344" s="10">
        <f>IF($C344="","",$S344-$T344)</f>
        <v/>
      </c>
      <c r="V344" s="11">
        <f>IF(OR($C344="",$I344=0),"",CEILING($T344/$I344,1))</f>
        <v/>
      </c>
      <c r="W344" s="6" t="n"/>
      <c r="X344">
        <f>IF(C344="","",LOWER(SUBSTITUTE(SUBSTITUTE(C344," ","-"),"'",""))&amp;".jpg")</f>
        <v/>
      </c>
      <c r="Y344">
        <f>IF(X344="","","/inventory/"&amp;X344)</f>
        <v/>
      </c>
      <c r="Z344">
        <f>IF(O344="Available","available",IF(OR(O344="Rented",O344="Cleaning",O344="Repair"),"unavailable",IF(O344="Retired","unavailable","")))</f>
        <v/>
      </c>
    </row>
    <row r="345" ht="150" customHeight="1">
      <c r="A345" t="inlineStr">
        <is>
          <t>W344</t>
        </is>
      </c>
      <c r="B345" s="6" t="n"/>
      <c r="C345" s="21" t="n"/>
      <c r="D345" s="25" t="n"/>
      <c r="E345" s="6" t="n"/>
      <c r="F345" s="19">
        <f>IF(E345="","",_xlfn.IMAGE(E345))</f>
        <v/>
      </c>
      <c r="G345" s="17" t="n"/>
      <c r="H345" s="39" t="n"/>
      <c r="I345" s="7" t="n"/>
      <c r="J345" s="25" t="n"/>
      <c r="K345" s="28" t="n"/>
      <c r="L345" s="6" t="n"/>
      <c r="M345" s="6" t="n"/>
      <c r="N345" s="6" t="n"/>
      <c r="O345" s="6" t="n"/>
      <c r="P345" s="8" t="n"/>
      <c r="Q345" s="7" t="n"/>
      <c r="R345" s="9" t="n"/>
      <c r="S345" s="10">
        <f>IF($C345="","",$I345*$R345)</f>
        <v/>
      </c>
      <c r="T345" s="10">
        <f>IF($C345="","",(IF($N345="Purchased",$H345,0)+$Q345))</f>
        <v/>
      </c>
      <c r="U345" s="10">
        <f>IF($C345="","",$S345-$T345)</f>
        <v/>
      </c>
      <c r="V345" s="11">
        <f>IF(OR($C345="",$I345=0),"",CEILING($T345/$I345,1))</f>
        <v/>
      </c>
      <c r="W345" s="6" t="n"/>
      <c r="X345">
        <f>IF(C345="","",LOWER(SUBSTITUTE(SUBSTITUTE(C345," ","-"),"'",""))&amp;".jpg")</f>
        <v/>
      </c>
      <c r="Y345">
        <f>IF(X345="","","/inventory/"&amp;X345)</f>
        <v/>
      </c>
      <c r="Z345">
        <f>IF(O345="Available","available",IF(OR(O345="Rented",O345="Cleaning",O345="Repair"),"unavailable",IF(O345="Retired","unavailable","")))</f>
        <v/>
      </c>
    </row>
    <row r="346" ht="150" customHeight="1">
      <c r="A346" t="inlineStr">
        <is>
          <t>W345</t>
        </is>
      </c>
      <c r="B346" s="6" t="n"/>
      <c r="C346" s="21" t="n"/>
      <c r="D346" s="25" t="n"/>
      <c r="E346" s="6" t="n"/>
      <c r="F346" s="19">
        <f>IF(E346="","",_xlfn.IMAGE(E346))</f>
        <v/>
      </c>
      <c r="G346" s="17" t="n"/>
      <c r="H346" s="39" t="n"/>
      <c r="I346" s="7" t="n"/>
      <c r="J346" s="25" t="n"/>
      <c r="K346" s="28" t="n"/>
      <c r="L346" s="6" t="n"/>
      <c r="M346" s="6" t="n"/>
      <c r="N346" s="6" t="n"/>
      <c r="O346" s="6" t="n"/>
      <c r="P346" s="8" t="n"/>
      <c r="Q346" s="7" t="n"/>
      <c r="R346" s="9" t="n"/>
      <c r="S346" s="10">
        <f>IF($C346="","",$I346*$R346)</f>
        <v/>
      </c>
      <c r="T346" s="10">
        <f>IF($C346="","",(IF($N346="Purchased",$H346,0)+$Q346))</f>
        <v/>
      </c>
      <c r="U346" s="10">
        <f>IF($C346="","",$S346-$T346)</f>
        <v/>
      </c>
      <c r="V346" s="11">
        <f>IF(OR($C346="",$I346=0),"",CEILING($T346/$I346,1))</f>
        <v/>
      </c>
      <c r="W346" s="6" t="n"/>
      <c r="X346">
        <f>IF(C346="","",LOWER(SUBSTITUTE(SUBSTITUTE(C346," ","-"),"'",""))&amp;".jpg")</f>
        <v/>
      </c>
      <c r="Y346">
        <f>IF(X346="","","/inventory/"&amp;X346)</f>
        <v/>
      </c>
      <c r="Z346">
        <f>IF(O346="Available","available",IF(OR(O346="Rented",O346="Cleaning",O346="Repair"),"unavailable",IF(O346="Retired","unavailable","")))</f>
        <v/>
      </c>
    </row>
    <row r="347" ht="150" customHeight="1">
      <c r="A347" t="inlineStr">
        <is>
          <t>W346</t>
        </is>
      </c>
      <c r="B347" s="6" t="n"/>
      <c r="C347" s="21" t="n"/>
      <c r="D347" s="25" t="n"/>
      <c r="E347" s="6" t="n"/>
      <c r="F347" s="19">
        <f>IF(E347="","",_xlfn.IMAGE(E347))</f>
        <v/>
      </c>
      <c r="G347" s="17" t="n"/>
      <c r="H347" s="39" t="n"/>
      <c r="I347" s="7" t="n"/>
      <c r="J347" s="25" t="n"/>
      <c r="K347" s="28" t="n"/>
      <c r="L347" s="6" t="n"/>
      <c r="M347" s="6" t="n"/>
      <c r="N347" s="6" t="n"/>
      <c r="O347" s="6" t="n"/>
      <c r="P347" s="8" t="n"/>
      <c r="Q347" s="7" t="n"/>
      <c r="R347" s="9" t="n"/>
      <c r="S347" s="10">
        <f>IF($C347="","",$I347*$R347)</f>
        <v/>
      </c>
      <c r="T347" s="10">
        <f>IF($C347="","",(IF($N347="Purchased",$H347,0)+$Q347))</f>
        <v/>
      </c>
      <c r="U347" s="10">
        <f>IF($C347="","",$S347-$T347)</f>
        <v/>
      </c>
      <c r="V347" s="11">
        <f>IF(OR($C347="",$I347=0),"",CEILING($T347/$I347,1))</f>
        <v/>
      </c>
      <c r="W347" s="6" t="n"/>
      <c r="X347">
        <f>IF(C347="","",LOWER(SUBSTITUTE(SUBSTITUTE(C347," ","-"),"'",""))&amp;".jpg")</f>
        <v/>
      </c>
      <c r="Y347">
        <f>IF(X347="","","/inventory/"&amp;X347)</f>
        <v/>
      </c>
      <c r="Z347">
        <f>IF(O347="Available","available",IF(OR(O347="Rented",O347="Cleaning",O347="Repair"),"unavailable",IF(O347="Retired","unavailable","")))</f>
        <v/>
      </c>
    </row>
    <row r="348" ht="150" customHeight="1">
      <c r="A348" t="inlineStr">
        <is>
          <t>W347</t>
        </is>
      </c>
      <c r="B348" s="6" t="n"/>
      <c r="C348" s="21" t="n"/>
      <c r="D348" s="25" t="n"/>
      <c r="E348" s="6" t="n"/>
      <c r="F348" s="19">
        <f>IF(E348="","",_xlfn.IMAGE(E348))</f>
        <v/>
      </c>
      <c r="G348" s="17" t="n"/>
      <c r="H348" s="39" t="n"/>
      <c r="I348" s="7" t="n"/>
      <c r="J348" s="25" t="n"/>
      <c r="K348" s="28" t="n"/>
      <c r="L348" s="6" t="n"/>
      <c r="M348" s="6" t="n"/>
      <c r="N348" s="6" t="n"/>
      <c r="O348" s="6" t="n"/>
      <c r="P348" s="8" t="n"/>
      <c r="Q348" s="7" t="n"/>
      <c r="R348" s="9" t="n"/>
      <c r="S348" s="10">
        <f>IF($C348="","",$I348*$R348)</f>
        <v/>
      </c>
      <c r="T348" s="10">
        <f>IF($C348="","",(IF($N348="Purchased",$H348,0)+$Q348))</f>
        <v/>
      </c>
      <c r="U348" s="10">
        <f>IF($C348="","",$S348-$T348)</f>
        <v/>
      </c>
      <c r="V348" s="11">
        <f>IF(OR($C348="",$I348=0),"",CEILING($T348/$I348,1))</f>
        <v/>
      </c>
      <c r="W348" s="6" t="n"/>
      <c r="X348">
        <f>IF(C348="","",LOWER(SUBSTITUTE(SUBSTITUTE(C348," ","-"),"'",""))&amp;".jpg")</f>
        <v/>
      </c>
      <c r="Y348">
        <f>IF(X348="","","/inventory/"&amp;X348)</f>
        <v/>
      </c>
      <c r="Z348">
        <f>IF(O348="Available","available",IF(OR(O348="Rented",O348="Cleaning",O348="Repair"),"unavailable",IF(O348="Retired","unavailable","")))</f>
        <v/>
      </c>
    </row>
    <row r="349" ht="150" customHeight="1">
      <c r="A349" t="inlineStr">
        <is>
          <t>W348</t>
        </is>
      </c>
      <c r="B349" s="6" t="n"/>
      <c r="C349" s="21" t="n"/>
      <c r="D349" s="25" t="n"/>
      <c r="E349" s="6" t="n"/>
      <c r="F349" s="19">
        <f>IF(E349="","",_xlfn.IMAGE(E349))</f>
        <v/>
      </c>
      <c r="G349" s="17" t="n"/>
      <c r="H349" s="39" t="n"/>
      <c r="I349" s="7" t="n"/>
      <c r="J349" s="25" t="n"/>
      <c r="K349" s="28" t="n"/>
      <c r="L349" s="6" t="n"/>
      <c r="M349" s="6" t="n"/>
      <c r="N349" s="6" t="n"/>
      <c r="O349" s="6" t="n"/>
      <c r="P349" s="8" t="n"/>
      <c r="Q349" s="7" t="n"/>
      <c r="R349" s="9" t="n"/>
      <c r="S349" s="10">
        <f>IF($C349="","",$I349*$R349)</f>
        <v/>
      </c>
      <c r="T349" s="10">
        <f>IF($C349="","",(IF($N349="Purchased",$H349,0)+$Q349))</f>
        <v/>
      </c>
      <c r="U349" s="10">
        <f>IF($C349="","",$S349-$T349)</f>
        <v/>
      </c>
      <c r="V349" s="11">
        <f>IF(OR($C349="",$I349=0),"",CEILING($T349/$I349,1))</f>
        <v/>
      </c>
      <c r="W349" s="6" t="n"/>
      <c r="X349">
        <f>IF(C349="","",LOWER(SUBSTITUTE(SUBSTITUTE(C349," ","-"),"'",""))&amp;".jpg")</f>
        <v/>
      </c>
      <c r="Y349">
        <f>IF(X349="","","/inventory/"&amp;X349)</f>
        <v/>
      </c>
      <c r="Z349">
        <f>IF(O349="Available","available",IF(OR(O349="Rented",O349="Cleaning",O349="Repair"),"unavailable",IF(O349="Retired","unavailable","")))</f>
        <v/>
      </c>
    </row>
    <row r="350" ht="150" customHeight="1">
      <c r="A350" t="inlineStr">
        <is>
          <t>W349</t>
        </is>
      </c>
      <c r="B350" s="6" t="n"/>
      <c r="C350" s="21" t="n"/>
      <c r="D350" s="25" t="n"/>
      <c r="E350" s="6" t="n"/>
      <c r="F350" s="19">
        <f>IF(E350="","",_xlfn.IMAGE(E350))</f>
        <v/>
      </c>
      <c r="G350" s="17" t="n"/>
      <c r="H350" s="39" t="n"/>
      <c r="I350" s="7" t="n"/>
      <c r="J350" s="25" t="n"/>
      <c r="K350" s="28" t="n"/>
      <c r="L350" s="6" t="n"/>
      <c r="M350" s="6" t="n"/>
      <c r="N350" s="6" t="n"/>
      <c r="O350" s="6" t="n"/>
      <c r="P350" s="8" t="n"/>
      <c r="Q350" s="7" t="n"/>
      <c r="R350" s="9" t="n"/>
      <c r="S350" s="10">
        <f>IF($C350="","",$I350*$R350)</f>
        <v/>
      </c>
      <c r="T350" s="10">
        <f>IF($C350="","",(IF($N350="Purchased",$H350,0)+$Q350))</f>
        <v/>
      </c>
      <c r="U350" s="10">
        <f>IF($C350="","",$S350-$T350)</f>
        <v/>
      </c>
      <c r="V350" s="11">
        <f>IF(OR($C350="",$I350=0),"",CEILING($T350/$I350,1))</f>
        <v/>
      </c>
      <c r="W350" s="6" t="n"/>
      <c r="X350">
        <f>IF(C350="","",LOWER(SUBSTITUTE(SUBSTITUTE(C350," ","-"),"'",""))&amp;".jpg")</f>
        <v/>
      </c>
      <c r="Y350">
        <f>IF(X350="","","/inventory/"&amp;X350)</f>
        <v/>
      </c>
      <c r="Z350">
        <f>IF(O350="Available","available",IF(OR(O350="Rented",O350="Cleaning",O350="Repair"),"unavailable",IF(O350="Retired","unavailable","")))</f>
        <v/>
      </c>
    </row>
    <row r="351" ht="150" customHeight="1">
      <c r="A351" t="inlineStr">
        <is>
          <t>W350</t>
        </is>
      </c>
      <c r="B351" s="6" t="n"/>
      <c r="C351" s="21" t="n"/>
      <c r="D351" s="25" t="n"/>
      <c r="E351" s="6" t="n"/>
      <c r="F351" s="19">
        <f>IF(E351="","",_xlfn.IMAGE(E351))</f>
        <v/>
      </c>
      <c r="G351" s="17" t="n"/>
      <c r="H351" s="39" t="n"/>
      <c r="I351" s="7" t="n"/>
      <c r="J351" s="25" t="n"/>
      <c r="K351" s="28" t="n"/>
      <c r="L351" s="6" t="n"/>
      <c r="M351" s="6" t="n"/>
      <c r="N351" s="6" t="n"/>
      <c r="O351" s="6" t="n"/>
      <c r="P351" s="8" t="n"/>
      <c r="Q351" s="7" t="n"/>
      <c r="R351" s="9" t="n"/>
      <c r="S351" s="10">
        <f>IF($C351="","",$I351*$R351)</f>
        <v/>
      </c>
      <c r="T351" s="10">
        <f>IF($C351="","",(IF($N351="Purchased",$H351,0)+$Q351))</f>
        <v/>
      </c>
      <c r="U351" s="10">
        <f>IF($C351="","",$S351-$T351)</f>
        <v/>
      </c>
      <c r="V351" s="11">
        <f>IF(OR($C351="",$I351=0),"",CEILING($T351/$I351,1))</f>
        <v/>
      </c>
      <c r="W351" s="6" t="n"/>
      <c r="X351">
        <f>IF(C351="","",LOWER(SUBSTITUTE(SUBSTITUTE(C351," ","-"),"'",""))&amp;".jpg")</f>
        <v/>
      </c>
      <c r="Y351">
        <f>IF(X351="","","/inventory/"&amp;X351)</f>
        <v/>
      </c>
      <c r="Z351">
        <f>IF(O351="Available","available",IF(OR(O351="Rented",O351="Cleaning",O351="Repair"),"unavailable",IF(O351="Retired","unavailable","")))</f>
        <v/>
      </c>
    </row>
    <row r="352" ht="150" customHeight="1">
      <c r="A352" t="inlineStr">
        <is>
          <t>W351</t>
        </is>
      </c>
      <c r="B352" s="6" t="n"/>
      <c r="C352" s="21" t="n"/>
      <c r="D352" s="25" t="n"/>
      <c r="E352" s="6" t="n"/>
      <c r="F352" s="19">
        <f>IF(E352="","",_xlfn.IMAGE(E352))</f>
        <v/>
      </c>
      <c r="G352" s="17" t="n"/>
      <c r="H352" s="39" t="n"/>
      <c r="I352" s="7" t="n"/>
      <c r="J352" s="25" t="n"/>
      <c r="K352" s="28" t="n"/>
      <c r="L352" s="6" t="n"/>
      <c r="M352" s="6" t="n"/>
      <c r="N352" s="6" t="n"/>
      <c r="O352" s="6" t="n"/>
      <c r="P352" s="8" t="n"/>
      <c r="Q352" s="7" t="n"/>
      <c r="R352" s="9" t="n"/>
      <c r="S352" s="10">
        <f>IF($C352="","",$I352*$R352)</f>
        <v/>
      </c>
      <c r="T352" s="10">
        <f>IF($C352="","",(IF($N352="Purchased",$H352,0)+$Q352))</f>
        <v/>
      </c>
      <c r="U352" s="10">
        <f>IF($C352="","",$S352-$T352)</f>
        <v/>
      </c>
      <c r="V352" s="11">
        <f>IF(OR($C352="",$I352=0),"",CEILING($T352/$I352,1))</f>
        <v/>
      </c>
      <c r="W352" s="6" t="n"/>
      <c r="X352">
        <f>IF(C352="","",LOWER(SUBSTITUTE(SUBSTITUTE(C352," ","-"),"'",""))&amp;".jpg")</f>
        <v/>
      </c>
      <c r="Y352">
        <f>IF(X352="","","/inventory/"&amp;X352)</f>
        <v/>
      </c>
      <c r="Z352">
        <f>IF(O352="Available","available",IF(OR(O352="Rented",O352="Cleaning",O352="Repair"),"unavailable",IF(O352="Retired","unavailable","")))</f>
        <v/>
      </c>
    </row>
    <row r="353" ht="150" customHeight="1">
      <c r="A353" t="inlineStr">
        <is>
          <t>W352</t>
        </is>
      </c>
      <c r="B353" s="6" t="n"/>
      <c r="C353" s="21" t="n"/>
      <c r="D353" s="25" t="n"/>
      <c r="E353" s="6" t="n"/>
      <c r="F353" s="19">
        <f>IF(E353="","",_xlfn.IMAGE(E353))</f>
        <v/>
      </c>
      <c r="G353" s="17" t="n"/>
      <c r="H353" s="39" t="n"/>
      <c r="I353" s="7" t="n"/>
      <c r="J353" s="25" t="n"/>
      <c r="K353" s="28" t="n"/>
      <c r="L353" s="6" t="n"/>
      <c r="M353" s="6" t="n"/>
      <c r="N353" s="6" t="n"/>
      <c r="O353" s="6" t="n"/>
      <c r="P353" s="8" t="n"/>
      <c r="Q353" s="7" t="n"/>
      <c r="R353" s="9" t="n"/>
      <c r="S353" s="10">
        <f>IF($C353="","",$I353*$R353)</f>
        <v/>
      </c>
      <c r="T353" s="10">
        <f>IF($C353="","",(IF($N353="Purchased",$H353,0)+$Q353))</f>
        <v/>
      </c>
      <c r="U353" s="10">
        <f>IF($C353="","",$S353-$T353)</f>
        <v/>
      </c>
      <c r="V353" s="11">
        <f>IF(OR($C353="",$I353=0),"",CEILING($T353/$I353,1))</f>
        <v/>
      </c>
      <c r="W353" s="6" t="n"/>
      <c r="X353">
        <f>IF(C353="","",LOWER(SUBSTITUTE(SUBSTITUTE(C353," ","-"),"'",""))&amp;".jpg")</f>
        <v/>
      </c>
      <c r="Y353">
        <f>IF(X353="","","/inventory/"&amp;X353)</f>
        <v/>
      </c>
      <c r="Z353">
        <f>IF(O353="Available","available",IF(OR(O353="Rented",O353="Cleaning",O353="Repair"),"unavailable",IF(O353="Retired","unavailable","")))</f>
        <v/>
      </c>
    </row>
    <row r="354" ht="150" customHeight="1">
      <c r="A354" t="inlineStr">
        <is>
          <t>W353</t>
        </is>
      </c>
      <c r="B354" s="6" t="n"/>
      <c r="C354" s="21" t="n"/>
      <c r="D354" s="25" t="n"/>
      <c r="E354" s="6" t="n"/>
      <c r="F354" s="19">
        <f>IF(E354="","",_xlfn.IMAGE(E354))</f>
        <v/>
      </c>
      <c r="G354" s="17" t="n"/>
      <c r="H354" s="39" t="n"/>
      <c r="I354" s="7" t="n"/>
      <c r="J354" s="25" t="n"/>
      <c r="K354" s="28" t="n"/>
      <c r="L354" s="6" t="n"/>
      <c r="M354" s="6" t="n"/>
      <c r="N354" s="6" t="n"/>
      <c r="O354" s="6" t="n"/>
      <c r="P354" s="8" t="n"/>
      <c r="Q354" s="7" t="n"/>
      <c r="R354" s="9" t="n"/>
      <c r="S354" s="10">
        <f>IF($C354="","",$I354*$R354)</f>
        <v/>
      </c>
      <c r="T354" s="10">
        <f>IF($C354="","",(IF($N354="Purchased",$H354,0)+$Q354))</f>
        <v/>
      </c>
      <c r="U354" s="10">
        <f>IF($C354="","",$S354-$T354)</f>
        <v/>
      </c>
      <c r="V354" s="11">
        <f>IF(OR($C354="",$I354=0),"",CEILING($T354/$I354,1))</f>
        <v/>
      </c>
      <c r="W354" s="6" t="n"/>
      <c r="X354">
        <f>IF(C354="","",LOWER(SUBSTITUTE(SUBSTITUTE(C354," ","-"),"'",""))&amp;".jpg")</f>
        <v/>
      </c>
      <c r="Y354">
        <f>IF(X354="","","/inventory/"&amp;X354)</f>
        <v/>
      </c>
      <c r="Z354">
        <f>IF(O354="Available","available",IF(OR(O354="Rented",O354="Cleaning",O354="Repair"),"unavailable",IF(O354="Retired","unavailable","")))</f>
        <v/>
      </c>
    </row>
    <row r="355" ht="150" customHeight="1">
      <c r="A355" t="inlineStr">
        <is>
          <t>W354</t>
        </is>
      </c>
      <c r="B355" s="6" t="n"/>
      <c r="C355" s="21" t="n"/>
      <c r="D355" s="25" t="n"/>
      <c r="E355" s="6" t="n"/>
      <c r="F355" s="19">
        <f>IF(E355="","",_xlfn.IMAGE(E355))</f>
        <v/>
      </c>
      <c r="G355" s="17" t="n"/>
      <c r="H355" s="39" t="n"/>
      <c r="I355" s="7" t="n"/>
      <c r="J355" s="25" t="n"/>
      <c r="K355" s="28" t="n"/>
      <c r="L355" s="6" t="n"/>
      <c r="M355" s="6" t="n"/>
      <c r="N355" s="6" t="n"/>
      <c r="O355" s="6" t="n"/>
      <c r="P355" s="8" t="n"/>
      <c r="Q355" s="7" t="n"/>
      <c r="R355" s="9" t="n"/>
      <c r="S355" s="10">
        <f>IF($C355="","",$I355*$R355)</f>
        <v/>
      </c>
      <c r="T355" s="10">
        <f>IF($C355="","",(IF($N355="Purchased",$H355,0)+$Q355))</f>
        <v/>
      </c>
      <c r="U355" s="10">
        <f>IF($C355="","",$S355-$T355)</f>
        <v/>
      </c>
      <c r="V355" s="11">
        <f>IF(OR($C355="",$I355=0),"",CEILING($T355/$I355,1))</f>
        <v/>
      </c>
      <c r="W355" s="6" t="n"/>
      <c r="X355">
        <f>IF(C355="","",LOWER(SUBSTITUTE(SUBSTITUTE(C355," ","-"),"'",""))&amp;".jpg")</f>
        <v/>
      </c>
      <c r="Y355">
        <f>IF(X355="","","/inventory/"&amp;X355)</f>
        <v/>
      </c>
      <c r="Z355">
        <f>IF(O355="Available","available",IF(OR(O355="Rented",O355="Cleaning",O355="Repair"),"unavailable",IF(O355="Retired","unavailable","")))</f>
        <v/>
      </c>
    </row>
    <row r="356" ht="150" customHeight="1">
      <c r="A356" t="inlineStr">
        <is>
          <t>W355</t>
        </is>
      </c>
      <c r="B356" s="6" t="n"/>
      <c r="C356" s="21" t="n"/>
      <c r="D356" s="25" t="n"/>
      <c r="E356" s="6" t="n"/>
      <c r="F356" s="19">
        <f>IF(E356="","",_xlfn.IMAGE(E356))</f>
        <v/>
      </c>
      <c r="G356" s="17" t="n"/>
      <c r="H356" s="39" t="n"/>
      <c r="I356" s="7" t="n"/>
      <c r="J356" s="25" t="n"/>
      <c r="K356" s="28" t="n"/>
      <c r="L356" s="6" t="n"/>
      <c r="M356" s="6" t="n"/>
      <c r="N356" s="6" t="n"/>
      <c r="O356" s="6" t="n"/>
      <c r="P356" s="8" t="n"/>
      <c r="Q356" s="7" t="n"/>
      <c r="R356" s="9" t="n"/>
      <c r="S356" s="10">
        <f>IF($C356="","",$I356*$R356)</f>
        <v/>
      </c>
      <c r="T356" s="10">
        <f>IF($C356="","",(IF($N356="Purchased",$H356,0)+$Q356))</f>
        <v/>
      </c>
      <c r="U356" s="10">
        <f>IF($C356="","",$S356-$T356)</f>
        <v/>
      </c>
      <c r="V356" s="11">
        <f>IF(OR($C356="",$I356=0),"",CEILING($T356/$I356,1))</f>
        <v/>
      </c>
      <c r="W356" s="6" t="n"/>
      <c r="X356">
        <f>IF(C356="","",LOWER(SUBSTITUTE(SUBSTITUTE(C356," ","-"),"'",""))&amp;".jpg")</f>
        <v/>
      </c>
      <c r="Y356">
        <f>IF(X356="","","/inventory/"&amp;X356)</f>
        <v/>
      </c>
      <c r="Z356">
        <f>IF(O356="Available","available",IF(OR(O356="Rented",O356="Cleaning",O356="Repair"),"unavailable",IF(O356="Retired","unavailable","")))</f>
        <v/>
      </c>
    </row>
    <row r="357" ht="150" customHeight="1">
      <c r="A357" t="inlineStr">
        <is>
          <t>W356</t>
        </is>
      </c>
      <c r="B357" s="6" t="n"/>
      <c r="C357" s="21" t="n"/>
      <c r="D357" s="25" t="n"/>
      <c r="E357" s="6" t="n"/>
      <c r="F357" s="19">
        <f>IF(E357="","",_xlfn.IMAGE(E357))</f>
        <v/>
      </c>
      <c r="G357" s="17" t="n"/>
      <c r="H357" s="39" t="n"/>
      <c r="I357" s="7" t="n"/>
      <c r="J357" s="25" t="n"/>
      <c r="K357" s="28" t="n"/>
      <c r="L357" s="6" t="n"/>
      <c r="M357" s="6" t="n"/>
      <c r="N357" s="6" t="n"/>
      <c r="O357" s="6" t="n"/>
      <c r="P357" s="8" t="n"/>
      <c r="Q357" s="7" t="n"/>
      <c r="R357" s="9" t="n"/>
      <c r="S357" s="10">
        <f>IF($C357="","",$I357*$R357)</f>
        <v/>
      </c>
      <c r="T357" s="10">
        <f>IF($C357="","",(IF($N357="Purchased",$H357,0)+$Q357))</f>
        <v/>
      </c>
      <c r="U357" s="10">
        <f>IF($C357="","",$S357-$T357)</f>
        <v/>
      </c>
      <c r="V357" s="11">
        <f>IF(OR($C357="",$I357=0),"",CEILING($T357/$I357,1))</f>
        <v/>
      </c>
      <c r="W357" s="6" t="n"/>
      <c r="X357">
        <f>IF(C357="","",LOWER(SUBSTITUTE(SUBSTITUTE(C357," ","-"),"'",""))&amp;".jpg")</f>
        <v/>
      </c>
      <c r="Y357">
        <f>IF(X357="","","/inventory/"&amp;X357)</f>
        <v/>
      </c>
      <c r="Z357">
        <f>IF(O357="Available","available",IF(OR(O357="Rented",O357="Cleaning",O357="Repair"),"unavailable",IF(O357="Retired","unavailable","")))</f>
        <v/>
      </c>
    </row>
    <row r="358" ht="150" customHeight="1">
      <c r="A358" t="inlineStr">
        <is>
          <t>W357</t>
        </is>
      </c>
      <c r="B358" s="6" t="n"/>
      <c r="C358" s="21" t="n"/>
      <c r="D358" s="25" t="n"/>
      <c r="E358" s="6" t="n"/>
      <c r="F358" s="19">
        <f>IF(E358="","",_xlfn.IMAGE(E358))</f>
        <v/>
      </c>
      <c r="G358" s="17" t="n"/>
      <c r="H358" s="39" t="n"/>
      <c r="I358" s="7" t="n"/>
      <c r="J358" s="25" t="n"/>
      <c r="K358" s="28" t="n"/>
      <c r="L358" s="6" t="n"/>
      <c r="M358" s="6" t="n"/>
      <c r="N358" s="6" t="n"/>
      <c r="O358" s="6" t="n"/>
      <c r="P358" s="8" t="n"/>
      <c r="Q358" s="7" t="n"/>
      <c r="R358" s="9" t="n"/>
      <c r="S358" s="10">
        <f>IF($C358="","",$I358*$R358)</f>
        <v/>
      </c>
      <c r="T358" s="10">
        <f>IF($C358="","",(IF($N358="Purchased",$H358,0)+$Q358))</f>
        <v/>
      </c>
      <c r="U358" s="10">
        <f>IF($C358="","",$S358-$T358)</f>
        <v/>
      </c>
      <c r="V358" s="11">
        <f>IF(OR($C358="",$I358=0),"",CEILING($T358/$I358,1))</f>
        <v/>
      </c>
      <c r="W358" s="6" t="n"/>
      <c r="X358">
        <f>IF(C358="","",LOWER(SUBSTITUTE(SUBSTITUTE(C358," ","-"),"'",""))&amp;".jpg")</f>
        <v/>
      </c>
      <c r="Y358">
        <f>IF(X358="","","/inventory/"&amp;X358)</f>
        <v/>
      </c>
      <c r="Z358">
        <f>IF(O358="Available","available",IF(OR(O358="Rented",O358="Cleaning",O358="Repair"),"unavailable",IF(O358="Retired","unavailable","")))</f>
        <v/>
      </c>
    </row>
    <row r="359" ht="150" customHeight="1">
      <c r="A359" t="inlineStr">
        <is>
          <t>W358</t>
        </is>
      </c>
      <c r="B359" s="6" t="n"/>
      <c r="C359" s="21" t="n"/>
      <c r="D359" s="25" t="n"/>
      <c r="E359" s="6" t="n"/>
      <c r="F359" s="19">
        <f>IF(E359="","",_xlfn.IMAGE(E359))</f>
        <v/>
      </c>
      <c r="G359" s="17" t="n"/>
      <c r="H359" s="39" t="n"/>
      <c r="I359" s="7" t="n"/>
      <c r="J359" s="25" t="n"/>
      <c r="K359" s="28" t="n"/>
      <c r="L359" s="6" t="n"/>
      <c r="M359" s="6" t="n"/>
      <c r="N359" s="6" t="n"/>
      <c r="O359" s="6" t="n"/>
      <c r="P359" s="8" t="n"/>
      <c r="Q359" s="7" t="n"/>
      <c r="R359" s="9" t="n"/>
      <c r="S359" s="10">
        <f>IF($C359="","",$I359*$R359)</f>
        <v/>
      </c>
      <c r="T359" s="10">
        <f>IF($C359="","",(IF($N359="Purchased",$H359,0)+$Q359))</f>
        <v/>
      </c>
      <c r="U359" s="10">
        <f>IF($C359="","",$S359-$T359)</f>
        <v/>
      </c>
      <c r="V359" s="11">
        <f>IF(OR($C359="",$I359=0),"",CEILING($T359/$I359,1))</f>
        <v/>
      </c>
      <c r="W359" s="6" t="n"/>
      <c r="X359">
        <f>IF(C359="","",LOWER(SUBSTITUTE(SUBSTITUTE(C359," ","-"),"'",""))&amp;".jpg")</f>
        <v/>
      </c>
      <c r="Y359">
        <f>IF(X359="","","/inventory/"&amp;X359)</f>
        <v/>
      </c>
      <c r="Z359">
        <f>IF(O359="Available","available",IF(OR(O359="Rented",O359="Cleaning",O359="Repair"),"unavailable",IF(O359="Retired","unavailable","")))</f>
        <v/>
      </c>
    </row>
    <row r="360" ht="150" customHeight="1">
      <c r="A360" t="inlineStr">
        <is>
          <t>W359</t>
        </is>
      </c>
      <c r="B360" s="6" t="n"/>
      <c r="C360" s="21" t="n"/>
      <c r="D360" s="25" t="n"/>
      <c r="E360" s="6" t="n"/>
      <c r="F360" s="19">
        <f>IF(E360="","",_xlfn.IMAGE(E360))</f>
        <v/>
      </c>
      <c r="G360" s="17" t="n"/>
      <c r="H360" s="39" t="n"/>
      <c r="I360" s="7" t="n"/>
      <c r="J360" s="25" t="n"/>
      <c r="K360" s="28" t="n"/>
      <c r="L360" s="6" t="n"/>
      <c r="M360" s="6" t="n"/>
      <c r="N360" s="6" t="n"/>
      <c r="O360" s="6" t="n"/>
      <c r="P360" s="8" t="n"/>
      <c r="Q360" s="7" t="n"/>
      <c r="R360" s="9" t="n"/>
      <c r="S360" s="10">
        <f>IF($C360="","",$I360*$R360)</f>
        <v/>
      </c>
      <c r="T360" s="10">
        <f>IF($C360="","",(IF($N360="Purchased",$H360,0)+$Q360))</f>
        <v/>
      </c>
      <c r="U360" s="10">
        <f>IF($C360="","",$S360-$T360)</f>
        <v/>
      </c>
      <c r="V360" s="11">
        <f>IF(OR($C360="",$I360=0),"",CEILING($T360/$I360,1))</f>
        <v/>
      </c>
      <c r="W360" s="6" t="n"/>
      <c r="X360">
        <f>IF(C360="","",LOWER(SUBSTITUTE(SUBSTITUTE(C360," ","-"),"'",""))&amp;".jpg")</f>
        <v/>
      </c>
      <c r="Y360">
        <f>IF(X360="","","/inventory/"&amp;X360)</f>
        <v/>
      </c>
      <c r="Z360">
        <f>IF(O360="Available","available",IF(OR(O360="Rented",O360="Cleaning",O360="Repair"),"unavailable",IF(O360="Retired","unavailable","")))</f>
        <v/>
      </c>
    </row>
    <row r="361" ht="150" customHeight="1">
      <c r="A361" t="inlineStr">
        <is>
          <t>W360</t>
        </is>
      </c>
      <c r="B361" s="6" t="n"/>
      <c r="C361" s="21" t="n"/>
      <c r="D361" s="25" t="n"/>
      <c r="E361" s="6" t="n"/>
      <c r="F361" s="19">
        <f>IF(E361="","",_xlfn.IMAGE(E361))</f>
        <v/>
      </c>
      <c r="G361" s="17" t="n"/>
      <c r="H361" s="39" t="n"/>
      <c r="I361" s="7" t="n"/>
      <c r="J361" s="25" t="n"/>
      <c r="K361" s="28" t="n"/>
      <c r="L361" s="6" t="n"/>
      <c r="M361" s="6" t="n"/>
      <c r="N361" s="6" t="n"/>
      <c r="O361" s="6" t="n"/>
      <c r="P361" s="8" t="n"/>
      <c r="Q361" s="7" t="n"/>
      <c r="R361" s="9" t="n"/>
      <c r="S361" s="10">
        <f>IF($C361="","",$I361*$R361)</f>
        <v/>
      </c>
      <c r="T361" s="10">
        <f>IF($C361="","",(IF($N361="Purchased",$H361,0)+$Q361))</f>
        <v/>
      </c>
      <c r="U361" s="10">
        <f>IF($C361="","",$S361-$T361)</f>
        <v/>
      </c>
      <c r="V361" s="11">
        <f>IF(OR($C361="",$I361=0),"",CEILING($T361/$I361,1))</f>
        <v/>
      </c>
      <c r="W361" s="6" t="n"/>
      <c r="X361">
        <f>IF(C361="","",LOWER(SUBSTITUTE(SUBSTITUTE(C361," ","-"),"'",""))&amp;".jpg")</f>
        <v/>
      </c>
      <c r="Y361">
        <f>IF(X361="","","/inventory/"&amp;X361)</f>
        <v/>
      </c>
      <c r="Z361">
        <f>IF(O361="Available","available",IF(OR(O361="Rented",O361="Cleaning",O361="Repair"),"unavailable",IF(O361="Retired","unavailable","")))</f>
        <v/>
      </c>
    </row>
    <row r="362" ht="150" customHeight="1">
      <c r="A362" t="inlineStr">
        <is>
          <t>W361</t>
        </is>
      </c>
      <c r="B362" s="6" t="n"/>
      <c r="C362" s="21" t="n"/>
      <c r="D362" s="25" t="n"/>
      <c r="E362" s="6" t="n"/>
      <c r="F362" s="19">
        <f>IF(E362="","",_xlfn.IMAGE(E362))</f>
        <v/>
      </c>
      <c r="G362" s="17" t="n"/>
      <c r="H362" s="39" t="n"/>
      <c r="I362" s="7" t="n"/>
      <c r="J362" s="25" t="n"/>
      <c r="K362" s="28" t="n"/>
      <c r="L362" s="6" t="n"/>
      <c r="M362" s="6" t="n"/>
      <c r="N362" s="6" t="n"/>
      <c r="O362" s="6" t="n"/>
      <c r="P362" s="8" t="n"/>
      <c r="Q362" s="7" t="n"/>
      <c r="R362" s="9" t="n"/>
      <c r="S362" s="10">
        <f>IF($C362="","",$I362*$R362)</f>
        <v/>
      </c>
      <c r="T362" s="10">
        <f>IF($C362="","",(IF($N362="Purchased",$H362,0)+$Q362))</f>
        <v/>
      </c>
      <c r="U362" s="10">
        <f>IF($C362="","",$S362-$T362)</f>
        <v/>
      </c>
      <c r="V362" s="11">
        <f>IF(OR($C362="",$I362=0),"",CEILING($T362/$I362,1))</f>
        <v/>
      </c>
      <c r="W362" s="6" t="n"/>
      <c r="X362">
        <f>IF(C362="","",LOWER(SUBSTITUTE(SUBSTITUTE(C362," ","-"),"'",""))&amp;".jpg")</f>
        <v/>
      </c>
      <c r="Y362">
        <f>IF(X362="","","/inventory/"&amp;X362)</f>
        <v/>
      </c>
      <c r="Z362">
        <f>IF(O362="Available","available",IF(OR(O362="Rented",O362="Cleaning",O362="Repair"),"unavailable",IF(O362="Retired","unavailable","")))</f>
        <v/>
      </c>
    </row>
    <row r="363" ht="150" customHeight="1">
      <c r="A363" t="inlineStr">
        <is>
          <t>W362</t>
        </is>
      </c>
      <c r="B363" s="6" t="n"/>
      <c r="C363" s="21" t="n"/>
      <c r="D363" s="25" t="n"/>
      <c r="E363" s="6" t="n"/>
      <c r="F363" s="19">
        <f>IF(E363="","",_xlfn.IMAGE(E363))</f>
        <v/>
      </c>
      <c r="G363" s="17" t="n"/>
      <c r="H363" s="39" t="n"/>
      <c r="I363" s="7" t="n"/>
      <c r="J363" s="25" t="n"/>
      <c r="K363" s="28" t="n"/>
      <c r="L363" s="6" t="n"/>
      <c r="M363" s="6" t="n"/>
      <c r="N363" s="6" t="n"/>
      <c r="O363" s="6" t="n"/>
      <c r="P363" s="8" t="n"/>
      <c r="Q363" s="7" t="n"/>
      <c r="R363" s="9" t="n"/>
      <c r="S363" s="10">
        <f>IF($C363="","",$I363*$R363)</f>
        <v/>
      </c>
      <c r="T363" s="10">
        <f>IF($C363="","",(IF($N363="Purchased",$H363,0)+$Q363))</f>
        <v/>
      </c>
      <c r="U363" s="10">
        <f>IF($C363="","",$S363-$T363)</f>
        <v/>
      </c>
      <c r="V363" s="11">
        <f>IF(OR($C363="",$I363=0),"",CEILING($T363/$I363,1))</f>
        <v/>
      </c>
      <c r="W363" s="6" t="n"/>
      <c r="X363">
        <f>IF(C363="","",LOWER(SUBSTITUTE(SUBSTITUTE(C363," ","-"),"'",""))&amp;".jpg")</f>
        <v/>
      </c>
      <c r="Y363">
        <f>IF(X363="","","/inventory/"&amp;X363)</f>
        <v/>
      </c>
      <c r="Z363">
        <f>IF(O363="Available","available",IF(OR(O363="Rented",O363="Cleaning",O363="Repair"),"unavailable",IF(O363="Retired","unavailable","")))</f>
        <v/>
      </c>
    </row>
    <row r="364" ht="150" customHeight="1">
      <c r="A364" t="inlineStr">
        <is>
          <t>W363</t>
        </is>
      </c>
      <c r="B364" s="6" t="n"/>
      <c r="C364" s="21" t="n"/>
      <c r="D364" s="25" t="n"/>
      <c r="E364" s="6" t="n"/>
      <c r="F364" s="19">
        <f>IF(E364="","",_xlfn.IMAGE(E364))</f>
        <v/>
      </c>
      <c r="G364" s="17" t="n"/>
      <c r="H364" s="39" t="n"/>
      <c r="I364" s="7" t="n"/>
      <c r="J364" s="25" t="n"/>
      <c r="K364" s="28" t="n"/>
      <c r="L364" s="6" t="n"/>
      <c r="M364" s="6" t="n"/>
      <c r="N364" s="6" t="n"/>
      <c r="O364" s="6" t="n"/>
      <c r="P364" s="8" t="n"/>
      <c r="Q364" s="7" t="n"/>
      <c r="R364" s="9" t="n"/>
      <c r="S364" s="10">
        <f>IF($C364="","",$I364*$R364)</f>
        <v/>
      </c>
      <c r="T364" s="10">
        <f>IF($C364="","",(IF($N364="Purchased",$H364,0)+$Q364))</f>
        <v/>
      </c>
      <c r="U364" s="10">
        <f>IF($C364="","",$S364-$T364)</f>
        <v/>
      </c>
      <c r="V364" s="11">
        <f>IF(OR($C364="",$I364=0),"",CEILING($T364/$I364,1))</f>
        <v/>
      </c>
      <c r="W364" s="6" t="n"/>
      <c r="X364">
        <f>IF(C364="","",LOWER(SUBSTITUTE(SUBSTITUTE(C364," ","-"),"'",""))&amp;".jpg")</f>
        <v/>
      </c>
      <c r="Y364">
        <f>IF(X364="","","/inventory/"&amp;X364)</f>
        <v/>
      </c>
      <c r="Z364">
        <f>IF(O364="Available","available",IF(OR(O364="Rented",O364="Cleaning",O364="Repair"),"unavailable",IF(O364="Retired","unavailable","")))</f>
        <v/>
      </c>
    </row>
    <row r="365" ht="150" customHeight="1">
      <c r="A365" t="inlineStr">
        <is>
          <t>W364</t>
        </is>
      </c>
      <c r="B365" s="6" t="n"/>
      <c r="C365" s="21" t="n"/>
      <c r="D365" s="25" t="n"/>
      <c r="E365" s="6" t="n"/>
      <c r="F365" s="19">
        <f>IF(E365="","",_xlfn.IMAGE(E365))</f>
        <v/>
      </c>
      <c r="G365" s="17" t="n"/>
      <c r="H365" s="39" t="n"/>
      <c r="I365" s="7" t="n"/>
      <c r="J365" s="25" t="n"/>
      <c r="K365" s="28" t="n"/>
      <c r="L365" s="6" t="n"/>
      <c r="M365" s="6" t="n"/>
      <c r="N365" s="6" t="n"/>
      <c r="O365" s="6" t="n"/>
      <c r="P365" s="8" t="n"/>
      <c r="Q365" s="7" t="n"/>
      <c r="R365" s="9" t="n"/>
      <c r="S365" s="10">
        <f>IF($C365="","",$I365*$R365)</f>
        <v/>
      </c>
      <c r="T365" s="10">
        <f>IF($C365="","",(IF($N365="Purchased",$H365,0)+$Q365))</f>
        <v/>
      </c>
      <c r="U365" s="10">
        <f>IF($C365="","",$S365-$T365)</f>
        <v/>
      </c>
      <c r="V365" s="11">
        <f>IF(OR($C365="",$I365=0),"",CEILING($T365/$I365,1))</f>
        <v/>
      </c>
      <c r="W365" s="6" t="n"/>
      <c r="X365">
        <f>IF(C365="","",LOWER(SUBSTITUTE(SUBSTITUTE(C365," ","-"),"'",""))&amp;".jpg")</f>
        <v/>
      </c>
      <c r="Y365">
        <f>IF(X365="","","/inventory/"&amp;X365)</f>
        <v/>
      </c>
      <c r="Z365">
        <f>IF(O365="Available","available",IF(OR(O365="Rented",O365="Cleaning",O365="Repair"),"unavailable",IF(O365="Retired","unavailable","")))</f>
        <v/>
      </c>
    </row>
    <row r="366" ht="150" customHeight="1">
      <c r="A366" t="inlineStr">
        <is>
          <t>W365</t>
        </is>
      </c>
      <c r="B366" s="6" t="n"/>
      <c r="C366" s="21" t="n"/>
      <c r="D366" s="25" t="n"/>
      <c r="E366" s="6" t="n"/>
      <c r="F366" s="19">
        <f>IF(E366="","",_xlfn.IMAGE(E366))</f>
        <v/>
      </c>
      <c r="G366" s="17" t="n"/>
      <c r="H366" s="39" t="n"/>
      <c r="I366" s="7" t="n"/>
      <c r="J366" s="25" t="n"/>
      <c r="K366" s="28" t="n"/>
      <c r="L366" s="6" t="n"/>
      <c r="M366" s="6" t="n"/>
      <c r="N366" s="6" t="n"/>
      <c r="O366" s="6" t="n"/>
      <c r="P366" s="8" t="n"/>
      <c r="Q366" s="7" t="n"/>
      <c r="R366" s="9" t="n"/>
      <c r="S366" s="10">
        <f>IF($C366="","",$I366*$R366)</f>
        <v/>
      </c>
      <c r="T366" s="10">
        <f>IF($C366="","",(IF($N366="Purchased",$H366,0)+$Q366))</f>
        <v/>
      </c>
      <c r="U366" s="10">
        <f>IF($C366="","",$S366-$T366)</f>
        <v/>
      </c>
      <c r="V366" s="11">
        <f>IF(OR($C366="",$I366=0),"",CEILING($T366/$I366,1))</f>
        <v/>
      </c>
      <c r="W366" s="6" t="n"/>
      <c r="X366">
        <f>IF(C366="","",LOWER(SUBSTITUTE(SUBSTITUTE(C366," ","-"),"'",""))&amp;".jpg")</f>
        <v/>
      </c>
      <c r="Y366">
        <f>IF(X366="","","/inventory/"&amp;X366)</f>
        <v/>
      </c>
      <c r="Z366">
        <f>IF(O366="Available","available",IF(OR(O366="Rented",O366="Cleaning",O366="Repair"),"unavailable",IF(O366="Retired","unavailable","")))</f>
        <v/>
      </c>
    </row>
    <row r="367" ht="150" customHeight="1">
      <c r="A367" t="inlineStr">
        <is>
          <t>W366</t>
        </is>
      </c>
      <c r="B367" s="6" t="n"/>
      <c r="C367" s="21" t="n"/>
      <c r="D367" s="25" t="n"/>
      <c r="E367" s="6" t="n"/>
      <c r="F367" s="19">
        <f>IF(E367="","",_xlfn.IMAGE(E367))</f>
        <v/>
      </c>
      <c r="G367" s="17" t="n"/>
      <c r="H367" s="39" t="n"/>
      <c r="I367" s="7" t="n"/>
      <c r="J367" s="25" t="n"/>
      <c r="K367" s="28" t="n"/>
      <c r="L367" s="6" t="n"/>
      <c r="M367" s="6" t="n"/>
      <c r="N367" s="6" t="n"/>
      <c r="O367" s="6" t="n"/>
      <c r="P367" s="8" t="n"/>
      <c r="Q367" s="7" t="n"/>
      <c r="R367" s="9" t="n"/>
      <c r="S367" s="10">
        <f>IF($C367="","",$I367*$R367)</f>
        <v/>
      </c>
      <c r="T367" s="10">
        <f>IF($C367="","",(IF($N367="Purchased",$H367,0)+$Q367))</f>
        <v/>
      </c>
      <c r="U367" s="10">
        <f>IF($C367="","",$S367-$T367)</f>
        <v/>
      </c>
      <c r="V367" s="11">
        <f>IF(OR($C367="",$I367=0),"",CEILING($T367/$I367,1))</f>
        <v/>
      </c>
      <c r="W367" s="6" t="n"/>
      <c r="X367">
        <f>IF(C367="","",LOWER(SUBSTITUTE(SUBSTITUTE(C367," ","-"),"'",""))&amp;".jpg")</f>
        <v/>
      </c>
      <c r="Y367">
        <f>IF(X367="","","/inventory/"&amp;X367)</f>
        <v/>
      </c>
      <c r="Z367">
        <f>IF(O367="Available","available",IF(OR(O367="Rented",O367="Cleaning",O367="Repair"),"unavailable",IF(O367="Retired","unavailable","")))</f>
        <v/>
      </c>
    </row>
    <row r="368" ht="150" customHeight="1">
      <c r="A368" t="inlineStr">
        <is>
          <t>W367</t>
        </is>
      </c>
      <c r="B368" s="6" t="n"/>
      <c r="C368" s="21" t="n"/>
      <c r="D368" s="25" t="n"/>
      <c r="E368" s="6" t="n"/>
      <c r="F368" s="19">
        <f>IF(E368="","",_xlfn.IMAGE(E368))</f>
        <v/>
      </c>
      <c r="G368" s="17" t="n"/>
      <c r="H368" s="39" t="n"/>
      <c r="I368" s="7" t="n"/>
      <c r="J368" s="25" t="n"/>
      <c r="K368" s="28" t="n"/>
      <c r="L368" s="6" t="n"/>
      <c r="M368" s="6" t="n"/>
      <c r="N368" s="6" t="n"/>
      <c r="O368" s="6" t="n"/>
      <c r="P368" s="8" t="n"/>
      <c r="Q368" s="7" t="n"/>
      <c r="R368" s="9" t="n"/>
      <c r="S368" s="10">
        <f>IF($C368="","",$I368*$R368)</f>
        <v/>
      </c>
      <c r="T368" s="10">
        <f>IF($C368="","",(IF($N368="Purchased",$H368,0)+$Q368))</f>
        <v/>
      </c>
      <c r="U368" s="10">
        <f>IF($C368="","",$S368-$T368)</f>
        <v/>
      </c>
      <c r="V368" s="11">
        <f>IF(OR($C368="",$I368=0),"",CEILING($T368/$I368,1))</f>
        <v/>
      </c>
      <c r="W368" s="6" t="n"/>
      <c r="X368">
        <f>IF(C368="","",LOWER(SUBSTITUTE(SUBSTITUTE(C368," ","-"),"'",""))&amp;".jpg")</f>
        <v/>
      </c>
      <c r="Y368">
        <f>IF(X368="","","/inventory/"&amp;X368)</f>
        <v/>
      </c>
      <c r="Z368">
        <f>IF(O368="Available","available",IF(OR(O368="Rented",O368="Cleaning",O368="Repair"),"unavailable",IF(O368="Retired","unavailable","")))</f>
        <v/>
      </c>
    </row>
    <row r="369" ht="150" customHeight="1">
      <c r="A369" t="inlineStr">
        <is>
          <t>W368</t>
        </is>
      </c>
      <c r="B369" s="6" t="n"/>
      <c r="C369" s="21" t="n"/>
      <c r="D369" s="25" t="n"/>
      <c r="E369" s="6" t="n"/>
      <c r="F369" s="19">
        <f>IF(E369="","",_xlfn.IMAGE(E369))</f>
        <v/>
      </c>
      <c r="G369" s="17" t="n"/>
      <c r="H369" s="39" t="n"/>
      <c r="I369" s="7" t="n"/>
      <c r="J369" s="25" t="n"/>
      <c r="K369" s="28" t="n"/>
      <c r="L369" s="6" t="n"/>
      <c r="M369" s="6" t="n"/>
      <c r="N369" s="6" t="n"/>
      <c r="O369" s="6" t="n"/>
      <c r="P369" s="8" t="n"/>
      <c r="Q369" s="7" t="n"/>
      <c r="R369" s="9" t="n"/>
      <c r="S369" s="10">
        <f>IF($C369="","",$I369*$R369)</f>
        <v/>
      </c>
      <c r="T369" s="10">
        <f>IF($C369="","",(IF($N369="Purchased",$H369,0)+$Q369))</f>
        <v/>
      </c>
      <c r="U369" s="10">
        <f>IF($C369="","",$S369-$T369)</f>
        <v/>
      </c>
      <c r="V369" s="11">
        <f>IF(OR($C369="",$I369=0),"",CEILING($T369/$I369,1))</f>
        <v/>
      </c>
      <c r="W369" s="6" t="n"/>
      <c r="X369">
        <f>IF(C369="","",LOWER(SUBSTITUTE(SUBSTITUTE(C369," ","-"),"'",""))&amp;".jpg")</f>
        <v/>
      </c>
      <c r="Y369">
        <f>IF(X369="","","/inventory/"&amp;X369)</f>
        <v/>
      </c>
      <c r="Z369">
        <f>IF(O369="Available","available",IF(OR(O369="Rented",O369="Cleaning",O369="Repair"),"unavailable",IF(O369="Retired","unavailable","")))</f>
        <v/>
      </c>
    </row>
    <row r="370" ht="150" customHeight="1">
      <c r="A370" t="inlineStr">
        <is>
          <t>W369</t>
        </is>
      </c>
      <c r="B370" s="6" t="n"/>
      <c r="C370" s="21" t="n"/>
      <c r="D370" s="25" t="n"/>
      <c r="E370" s="6" t="n"/>
      <c r="F370" s="19">
        <f>IF(E370="","",_xlfn.IMAGE(E370))</f>
        <v/>
      </c>
      <c r="G370" s="17" t="n"/>
      <c r="H370" s="39" t="n"/>
      <c r="I370" s="7" t="n"/>
      <c r="J370" s="25" t="n"/>
      <c r="K370" s="28" t="n"/>
      <c r="L370" s="6" t="n"/>
      <c r="M370" s="6" t="n"/>
      <c r="N370" s="6" t="n"/>
      <c r="O370" s="6" t="n"/>
      <c r="P370" s="8" t="n"/>
      <c r="Q370" s="7" t="n"/>
      <c r="R370" s="9" t="n"/>
      <c r="S370" s="10">
        <f>IF($C370="","",$I370*$R370)</f>
        <v/>
      </c>
      <c r="T370" s="10">
        <f>IF($C370="","",(IF($N370="Purchased",$H370,0)+$Q370))</f>
        <v/>
      </c>
      <c r="U370" s="10">
        <f>IF($C370="","",$S370-$T370)</f>
        <v/>
      </c>
      <c r="V370" s="11">
        <f>IF(OR($C370="",$I370=0),"",CEILING($T370/$I370,1))</f>
        <v/>
      </c>
      <c r="W370" s="6" t="n"/>
      <c r="X370">
        <f>IF(C370="","",LOWER(SUBSTITUTE(SUBSTITUTE(C370," ","-"),"'",""))&amp;".jpg")</f>
        <v/>
      </c>
      <c r="Y370">
        <f>IF(X370="","","/inventory/"&amp;X370)</f>
        <v/>
      </c>
      <c r="Z370">
        <f>IF(O370="Available","available",IF(OR(O370="Rented",O370="Cleaning",O370="Repair"),"unavailable",IF(O370="Retired","unavailable","")))</f>
        <v/>
      </c>
    </row>
    <row r="371" ht="150" customHeight="1">
      <c r="A371" t="inlineStr">
        <is>
          <t>W370</t>
        </is>
      </c>
      <c r="B371" s="6" t="n"/>
      <c r="C371" s="21" t="n"/>
      <c r="D371" s="25" t="n"/>
      <c r="E371" s="6" t="n"/>
      <c r="F371" s="19">
        <f>IF(E371="","",_xlfn.IMAGE(E371))</f>
        <v/>
      </c>
      <c r="G371" s="17" t="n"/>
      <c r="H371" s="39" t="n"/>
      <c r="I371" s="7" t="n"/>
      <c r="J371" s="25" t="n"/>
      <c r="K371" s="28" t="n"/>
      <c r="L371" s="6" t="n"/>
      <c r="M371" s="6" t="n"/>
      <c r="N371" s="6" t="n"/>
      <c r="O371" s="6" t="n"/>
      <c r="P371" s="8" t="n"/>
      <c r="Q371" s="7" t="n"/>
      <c r="R371" s="9" t="n"/>
      <c r="S371" s="10">
        <f>IF($C371="","",$I371*$R371)</f>
        <v/>
      </c>
      <c r="T371" s="10">
        <f>IF($C371="","",(IF($N371="Purchased",$H371,0)+$Q371))</f>
        <v/>
      </c>
      <c r="U371" s="10">
        <f>IF($C371="","",$S371-$T371)</f>
        <v/>
      </c>
      <c r="V371" s="11">
        <f>IF(OR($C371="",$I371=0),"",CEILING($T371/$I371,1))</f>
        <v/>
      </c>
      <c r="W371" s="6" t="n"/>
      <c r="X371">
        <f>IF(C371="","",LOWER(SUBSTITUTE(SUBSTITUTE(C371," ","-"),"'",""))&amp;".jpg")</f>
        <v/>
      </c>
      <c r="Y371">
        <f>IF(X371="","","/inventory/"&amp;X371)</f>
        <v/>
      </c>
      <c r="Z371">
        <f>IF(O371="Available","available",IF(OR(O371="Rented",O371="Cleaning",O371="Repair"),"unavailable",IF(O371="Retired","unavailable","")))</f>
        <v/>
      </c>
    </row>
    <row r="372" ht="150" customHeight="1">
      <c r="A372" t="inlineStr">
        <is>
          <t>W371</t>
        </is>
      </c>
      <c r="B372" s="6" t="n"/>
      <c r="C372" s="21" t="n"/>
      <c r="D372" s="25" t="n"/>
      <c r="E372" s="6" t="n"/>
      <c r="F372" s="19">
        <f>IF(E372="","",_xlfn.IMAGE(E372))</f>
        <v/>
      </c>
      <c r="G372" s="17" t="n"/>
      <c r="H372" s="39" t="n"/>
      <c r="I372" s="7" t="n"/>
      <c r="J372" s="25" t="n"/>
      <c r="K372" s="28" t="n"/>
      <c r="L372" s="6" t="n"/>
      <c r="M372" s="6" t="n"/>
      <c r="N372" s="6" t="n"/>
      <c r="O372" s="6" t="n"/>
      <c r="P372" s="8" t="n"/>
      <c r="Q372" s="7" t="n"/>
      <c r="R372" s="9" t="n"/>
      <c r="S372" s="10">
        <f>IF($C372="","",$I372*$R372)</f>
        <v/>
      </c>
      <c r="T372" s="10">
        <f>IF($C372="","",(IF($N372="Purchased",$H372,0)+$Q372))</f>
        <v/>
      </c>
      <c r="U372" s="10">
        <f>IF($C372="","",$S372-$T372)</f>
        <v/>
      </c>
      <c r="V372" s="11">
        <f>IF(OR($C372="",$I372=0),"",CEILING($T372/$I372,1))</f>
        <v/>
      </c>
      <c r="W372" s="6" t="n"/>
      <c r="X372">
        <f>IF(C372="","",LOWER(SUBSTITUTE(SUBSTITUTE(C372," ","-"),"'",""))&amp;".jpg")</f>
        <v/>
      </c>
      <c r="Y372">
        <f>IF(X372="","","/inventory/"&amp;X372)</f>
        <v/>
      </c>
      <c r="Z372">
        <f>IF(O372="Available","available",IF(OR(O372="Rented",O372="Cleaning",O372="Repair"),"unavailable",IF(O372="Retired","unavailable","")))</f>
        <v/>
      </c>
    </row>
    <row r="373" ht="150" customHeight="1">
      <c r="A373" t="inlineStr">
        <is>
          <t>W372</t>
        </is>
      </c>
      <c r="B373" s="6" t="n"/>
      <c r="C373" s="21" t="n"/>
      <c r="D373" s="25" t="n"/>
      <c r="E373" s="6" t="n"/>
      <c r="F373" s="19">
        <f>IF(E373="","",_xlfn.IMAGE(E373))</f>
        <v/>
      </c>
      <c r="G373" s="17" t="n"/>
      <c r="H373" s="39" t="n"/>
      <c r="I373" s="7" t="n"/>
      <c r="J373" s="25" t="n"/>
      <c r="K373" s="28" t="n"/>
      <c r="L373" s="6" t="n"/>
      <c r="M373" s="6" t="n"/>
      <c r="N373" s="6" t="n"/>
      <c r="O373" s="6" t="n"/>
      <c r="P373" s="8" t="n"/>
      <c r="Q373" s="7" t="n"/>
      <c r="R373" s="9" t="n"/>
      <c r="S373" s="10">
        <f>IF($C373="","",$I373*$R373)</f>
        <v/>
      </c>
      <c r="T373" s="10">
        <f>IF($C373="","",(IF($N373="Purchased",$H373,0)+$Q373))</f>
        <v/>
      </c>
      <c r="U373" s="10">
        <f>IF($C373="","",$S373-$T373)</f>
        <v/>
      </c>
      <c r="V373" s="11">
        <f>IF(OR($C373="",$I373=0),"",CEILING($T373/$I373,1))</f>
        <v/>
      </c>
      <c r="W373" s="6" t="n"/>
      <c r="X373">
        <f>IF(C373="","",LOWER(SUBSTITUTE(SUBSTITUTE(C373," ","-"),"'",""))&amp;".jpg")</f>
        <v/>
      </c>
      <c r="Y373">
        <f>IF(X373="","","/inventory/"&amp;X373)</f>
        <v/>
      </c>
      <c r="Z373">
        <f>IF(O373="Available","available",IF(OR(O373="Rented",O373="Cleaning",O373="Repair"),"unavailable",IF(O373="Retired","unavailable","")))</f>
        <v/>
      </c>
    </row>
    <row r="374" ht="150" customHeight="1">
      <c r="A374" t="inlineStr">
        <is>
          <t>W373</t>
        </is>
      </c>
      <c r="B374" s="6" t="n"/>
      <c r="C374" s="21" t="n"/>
      <c r="D374" s="25" t="n"/>
      <c r="E374" s="6" t="n"/>
      <c r="F374" s="19">
        <f>IF(E374="","",_xlfn.IMAGE(E374))</f>
        <v/>
      </c>
      <c r="G374" s="17" t="n"/>
      <c r="H374" s="39" t="n"/>
      <c r="I374" s="7" t="n"/>
      <c r="J374" s="25" t="n"/>
      <c r="K374" s="28" t="n"/>
      <c r="L374" s="6" t="n"/>
      <c r="M374" s="6" t="n"/>
      <c r="N374" s="6" t="n"/>
      <c r="O374" s="6" t="n"/>
      <c r="P374" s="8" t="n"/>
      <c r="Q374" s="7" t="n"/>
      <c r="R374" s="9" t="n"/>
      <c r="S374" s="10">
        <f>IF($C374="","",$I374*$R374)</f>
        <v/>
      </c>
      <c r="T374" s="10">
        <f>IF($C374="","",(IF($N374="Purchased",$H374,0)+$Q374))</f>
        <v/>
      </c>
      <c r="U374" s="10">
        <f>IF($C374="","",$S374-$T374)</f>
        <v/>
      </c>
      <c r="V374" s="11">
        <f>IF(OR($C374="",$I374=0),"",CEILING($T374/$I374,1))</f>
        <v/>
      </c>
      <c r="W374" s="6" t="n"/>
      <c r="X374">
        <f>IF(C374="","",LOWER(SUBSTITUTE(SUBSTITUTE(C374," ","-"),"'",""))&amp;".jpg")</f>
        <v/>
      </c>
      <c r="Y374">
        <f>IF(X374="","","/inventory/"&amp;X374)</f>
        <v/>
      </c>
      <c r="Z374">
        <f>IF(O374="Available","available",IF(OR(O374="Rented",O374="Cleaning",O374="Repair"),"unavailable",IF(O374="Retired","unavailable","")))</f>
        <v/>
      </c>
    </row>
    <row r="375" ht="150" customHeight="1">
      <c r="A375" t="inlineStr">
        <is>
          <t>W374</t>
        </is>
      </c>
      <c r="B375" s="6" t="n"/>
      <c r="C375" s="21" t="n"/>
      <c r="D375" s="25" t="n"/>
      <c r="E375" s="6" t="n"/>
      <c r="F375" s="19">
        <f>IF(E375="","",_xlfn.IMAGE(E375))</f>
        <v/>
      </c>
      <c r="G375" s="17" t="n"/>
      <c r="H375" s="39" t="n"/>
      <c r="I375" s="7" t="n"/>
      <c r="J375" s="25" t="n"/>
      <c r="K375" s="28" t="n"/>
      <c r="L375" s="6" t="n"/>
      <c r="M375" s="6" t="n"/>
      <c r="N375" s="6" t="n"/>
      <c r="O375" s="6" t="n"/>
      <c r="P375" s="8" t="n"/>
      <c r="Q375" s="7" t="n"/>
      <c r="R375" s="9" t="n"/>
      <c r="S375" s="10">
        <f>IF($C375="","",$I375*$R375)</f>
        <v/>
      </c>
      <c r="T375" s="10">
        <f>IF($C375="","",(IF($N375="Purchased",$H375,0)+$Q375))</f>
        <v/>
      </c>
      <c r="U375" s="10">
        <f>IF($C375="","",$S375-$T375)</f>
        <v/>
      </c>
      <c r="V375" s="11">
        <f>IF(OR($C375="",$I375=0),"",CEILING($T375/$I375,1))</f>
        <v/>
      </c>
      <c r="W375" s="6" t="n"/>
      <c r="X375">
        <f>IF(C375="","",LOWER(SUBSTITUTE(SUBSTITUTE(C375," ","-"),"'",""))&amp;".jpg")</f>
        <v/>
      </c>
      <c r="Y375">
        <f>IF(X375="","","/inventory/"&amp;X375)</f>
        <v/>
      </c>
      <c r="Z375">
        <f>IF(O375="Available","available",IF(OR(O375="Rented",O375="Cleaning",O375="Repair"),"unavailable",IF(O375="Retired","unavailable","")))</f>
        <v/>
      </c>
    </row>
    <row r="376" ht="150" customHeight="1">
      <c r="A376" t="inlineStr">
        <is>
          <t>W375</t>
        </is>
      </c>
      <c r="B376" s="6" t="n"/>
      <c r="C376" s="21" t="n"/>
      <c r="D376" s="25" t="n"/>
      <c r="E376" s="6" t="n"/>
      <c r="F376" s="19">
        <f>IF(E376="","",_xlfn.IMAGE(E376))</f>
        <v/>
      </c>
      <c r="G376" s="17" t="n"/>
      <c r="H376" s="39" t="n"/>
      <c r="I376" s="7" t="n"/>
      <c r="J376" s="25" t="n"/>
      <c r="K376" s="28" t="n"/>
      <c r="L376" s="6" t="n"/>
      <c r="M376" s="6" t="n"/>
      <c r="N376" s="6" t="n"/>
      <c r="O376" s="6" t="n"/>
      <c r="P376" s="8" t="n"/>
      <c r="Q376" s="7" t="n"/>
      <c r="R376" s="9" t="n"/>
      <c r="S376" s="10">
        <f>IF($C376="","",$I376*$R376)</f>
        <v/>
      </c>
      <c r="T376" s="10">
        <f>IF($C376="","",(IF($N376="Purchased",$H376,0)+$Q376))</f>
        <v/>
      </c>
      <c r="U376" s="10">
        <f>IF($C376="","",$S376-$T376)</f>
        <v/>
      </c>
      <c r="V376" s="11">
        <f>IF(OR($C376="",$I376=0),"",CEILING($T376/$I376,1))</f>
        <v/>
      </c>
      <c r="W376" s="6" t="n"/>
      <c r="X376">
        <f>IF(C376="","",LOWER(SUBSTITUTE(SUBSTITUTE(C376," ","-"),"'",""))&amp;".jpg")</f>
        <v/>
      </c>
      <c r="Y376">
        <f>IF(X376="","","/inventory/"&amp;X376)</f>
        <v/>
      </c>
      <c r="Z376">
        <f>IF(O376="Available","available",IF(OR(O376="Rented",O376="Cleaning",O376="Repair"),"unavailable",IF(O376="Retired","unavailable","")))</f>
        <v/>
      </c>
    </row>
    <row r="377" ht="150" customHeight="1">
      <c r="A377" t="inlineStr">
        <is>
          <t>W376</t>
        </is>
      </c>
      <c r="B377" s="6" t="n"/>
      <c r="C377" s="21" t="n"/>
      <c r="D377" s="25" t="n"/>
      <c r="E377" s="6" t="n"/>
      <c r="F377" s="19">
        <f>IF(E377="","",_xlfn.IMAGE(E377))</f>
        <v/>
      </c>
      <c r="G377" s="17" t="n"/>
      <c r="H377" s="39" t="n"/>
      <c r="I377" s="7" t="n"/>
      <c r="J377" s="25" t="n"/>
      <c r="K377" s="28" t="n"/>
      <c r="L377" s="6" t="n"/>
      <c r="M377" s="6" t="n"/>
      <c r="N377" s="6" t="n"/>
      <c r="O377" s="6" t="n"/>
      <c r="P377" s="8" t="n"/>
      <c r="Q377" s="7" t="n"/>
      <c r="R377" s="9" t="n"/>
      <c r="S377" s="10">
        <f>IF($C377="","",$I377*$R377)</f>
        <v/>
      </c>
      <c r="T377" s="10">
        <f>IF($C377="","",(IF($N377="Purchased",$H377,0)+$Q377))</f>
        <v/>
      </c>
      <c r="U377" s="10">
        <f>IF($C377="","",$S377-$T377)</f>
        <v/>
      </c>
      <c r="V377" s="11">
        <f>IF(OR($C377="",$I377=0),"",CEILING($T377/$I377,1))</f>
        <v/>
      </c>
      <c r="W377" s="6" t="n"/>
      <c r="X377">
        <f>IF(C377="","",LOWER(SUBSTITUTE(SUBSTITUTE(C377," ","-"),"'",""))&amp;".jpg")</f>
        <v/>
      </c>
      <c r="Y377">
        <f>IF(X377="","","/inventory/"&amp;X377)</f>
        <v/>
      </c>
      <c r="Z377">
        <f>IF(O377="Available","available",IF(OR(O377="Rented",O377="Cleaning",O377="Repair"),"unavailable",IF(O377="Retired","unavailable","")))</f>
        <v/>
      </c>
    </row>
    <row r="378" ht="150" customHeight="1">
      <c r="A378" t="inlineStr">
        <is>
          <t>W377</t>
        </is>
      </c>
      <c r="B378" s="6" t="n"/>
      <c r="C378" s="21" t="n"/>
      <c r="D378" s="25" t="n"/>
      <c r="E378" s="6" t="n"/>
      <c r="F378" s="19">
        <f>IF(E378="","",_xlfn.IMAGE(E378))</f>
        <v/>
      </c>
      <c r="G378" s="17" t="n"/>
      <c r="H378" s="39" t="n"/>
      <c r="I378" s="7" t="n"/>
      <c r="J378" s="25" t="n"/>
      <c r="K378" s="28" t="n"/>
      <c r="L378" s="6" t="n"/>
      <c r="M378" s="6" t="n"/>
      <c r="N378" s="6" t="n"/>
      <c r="O378" s="6" t="n"/>
      <c r="P378" s="8" t="n"/>
      <c r="Q378" s="7" t="n"/>
      <c r="R378" s="9" t="n"/>
      <c r="S378" s="10">
        <f>IF($C378="","",$I378*$R378)</f>
        <v/>
      </c>
      <c r="T378" s="10">
        <f>IF($C378="","",(IF($N378="Purchased",$H378,0)+$Q378))</f>
        <v/>
      </c>
      <c r="U378" s="10">
        <f>IF($C378="","",$S378-$T378)</f>
        <v/>
      </c>
      <c r="V378" s="11">
        <f>IF(OR($C378="",$I378=0),"",CEILING($T378/$I378,1))</f>
        <v/>
      </c>
      <c r="W378" s="6" t="n"/>
      <c r="X378">
        <f>IF(C378="","",LOWER(SUBSTITUTE(SUBSTITUTE(C378," ","-"),"'",""))&amp;".jpg")</f>
        <v/>
      </c>
      <c r="Y378">
        <f>IF(X378="","","/inventory/"&amp;X378)</f>
        <v/>
      </c>
      <c r="Z378">
        <f>IF(O378="Available","available",IF(OR(O378="Rented",O378="Cleaning",O378="Repair"),"unavailable",IF(O378="Retired","unavailable","")))</f>
        <v/>
      </c>
    </row>
    <row r="379" ht="150" customHeight="1">
      <c r="A379" t="inlineStr">
        <is>
          <t>W378</t>
        </is>
      </c>
      <c r="B379" s="6" t="n"/>
      <c r="C379" s="21" t="n"/>
      <c r="D379" s="25" t="n"/>
      <c r="E379" s="6" t="n"/>
      <c r="F379" s="19">
        <f>IF(E379="","",_xlfn.IMAGE(E379))</f>
        <v/>
      </c>
      <c r="G379" s="17" t="n"/>
      <c r="H379" s="39" t="n"/>
      <c r="I379" s="7" t="n"/>
      <c r="J379" s="25" t="n"/>
      <c r="K379" s="28" t="n"/>
      <c r="L379" s="6" t="n"/>
      <c r="M379" s="6" t="n"/>
      <c r="N379" s="6" t="n"/>
      <c r="O379" s="6" t="n"/>
      <c r="P379" s="8" t="n"/>
      <c r="Q379" s="7" t="n"/>
      <c r="R379" s="9" t="n"/>
      <c r="S379" s="10">
        <f>IF($C379="","",$I379*$R379)</f>
        <v/>
      </c>
      <c r="T379" s="10">
        <f>IF($C379="","",(IF($N379="Purchased",$H379,0)+$Q379))</f>
        <v/>
      </c>
      <c r="U379" s="10">
        <f>IF($C379="","",$S379-$T379)</f>
        <v/>
      </c>
      <c r="V379" s="11">
        <f>IF(OR($C379="",$I379=0),"",CEILING($T379/$I379,1))</f>
        <v/>
      </c>
      <c r="W379" s="6" t="n"/>
      <c r="X379">
        <f>IF(C379="","",LOWER(SUBSTITUTE(SUBSTITUTE(C379," ","-"),"'",""))&amp;".jpg")</f>
        <v/>
      </c>
      <c r="Y379">
        <f>IF(X379="","","/inventory/"&amp;X379)</f>
        <v/>
      </c>
      <c r="Z379">
        <f>IF(O379="Available","available",IF(OR(O379="Rented",O379="Cleaning",O379="Repair"),"unavailable",IF(O379="Retired","unavailable","")))</f>
        <v/>
      </c>
    </row>
    <row r="380" ht="150" customHeight="1">
      <c r="A380" t="inlineStr">
        <is>
          <t>W379</t>
        </is>
      </c>
      <c r="B380" s="6" t="n"/>
      <c r="C380" s="21" t="n"/>
      <c r="D380" s="25" t="n"/>
      <c r="E380" s="6" t="n"/>
      <c r="F380" s="19">
        <f>IF(E380="","",_xlfn.IMAGE(E380))</f>
        <v/>
      </c>
      <c r="G380" s="17" t="n"/>
      <c r="H380" s="39" t="n"/>
      <c r="I380" s="7" t="n"/>
      <c r="J380" s="25" t="n"/>
      <c r="K380" s="28" t="n"/>
      <c r="L380" s="6" t="n"/>
      <c r="M380" s="6" t="n"/>
      <c r="N380" s="6" t="n"/>
      <c r="O380" s="6" t="n"/>
      <c r="P380" s="8" t="n"/>
      <c r="Q380" s="7" t="n"/>
      <c r="R380" s="9" t="n"/>
      <c r="S380" s="10">
        <f>IF($C380="","",$I380*$R380)</f>
        <v/>
      </c>
      <c r="T380" s="10">
        <f>IF($C380="","",(IF($N380="Purchased",$H380,0)+$Q380))</f>
        <v/>
      </c>
      <c r="U380" s="10">
        <f>IF($C380="","",$S380-$T380)</f>
        <v/>
      </c>
      <c r="V380" s="11">
        <f>IF(OR($C380="",$I380=0),"",CEILING($T380/$I380,1))</f>
        <v/>
      </c>
      <c r="W380" s="6" t="n"/>
      <c r="X380">
        <f>IF(C380="","",LOWER(SUBSTITUTE(SUBSTITUTE(C380," ","-"),"'",""))&amp;".jpg")</f>
        <v/>
      </c>
      <c r="Y380">
        <f>IF(X380="","","/inventory/"&amp;X380)</f>
        <v/>
      </c>
      <c r="Z380">
        <f>IF(O380="Available","available",IF(OR(O380="Rented",O380="Cleaning",O380="Repair"),"unavailable",IF(O380="Retired","unavailable","")))</f>
        <v/>
      </c>
    </row>
    <row r="381" ht="150" customHeight="1">
      <c r="A381" t="inlineStr">
        <is>
          <t>W380</t>
        </is>
      </c>
      <c r="B381" s="6" t="n"/>
      <c r="C381" s="21" t="n"/>
      <c r="D381" s="25" t="n"/>
      <c r="E381" s="6" t="n"/>
      <c r="F381" s="19">
        <f>IF(E381="","",_xlfn.IMAGE(E381))</f>
        <v/>
      </c>
      <c r="G381" s="17" t="n"/>
      <c r="H381" s="39" t="n"/>
      <c r="I381" s="7" t="n"/>
      <c r="J381" s="25" t="n"/>
      <c r="K381" s="28" t="n"/>
      <c r="L381" s="6" t="n"/>
      <c r="M381" s="6" t="n"/>
      <c r="N381" s="6" t="n"/>
      <c r="O381" s="6" t="n"/>
      <c r="P381" s="8" t="n"/>
      <c r="Q381" s="7" t="n"/>
      <c r="R381" s="9" t="n"/>
      <c r="S381" s="10">
        <f>IF($C381="","",$I381*$R381)</f>
        <v/>
      </c>
      <c r="T381" s="10">
        <f>IF($C381="","",(IF($N381="Purchased",$H381,0)+$Q381))</f>
        <v/>
      </c>
      <c r="U381" s="10">
        <f>IF($C381="","",$S381-$T381)</f>
        <v/>
      </c>
      <c r="V381" s="11">
        <f>IF(OR($C381="",$I381=0),"",CEILING($T381/$I381,1))</f>
        <v/>
      </c>
      <c r="W381" s="6" t="n"/>
      <c r="X381">
        <f>IF(C381="","",LOWER(SUBSTITUTE(SUBSTITUTE(C381," ","-"),"'",""))&amp;".jpg")</f>
        <v/>
      </c>
      <c r="Y381">
        <f>IF(X381="","","/inventory/"&amp;X381)</f>
        <v/>
      </c>
      <c r="Z381">
        <f>IF(O381="Available","available",IF(OR(O381="Rented",O381="Cleaning",O381="Repair"),"unavailable",IF(O381="Retired","unavailable","")))</f>
        <v/>
      </c>
    </row>
    <row r="382" ht="150" customHeight="1">
      <c r="A382" t="inlineStr">
        <is>
          <t>W381</t>
        </is>
      </c>
      <c r="B382" s="6" t="n"/>
      <c r="C382" s="21" t="n"/>
      <c r="D382" s="25" t="n"/>
      <c r="E382" s="6" t="n"/>
      <c r="F382" s="19">
        <f>IF(E382="","",_xlfn.IMAGE(E382))</f>
        <v/>
      </c>
      <c r="G382" s="17" t="n"/>
      <c r="H382" s="39" t="n"/>
      <c r="I382" s="7" t="n"/>
      <c r="J382" s="25" t="n"/>
      <c r="K382" s="28" t="n"/>
      <c r="L382" s="6" t="n"/>
      <c r="M382" s="6" t="n"/>
      <c r="N382" s="6" t="n"/>
      <c r="O382" s="6" t="n"/>
      <c r="P382" s="8" t="n"/>
      <c r="Q382" s="7" t="n"/>
      <c r="R382" s="9" t="n"/>
      <c r="S382" s="10">
        <f>IF($C382="","",$I382*$R382)</f>
        <v/>
      </c>
      <c r="T382" s="10">
        <f>IF($C382="","",(IF($N382="Purchased",$H382,0)+$Q382))</f>
        <v/>
      </c>
      <c r="U382" s="10">
        <f>IF($C382="","",$S382-$T382)</f>
        <v/>
      </c>
      <c r="V382" s="11">
        <f>IF(OR($C382="",$I382=0),"",CEILING($T382/$I382,1))</f>
        <v/>
      </c>
      <c r="W382" s="6" t="n"/>
      <c r="X382">
        <f>IF(C382="","",LOWER(SUBSTITUTE(SUBSTITUTE(C382," ","-"),"'",""))&amp;".jpg")</f>
        <v/>
      </c>
      <c r="Y382">
        <f>IF(X382="","","/inventory/"&amp;X382)</f>
        <v/>
      </c>
      <c r="Z382">
        <f>IF(O382="Available","available",IF(OR(O382="Rented",O382="Cleaning",O382="Repair"),"unavailable",IF(O382="Retired","unavailable","")))</f>
        <v/>
      </c>
    </row>
    <row r="383" ht="150" customHeight="1">
      <c r="A383" t="inlineStr">
        <is>
          <t>W382</t>
        </is>
      </c>
      <c r="B383" s="6" t="n"/>
      <c r="C383" s="21" t="n"/>
      <c r="D383" s="25" t="n"/>
      <c r="E383" s="6" t="n"/>
      <c r="F383" s="19">
        <f>IF(E383="","",_xlfn.IMAGE(E383))</f>
        <v/>
      </c>
      <c r="G383" s="17" t="n"/>
      <c r="H383" s="39" t="n"/>
      <c r="I383" s="7" t="n"/>
      <c r="J383" s="25" t="n"/>
      <c r="K383" s="28" t="n"/>
      <c r="L383" s="6" t="n"/>
      <c r="M383" s="6" t="n"/>
      <c r="N383" s="6" t="n"/>
      <c r="O383" s="6" t="n"/>
      <c r="P383" s="8" t="n"/>
      <c r="Q383" s="7" t="n"/>
      <c r="R383" s="9" t="n"/>
      <c r="S383" s="10">
        <f>IF($C383="","",$I383*$R383)</f>
        <v/>
      </c>
      <c r="T383" s="10">
        <f>IF($C383="","",(IF($N383="Purchased",$H383,0)+$Q383))</f>
        <v/>
      </c>
      <c r="U383" s="10">
        <f>IF($C383="","",$S383-$T383)</f>
        <v/>
      </c>
      <c r="V383" s="11">
        <f>IF(OR($C383="",$I383=0),"",CEILING($T383/$I383,1))</f>
        <v/>
      </c>
      <c r="W383" s="6" t="n"/>
      <c r="X383">
        <f>IF(C383="","",LOWER(SUBSTITUTE(SUBSTITUTE(C383," ","-"),"'",""))&amp;".jpg")</f>
        <v/>
      </c>
      <c r="Y383">
        <f>IF(X383="","","/inventory/"&amp;X383)</f>
        <v/>
      </c>
      <c r="Z383">
        <f>IF(O383="Available","available",IF(OR(O383="Rented",O383="Cleaning",O383="Repair"),"unavailable",IF(O383="Retired","unavailable","")))</f>
        <v/>
      </c>
    </row>
    <row r="384" ht="150" customHeight="1">
      <c r="A384" t="inlineStr">
        <is>
          <t>W383</t>
        </is>
      </c>
      <c r="B384" s="6" t="n"/>
      <c r="C384" s="21" t="n"/>
      <c r="D384" s="25" t="n"/>
      <c r="E384" s="6" t="n"/>
      <c r="F384" s="19">
        <f>IF(E384="","",_xlfn.IMAGE(E384))</f>
        <v/>
      </c>
      <c r="G384" s="17" t="n"/>
      <c r="H384" s="39" t="n"/>
      <c r="I384" s="7" t="n"/>
      <c r="J384" s="25" t="n"/>
      <c r="K384" s="28" t="n"/>
      <c r="L384" s="6" t="n"/>
      <c r="M384" s="6" t="n"/>
      <c r="N384" s="6" t="n"/>
      <c r="O384" s="6" t="n"/>
      <c r="P384" s="8" t="n"/>
      <c r="Q384" s="7" t="n"/>
      <c r="R384" s="9" t="n"/>
      <c r="S384" s="10">
        <f>IF($C384="","",$I384*$R384)</f>
        <v/>
      </c>
      <c r="T384" s="10">
        <f>IF($C384="","",(IF($N384="Purchased",$H384,0)+$Q384))</f>
        <v/>
      </c>
      <c r="U384" s="10">
        <f>IF($C384="","",$S384-$T384)</f>
        <v/>
      </c>
      <c r="V384" s="11">
        <f>IF(OR($C384="",$I384=0),"",CEILING($T384/$I384,1))</f>
        <v/>
      </c>
      <c r="W384" s="6" t="n"/>
      <c r="X384">
        <f>IF(C384="","",LOWER(SUBSTITUTE(SUBSTITUTE(C384," ","-"),"'",""))&amp;".jpg")</f>
        <v/>
      </c>
      <c r="Y384">
        <f>IF(X384="","","/inventory/"&amp;X384)</f>
        <v/>
      </c>
      <c r="Z384">
        <f>IF(O384="Available","available",IF(OR(O384="Rented",O384="Cleaning",O384="Repair"),"unavailable",IF(O384="Retired","unavailable","")))</f>
        <v/>
      </c>
    </row>
    <row r="385" ht="150" customHeight="1">
      <c r="A385" t="inlineStr">
        <is>
          <t>W384</t>
        </is>
      </c>
      <c r="B385" s="6" t="n"/>
      <c r="C385" s="21" t="n"/>
      <c r="D385" s="25" t="n"/>
      <c r="E385" s="6" t="n"/>
      <c r="F385" s="19">
        <f>IF(E385="","",_xlfn.IMAGE(E385))</f>
        <v/>
      </c>
      <c r="G385" s="17" t="n"/>
      <c r="H385" s="39" t="n"/>
      <c r="I385" s="7" t="n"/>
      <c r="J385" s="25" t="n"/>
      <c r="K385" s="28" t="n"/>
      <c r="L385" s="6" t="n"/>
      <c r="M385" s="6" t="n"/>
      <c r="N385" s="6" t="n"/>
      <c r="O385" s="6" t="n"/>
      <c r="P385" s="8" t="n"/>
      <c r="Q385" s="7" t="n"/>
      <c r="R385" s="9" t="n"/>
      <c r="S385" s="10">
        <f>IF($C385="","",$I385*$R385)</f>
        <v/>
      </c>
      <c r="T385" s="10">
        <f>IF($C385="","",(IF($N385="Purchased",$H385,0)+$Q385))</f>
        <v/>
      </c>
      <c r="U385" s="10">
        <f>IF($C385="","",$S385-$T385)</f>
        <v/>
      </c>
      <c r="V385" s="11">
        <f>IF(OR($C385="",$I385=0),"",CEILING($T385/$I385,1))</f>
        <v/>
      </c>
      <c r="W385" s="6" t="n"/>
      <c r="X385">
        <f>IF(C385="","",LOWER(SUBSTITUTE(SUBSTITUTE(C385," ","-"),"'",""))&amp;".jpg")</f>
        <v/>
      </c>
      <c r="Y385">
        <f>IF(X385="","","/inventory/"&amp;X385)</f>
        <v/>
      </c>
      <c r="Z385">
        <f>IF(O385="Available","available",IF(OR(O385="Rented",O385="Cleaning",O385="Repair"),"unavailable",IF(O385="Retired","unavailable","")))</f>
        <v/>
      </c>
    </row>
    <row r="386" ht="150" customHeight="1">
      <c r="A386" t="inlineStr">
        <is>
          <t>W385</t>
        </is>
      </c>
      <c r="B386" s="6" t="n"/>
      <c r="C386" s="21" t="n"/>
      <c r="D386" s="25" t="n"/>
      <c r="E386" s="6" t="n"/>
      <c r="F386" s="19">
        <f>IF(E386="","",_xlfn.IMAGE(E386))</f>
        <v/>
      </c>
      <c r="G386" s="17" t="n"/>
      <c r="H386" s="39" t="n"/>
      <c r="I386" s="7" t="n"/>
      <c r="J386" s="25" t="n"/>
      <c r="K386" s="28" t="n"/>
      <c r="L386" s="6" t="n"/>
      <c r="M386" s="6" t="n"/>
      <c r="N386" s="6" t="n"/>
      <c r="O386" s="6" t="n"/>
      <c r="P386" s="8" t="n"/>
      <c r="Q386" s="7" t="n"/>
      <c r="R386" s="9" t="n"/>
      <c r="S386" s="10">
        <f>IF($C386="","",$I386*$R386)</f>
        <v/>
      </c>
      <c r="T386" s="10">
        <f>IF($C386="","",(IF($N386="Purchased",$H386,0)+$Q386))</f>
        <v/>
      </c>
      <c r="U386" s="10">
        <f>IF($C386="","",$S386-$T386)</f>
        <v/>
      </c>
      <c r="V386" s="11">
        <f>IF(OR($C386="",$I386=0),"",CEILING($T386/$I386,1))</f>
        <v/>
      </c>
      <c r="W386" s="6" t="n"/>
      <c r="X386">
        <f>IF(C386="","",LOWER(SUBSTITUTE(SUBSTITUTE(C386," ","-"),"'",""))&amp;".jpg")</f>
        <v/>
      </c>
      <c r="Y386">
        <f>IF(X386="","","/inventory/"&amp;X386)</f>
        <v/>
      </c>
      <c r="Z386">
        <f>IF(O386="Available","available",IF(OR(O386="Rented",O386="Cleaning",O386="Repair"),"unavailable",IF(O386="Retired","unavailable","")))</f>
        <v/>
      </c>
    </row>
    <row r="387" ht="150" customHeight="1">
      <c r="A387" t="inlineStr">
        <is>
          <t>W386</t>
        </is>
      </c>
      <c r="B387" s="6" t="n"/>
      <c r="C387" s="21" t="n"/>
      <c r="D387" s="25" t="n"/>
      <c r="E387" s="6" t="n"/>
      <c r="F387" s="19">
        <f>IF(E387="","",_xlfn.IMAGE(E387))</f>
        <v/>
      </c>
      <c r="G387" s="17" t="n"/>
      <c r="H387" s="39" t="n"/>
      <c r="I387" s="7" t="n"/>
      <c r="J387" s="25" t="n"/>
      <c r="K387" s="28" t="n"/>
      <c r="L387" s="6" t="n"/>
      <c r="M387" s="6" t="n"/>
      <c r="N387" s="6" t="n"/>
      <c r="O387" s="6" t="n"/>
      <c r="P387" s="8" t="n"/>
      <c r="Q387" s="7" t="n"/>
      <c r="R387" s="9" t="n"/>
      <c r="S387" s="10">
        <f>IF($C387="","",$I387*$R387)</f>
        <v/>
      </c>
      <c r="T387" s="10">
        <f>IF($C387="","",(IF($N387="Purchased",$H387,0)+$Q387))</f>
        <v/>
      </c>
      <c r="U387" s="10">
        <f>IF($C387="","",$S387-$T387)</f>
        <v/>
      </c>
      <c r="V387" s="11">
        <f>IF(OR($C387="",$I387=0),"",CEILING($T387/$I387,1))</f>
        <v/>
      </c>
      <c r="W387" s="6" t="n"/>
      <c r="X387">
        <f>IF(C387="","",LOWER(SUBSTITUTE(SUBSTITUTE(C387," ","-"),"'",""))&amp;".jpg")</f>
        <v/>
      </c>
      <c r="Y387">
        <f>IF(X387="","","/inventory/"&amp;X387)</f>
        <v/>
      </c>
      <c r="Z387">
        <f>IF(O387="Available","available",IF(OR(O387="Rented",O387="Cleaning",O387="Repair"),"unavailable",IF(O387="Retired","unavailable","")))</f>
        <v/>
      </c>
    </row>
    <row r="388" ht="150" customHeight="1">
      <c r="A388" t="inlineStr">
        <is>
          <t>W387</t>
        </is>
      </c>
      <c r="B388" s="6" t="n"/>
      <c r="C388" s="21" t="n"/>
      <c r="D388" s="25" t="n"/>
      <c r="E388" s="6" t="n"/>
      <c r="F388" s="19">
        <f>IF(E388="","",_xlfn.IMAGE(E388))</f>
        <v/>
      </c>
      <c r="G388" s="17" t="n"/>
      <c r="H388" s="39" t="n"/>
      <c r="I388" s="7" t="n"/>
      <c r="J388" s="25" t="n"/>
      <c r="K388" s="28" t="n"/>
      <c r="L388" s="6" t="n"/>
      <c r="M388" s="6" t="n"/>
      <c r="N388" s="6" t="n"/>
      <c r="O388" s="6" t="n"/>
      <c r="P388" s="8" t="n"/>
      <c r="Q388" s="7" t="n"/>
      <c r="R388" s="9" t="n"/>
      <c r="S388" s="10">
        <f>IF($C388="","",$I388*$R388)</f>
        <v/>
      </c>
      <c r="T388" s="10">
        <f>IF($C388="","",(IF($N388="Purchased",$H388,0)+$Q388))</f>
        <v/>
      </c>
      <c r="U388" s="10">
        <f>IF($C388="","",$S388-$T388)</f>
        <v/>
      </c>
      <c r="V388" s="11">
        <f>IF(OR($C388="",$I388=0),"",CEILING($T388/$I388,1))</f>
        <v/>
      </c>
      <c r="W388" s="6" t="n"/>
      <c r="X388">
        <f>IF(C388="","",LOWER(SUBSTITUTE(SUBSTITUTE(C388," ","-"),"'",""))&amp;".jpg")</f>
        <v/>
      </c>
      <c r="Y388">
        <f>IF(X388="","","/inventory/"&amp;X388)</f>
        <v/>
      </c>
      <c r="Z388">
        <f>IF(O388="Available","available",IF(OR(O388="Rented",O388="Cleaning",O388="Repair"),"unavailable",IF(O388="Retired","unavailable","")))</f>
        <v/>
      </c>
    </row>
    <row r="389" ht="150" customHeight="1">
      <c r="A389" t="inlineStr">
        <is>
          <t>W388</t>
        </is>
      </c>
      <c r="B389" s="6" t="n"/>
      <c r="C389" s="21" t="n"/>
      <c r="D389" s="25" t="n"/>
      <c r="E389" s="6" t="n"/>
      <c r="F389" s="19">
        <f>IF(E389="","",_xlfn.IMAGE(E389))</f>
        <v/>
      </c>
      <c r="G389" s="17" t="n"/>
      <c r="H389" s="39" t="n"/>
      <c r="I389" s="7" t="n"/>
      <c r="J389" s="25" t="n"/>
      <c r="K389" s="28" t="n"/>
      <c r="L389" s="6" t="n"/>
      <c r="M389" s="6" t="n"/>
      <c r="N389" s="6" t="n"/>
      <c r="O389" s="6" t="n"/>
      <c r="P389" s="8" t="n"/>
      <c r="Q389" s="7" t="n"/>
      <c r="R389" s="9" t="n"/>
      <c r="S389" s="10">
        <f>IF($C389="","",$I389*$R389)</f>
        <v/>
      </c>
      <c r="T389" s="10">
        <f>IF($C389="","",(IF($N389="Purchased",$H389,0)+$Q389))</f>
        <v/>
      </c>
      <c r="U389" s="10">
        <f>IF($C389="","",$S389-$T389)</f>
        <v/>
      </c>
      <c r="V389" s="11">
        <f>IF(OR($C389="",$I389=0),"",CEILING($T389/$I389,1))</f>
        <v/>
      </c>
      <c r="W389" s="6" t="n"/>
      <c r="X389">
        <f>IF(C389="","",LOWER(SUBSTITUTE(SUBSTITUTE(C389," ","-"),"'",""))&amp;".jpg")</f>
        <v/>
      </c>
      <c r="Y389">
        <f>IF(X389="","","/inventory/"&amp;X389)</f>
        <v/>
      </c>
      <c r="Z389">
        <f>IF(O389="Available","available",IF(OR(O389="Rented",O389="Cleaning",O389="Repair"),"unavailable",IF(O389="Retired","unavailable","")))</f>
        <v/>
      </c>
    </row>
    <row r="390" ht="150" customHeight="1">
      <c r="A390" t="inlineStr">
        <is>
          <t>W389</t>
        </is>
      </c>
      <c r="B390" s="6" t="n"/>
      <c r="C390" s="21" t="n"/>
      <c r="D390" s="25" t="n"/>
      <c r="E390" s="6" t="n"/>
      <c r="F390" s="19">
        <f>IF(E390="","",_xlfn.IMAGE(E390))</f>
        <v/>
      </c>
      <c r="G390" s="17" t="n"/>
      <c r="H390" s="39" t="n"/>
      <c r="I390" s="7" t="n"/>
      <c r="J390" s="25" t="n"/>
      <c r="K390" s="28" t="n"/>
      <c r="L390" s="6" t="n"/>
      <c r="M390" s="6" t="n"/>
      <c r="N390" s="6" t="n"/>
      <c r="O390" s="6" t="n"/>
      <c r="P390" s="8" t="n"/>
      <c r="Q390" s="7" t="n"/>
      <c r="R390" s="9" t="n"/>
      <c r="S390" s="10">
        <f>IF($C390="","",$I390*$R390)</f>
        <v/>
      </c>
      <c r="T390" s="10">
        <f>IF($C390="","",(IF($N390="Purchased",$H390,0)+$Q390))</f>
        <v/>
      </c>
      <c r="U390" s="10">
        <f>IF($C390="","",$S390-$T390)</f>
        <v/>
      </c>
      <c r="V390" s="11">
        <f>IF(OR($C390="",$I390=0),"",CEILING($T390/$I390,1))</f>
        <v/>
      </c>
      <c r="W390" s="6" t="n"/>
      <c r="X390">
        <f>IF(C390="","",LOWER(SUBSTITUTE(SUBSTITUTE(C390," ","-"),"'",""))&amp;".jpg")</f>
        <v/>
      </c>
      <c r="Y390">
        <f>IF(X390="","","/inventory/"&amp;X390)</f>
        <v/>
      </c>
      <c r="Z390">
        <f>IF(O390="Available","available",IF(OR(O390="Rented",O390="Cleaning",O390="Repair"),"unavailable",IF(O390="Retired","unavailable","")))</f>
        <v/>
      </c>
    </row>
    <row r="391" ht="150" customHeight="1">
      <c r="A391" t="inlineStr">
        <is>
          <t>W390</t>
        </is>
      </c>
      <c r="B391" s="6" t="n"/>
      <c r="C391" s="21" t="n"/>
      <c r="D391" s="25" t="n"/>
      <c r="E391" s="6" t="n"/>
      <c r="F391" s="19">
        <f>IF(E391="","",_xlfn.IMAGE(E391))</f>
        <v/>
      </c>
      <c r="G391" s="17" t="n"/>
      <c r="H391" s="39" t="n"/>
      <c r="I391" s="7" t="n"/>
      <c r="J391" s="25" t="n"/>
      <c r="K391" s="28" t="n"/>
      <c r="L391" s="6" t="n"/>
      <c r="M391" s="6" t="n"/>
      <c r="N391" s="6" t="n"/>
      <c r="O391" s="6" t="n"/>
      <c r="P391" s="8" t="n"/>
      <c r="Q391" s="7" t="n"/>
      <c r="R391" s="9" t="n"/>
      <c r="S391" s="10">
        <f>IF($C391="","",$I391*$R391)</f>
        <v/>
      </c>
      <c r="T391" s="10">
        <f>IF($C391="","",(IF($N391="Purchased",$H391,0)+$Q391))</f>
        <v/>
      </c>
      <c r="U391" s="10">
        <f>IF($C391="","",$S391-$T391)</f>
        <v/>
      </c>
      <c r="V391" s="11">
        <f>IF(OR($C391="",$I391=0),"",CEILING($T391/$I391,1))</f>
        <v/>
      </c>
      <c r="W391" s="6" t="n"/>
      <c r="X391">
        <f>IF(C391="","",LOWER(SUBSTITUTE(SUBSTITUTE(C391," ","-"),"'",""))&amp;".jpg")</f>
        <v/>
      </c>
      <c r="Y391">
        <f>IF(X391="","","/inventory/"&amp;X391)</f>
        <v/>
      </c>
      <c r="Z391">
        <f>IF(O391="Available","available",IF(OR(O391="Rented",O391="Cleaning",O391="Repair"),"unavailable",IF(O391="Retired","unavailable","")))</f>
        <v/>
      </c>
    </row>
    <row r="392" ht="150" customHeight="1">
      <c r="A392" t="inlineStr">
        <is>
          <t>W391</t>
        </is>
      </c>
      <c r="B392" s="6" t="n"/>
      <c r="C392" s="21" t="n"/>
      <c r="D392" s="25" t="n"/>
      <c r="E392" s="6" t="n"/>
      <c r="F392" s="19">
        <f>IF(E392="","",_xlfn.IMAGE(E392))</f>
        <v/>
      </c>
      <c r="G392" s="17" t="n"/>
      <c r="H392" s="39" t="n"/>
      <c r="I392" s="7" t="n"/>
      <c r="J392" s="25" t="n"/>
      <c r="K392" s="28" t="n"/>
      <c r="L392" s="6" t="n"/>
      <c r="M392" s="6" t="n"/>
      <c r="N392" s="6" t="n"/>
      <c r="O392" s="6" t="n"/>
      <c r="P392" s="8" t="n"/>
      <c r="Q392" s="7" t="n"/>
      <c r="R392" s="9" t="n"/>
      <c r="S392" s="10">
        <f>IF($C392="","",$I392*$R392)</f>
        <v/>
      </c>
      <c r="T392" s="10">
        <f>IF($C392="","",(IF($N392="Purchased",$H392,0)+$Q392))</f>
        <v/>
      </c>
      <c r="U392" s="10">
        <f>IF($C392="","",$S392-$T392)</f>
        <v/>
      </c>
      <c r="V392" s="11">
        <f>IF(OR($C392="",$I392=0),"",CEILING($T392/$I392,1))</f>
        <v/>
      </c>
      <c r="W392" s="6" t="n"/>
      <c r="X392">
        <f>IF(C392="","",LOWER(SUBSTITUTE(SUBSTITUTE(C392," ","-"),"'",""))&amp;".jpg")</f>
        <v/>
      </c>
      <c r="Y392">
        <f>IF(X392="","","/inventory/"&amp;X392)</f>
        <v/>
      </c>
      <c r="Z392">
        <f>IF(O392="Available","available",IF(OR(O392="Rented",O392="Cleaning",O392="Repair"),"unavailable",IF(O392="Retired","unavailable","")))</f>
        <v/>
      </c>
    </row>
    <row r="393" ht="150" customHeight="1">
      <c r="A393" t="inlineStr">
        <is>
          <t>W392</t>
        </is>
      </c>
      <c r="B393" s="6" t="n"/>
      <c r="C393" s="21" t="n"/>
      <c r="D393" s="25" t="n"/>
      <c r="E393" s="6" t="n"/>
      <c r="F393" s="19">
        <f>IF(E393="","",_xlfn.IMAGE(E393))</f>
        <v/>
      </c>
      <c r="G393" s="17" t="n"/>
      <c r="H393" s="39" t="n"/>
      <c r="I393" s="7" t="n"/>
      <c r="J393" s="25" t="n"/>
      <c r="K393" s="28" t="n"/>
      <c r="L393" s="6" t="n"/>
      <c r="M393" s="6" t="n"/>
      <c r="N393" s="6" t="n"/>
      <c r="O393" s="6" t="n"/>
      <c r="P393" s="8" t="n"/>
      <c r="Q393" s="7" t="n"/>
      <c r="R393" s="9" t="n"/>
      <c r="S393" s="10">
        <f>IF($C393="","",$I393*$R393)</f>
        <v/>
      </c>
      <c r="T393" s="10">
        <f>IF($C393="","",(IF($N393="Purchased",$H393,0)+$Q393))</f>
        <v/>
      </c>
      <c r="U393" s="10">
        <f>IF($C393="","",$S393-$T393)</f>
        <v/>
      </c>
      <c r="V393" s="11">
        <f>IF(OR($C393="",$I393=0),"",CEILING($T393/$I393,1))</f>
        <v/>
      </c>
      <c r="W393" s="6" t="n"/>
      <c r="X393">
        <f>IF(C393="","",LOWER(SUBSTITUTE(SUBSTITUTE(C393," ","-"),"'",""))&amp;".jpg")</f>
        <v/>
      </c>
      <c r="Y393">
        <f>IF(X393="","","/inventory/"&amp;X393)</f>
        <v/>
      </c>
      <c r="Z393">
        <f>IF(O393="Available","available",IF(OR(O393="Rented",O393="Cleaning",O393="Repair"),"unavailable",IF(O393="Retired","unavailable","")))</f>
        <v/>
      </c>
    </row>
    <row r="394" ht="150" customHeight="1">
      <c r="A394" t="inlineStr">
        <is>
          <t>W393</t>
        </is>
      </c>
      <c r="B394" s="6" t="n"/>
      <c r="C394" s="21" t="n"/>
      <c r="D394" s="25" t="n"/>
      <c r="E394" s="6" t="n"/>
      <c r="F394" s="19">
        <f>IF(E394="","",_xlfn.IMAGE(E394))</f>
        <v/>
      </c>
      <c r="G394" s="17" t="n"/>
      <c r="H394" s="39" t="n"/>
      <c r="I394" s="7" t="n"/>
      <c r="J394" s="25" t="n"/>
      <c r="K394" s="28" t="n"/>
      <c r="L394" s="6" t="n"/>
      <c r="M394" s="6" t="n"/>
      <c r="N394" s="6" t="n"/>
      <c r="O394" s="6" t="n"/>
      <c r="P394" s="8" t="n"/>
      <c r="Q394" s="7" t="n"/>
      <c r="R394" s="9" t="n"/>
      <c r="S394" s="10">
        <f>IF($C394="","",$I394*$R394)</f>
        <v/>
      </c>
      <c r="T394" s="10">
        <f>IF($C394="","",(IF($N394="Purchased",$H394,0)+$Q394))</f>
        <v/>
      </c>
      <c r="U394" s="10">
        <f>IF($C394="","",$S394-$T394)</f>
        <v/>
      </c>
      <c r="V394" s="11">
        <f>IF(OR($C394="",$I394=0),"",CEILING($T394/$I394,1))</f>
        <v/>
      </c>
      <c r="W394" s="6" t="n"/>
      <c r="X394">
        <f>IF(C394="","",LOWER(SUBSTITUTE(SUBSTITUTE(C394," ","-"),"'",""))&amp;".jpg")</f>
        <v/>
      </c>
      <c r="Y394">
        <f>IF(X394="","","/inventory/"&amp;X394)</f>
        <v/>
      </c>
      <c r="Z394">
        <f>IF(O394="Available","available",IF(OR(O394="Rented",O394="Cleaning",O394="Repair"),"unavailable",IF(O394="Retired","unavailable","")))</f>
        <v/>
      </c>
    </row>
    <row r="395" ht="150" customHeight="1">
      <c r="A395" t="inlineStr">
        <is>
          <t>W394</t>
        </is>
      </c>
      <c r="B395" s="6" t="n"/>
      <c r="C395" s="21" t="n"/>
      <c r="D395" s="25" t="n"/>
      <c r="E395" s="6" t="n"/>
      <c r="F395" s="19">
        <f>IF(E395="","",_xlfn.IMAGE(E395))</f>
        <v/>
      </c>
      <c r="G395" s="17" t="n"/>
      <c r="H395" s="39" t="n"/>
      <c r="I395" s="7" t="n"/>
      <c r="J395" s="25" t="n"/>
      <c r="K395" s="28" t="n"/>
      <c r="L395" s="6" t="n"/>
      <c r="M395" s="6" t="n"/>
      <c r="N395" s="6" t="n"/>
      <c r="O395" s="6" t="n"/>
      <c r="P395" s="8" t="n"/>
      <c r="Q395" s="7" t="n"/>
      <c r="R395" s="9" t="n"/>
      <c r="S395" s="10">
        <f>IF($C395="","",$I395*$R395)</f>
        <v/>
      </c>
      <c r="T395" s="10">
        <f>IF($C395="","",(IF($N395="Purchased",$H395,0)+$Q395))</f>
        <v/>
      </c>
      <c r="U395" s="10">
        <f>IF($C395="","",$S395-$T395)</f>
        <v/>
      </c>
      <c r="V395" s="11">
        <f>IF(OR($C395="",$I395=0),"",CEILING($T395/$I395,1))</f>
        <v/>
      </c>
      <c r="W395" s="6" t="n"/>
      <c r="X395">
        <f>IF(C395="","",LOWER(SUBSTITUTE(SUBSTITUTE(C395," ","-"),"'",""))&amp;".jpg")</f>
        <v/>
      </c>
      <c r="Y395">
        <f>IF(X395="","","/inventory/"&amp;X395)</f>
        <v/>
      </c>
      <c r="Z395">
        <f>IF(O395="Available","available",IF(OR(O395="Rented",O395="Cleaning",O395="Repair"),"unavailable",IF(O395="Retired","unavailable","")))</f>
        <v/>
      </c>
    </row>
    <row r="396" ht="150" customHeight="1">
      <c r="A396" t="inlineStr">
        <is>
          <t>W395</t>
        </is>
      </c>
      <c r="B396" s="6" t="n"/>
      <c r="C396" s="21" t="n"/>
      <c r="D396" s="25" t="n"/>
      <c r="E396" s="6" t="n"/>
      <c r="F396" s="19">
        <f>IF(E396="","",_xlfn.IMAGE(E396))</f>
        <v/>
      </c>
      <c r="G396" s="17" t="n"/>
      <c r="H396" s="39" t="n"/>
      <c r="I396" s="7" t="n"/>
      <c r="J396" s="25" t="n"/>
      <c r="K396" s="28" t="n"/>
      <c r="L396" s="6" t="n"/>
      <c r="M396" s="6" t="n"/>
      <c r="N396" s="6" t="n"/>
      <c r="O396" s="6" t="n"/>
      <c r="P396" s="8" t="n"/>
      <c r="Q396" s="7" t="n"/>
      <c r="R396" s="9" t="n"/>
      <c r="S396" s="10">
        <f>IF($C396="","",$I396*$R396)</f>
        <v/>
      </c>
      <c r="T396" s="10">
        <f>IF($C396="","",(IF($N396="Purchased",$H396,0)+$Q396))</f>
        <v/>
      </c>
      <c r="U396" s="10">
        <f>IF($C396="","",$S396-$T396)</f>
        <v/>
      </c>
      <c r="V396" s="11">
        <f>IF(OR($C396="",$I396=0),"",CEILING($T396/$I396,1))</f>
        <v/>
      </c>
      <c r="W396" s="6" t="n"/>
      <c r="X396">
        <f>IF(C396="","",LOWER(SUBSTITUTE(SUBSTITUTE(C396," ","-"),"'",""))&amp;".jpg")</f>
        <v/>
      </c>
      <c r="Y396">
        <f>IF(X396="","","/inventory/"&amp;X396)</f>
        <v/>
      </c>
      <c r="Z396">
        <f>IF(O396="Available","available",IF(OR(O396="Rented",O396="Cleaning",O396="Repair"),"unavailable",IF(O396="Retired","unavailable","")))</f>
        <v/>
      </c>
    </row>
    <row r="397" ht="150" customHeight="1">
      <c r="A397" t="inlineStr">
        <is>
          <t>W396</t>
        </is>
      </c>
      <c r="B397" s="6" t="n"/>
      <c r="C397" s="21" t="n"/>
      <c r="D397" s="25" t="n"/>
      <c r="E397" s="6" t="n"/>
      <c r="F397" s="19">
        <f>IF(E397="","",_xlfn.IMAGE(E397))</f>
        <v/>
      </c>
      <c r="G397" s="17" t="n"/>
      <c r="H397" s="39" t="n"/>
      <c r="I397" s="7" t="n"/>
      <c r="J397" s="25" t="n"/>
      <c r="K397" s="28" t="n"/>
      <c r="L397" s="6" t="n"/>
      <c r="M397" s="6" t="n"/>
      <c r="N397" s="6" t="n"/>
      <c r="O397" s="6" t="n"/>
      <c r="P397" s="8" t="n"/>
      <c r="Q397" s="7" t="n"/>
      <c r="R397" s="9" t="n"/>
      <c r="S397" s="10">
        <f>IF($C397="","",$I397*$R397)</f>
        <v/>
      </c>
      <c r="T397" s="10">
        <f>IF($C397="","",(IF($N397="Purchased",$H397,0)+$Q397))</f>
        <v/>
      </c>
      <c r="U397" s="10">
        <f>IF($C397="","",$S397-$T397)</f>
        <v/>
      </c>
      <c r="V397" s="11">
        <f>IF(OR($C397="",$I397=0),"",CEILING($T397/$I397,1))</f>
        <v/>
      </c>
      <c r="W397" s="6" t="n"/>
      <c r="X397">
        <f>IF(C397="","",LOWER(SUBSTITUTE(SUBSTITUTE(C397," ","-"),"'",""))&amp;".jpg")</f>
        <v/>
      </c>
      <c r="Y397">
        <f>IF(X397="","","/inventory/"&amp;X397)</f>
        <v/>
      </c>
      <c r="Z397">
        <f>IF(O397="Available","available",IF(OR(O397="Rented",O397="Cleaning",O397="Repair"),"unavailable",IF(O397="Retired","unavailable","")))</f>
        <v/>
      </c>
    </row>
    <row r="398" ht="150" customHeight="1">
      <c r="A398" t="inlineStr">
        <is>
          <t>W397</t>
        </is>
      </c>
      <c r="B398" s="6" t="n"/>
      <c r="C398" s="21" t="n"/>
      <c r="D398" s="25" t="n"/>
      <c r="E398" s="6" t="n"/>
      <c r="F398" s="19">
        <f>IF(E398="","",_xlfn.IMAGE(E398))</f>
        <v/>
      </c>
      <c r="G398" s="17" t="n"/>
      <c r="H398" s="39" t="n"/>
      <c r="I398" s="7" t="n"/>
      <c r="J398" s="25" t="n"/>
      <c r="K398" s="28" t="n"/>
      <c r="L398" s="6" t="n"/>
      <c r="M398" s="6" t="n"/>
      <c r="N398" s="6" t="n"/>
      <c r="O398" s="6" t="n"/>
      <c r="P398" s="8" t="n"/>
      <c r="Q398" s="7" t="n"/>
      <c r="R398" s="9" t="n"/>
      <c r="S398" s="10">
        <f>IF($C398="","",$I398*$R398)</f>
        <v/>
      </c>
      <c r="T398" s="10">
        <f>IF($C398="","",(IF($N398="Purchased",$H398,0)+$Q398))</f>
        <v/>
      </c>
      <c r="U398" s="10">
        <f>IF($C398="","",$S398-$T398)</f>
        <v/>
      </c>
      <c r="V398" s="11">
        <f>IF(OR($C398="",$I398=0),"",CEILING($T398/$I398,1))</f>
        <v/>
      </c>
      <c r="W398" s="6" t="n"/>
      <c r="X398">
        <f>IF(C398="","",LOWER(SUBSTITUTE(SUBSTITUTE(C398," ","-"),"'",""))&amp;".jpg")</f>
        <v/>
      </c>
      <c r="Y398">
        <f>IF(X398="","","/inventory/"&amp;X398)</f>
        <v/>
      </c>
      <c r="Z398">
        <f>IF(O398="Available","available",IF(OR(O398="Rented",O398="Cleaning",O398="Repair"),"unavailable",IF(O398="Retired","unavailable","")))</f>
        <v/>
      </c>
    </row>
    <row r="399" ht="150" customHeight="1">
      <c r="A399" t="inlineStr">
        <is>
          <t>W398</t>
        </is>
      </c>
      <c r="B399" s="6" t="n"/>
      <c r="C399" s="21" t="n"/>
      <c r="D399" s="25" t="n"/>
      <c r="E399" s="6" t="n"/>
      <c r="F399" s="19">
        <f>IF(E399="","",_xlfn.IMAGE(E399))</f>
        <v/>
      </c>
      <c r="G399" s="17" t="n"/>
      <c r="H399" s="39" t="n"/>
      <c r="I399" s="7" t="n"/>
      <c r="J399" s="25" t="n"/>
      <c r="K399" s="28" t="n"/>
      <c r="L399" s="6" t="n"/>
      <c r="M399" s="6" t="n"/>
      <c r="N399" s="6" t="n"/>
      <c r="O399" s="6" t="n"/>
      <c r="P399" s="8" t="n"/>
      <c r="Q399" s="7" t="n"/>
      <c r="R399" s="9" t="n"/>
      <c r="S399" s="10">
        <f>IF($C399="","",$I399*$R399)</f>
        <v/>
      </c>
      <c r="T399" s="10">
        <f>IF($C399="","",(IF($N399="Purchased",$H399,0)+$Q399))</f>
        <v/>
      </c>
      <c r="U399" s="10">
        <f>IF($C399="","",$S399-$T399)</f>
        <v/>
      </c>
      <c r="V399" s="11">
        <f>IF(OR($C399="",$I399=0),"",CEILING($T399/$I399,1))</f>
        <v/>
      </c>
      <c r="W399" s="6" t="n"/>
      <c r="X399">
        <f>IF(C399="","",LOWER(SUBSTITUTE(SUBSTITUTE(C399," ","-"),"'",""))&amp;".jpg")</f>
        <v/>
      </c>
      <c r="Y399">
        <f>IF(X399="","","/inventory/"&amp;X399)</f>
        <v/>
      </c>
      <c r="Z399">
        <f>IF(O399="Available","available",IF(OR(O399="Rented",O399="Cleaning",O399="Repair"),"unavailable",IF(O399="Retired","unavailable","")))</f>
        <v/>
      </c>
    </row>
    <row r="400" ht="150" customHeight="1">
      <c r="A400" t="inlineStr">
        <is>
          <t>W399</t>
        </is>
      </c>
      <c r="B400" s="6" t="n"/>
      <c r="C400" s="21" t="n"/>
      <c r="D400" s="25" t="n"/>
      <c r="E400" s="6" t="n"/>
      <c r="F400" s="19">
        <f>IF(E400="","",_xlfn.IMAGE(E400))</f>
        <v/>
      </c>
      <c r="G400" s="17" t="n"/>
      <c r="H400" s="39" t="n"/>
      <c r="I400" s="7" t="n"/>
      <c r="J400" s="25" t="n"/>
      <c r="K400" s="28" t="n"/>
      <c r="L400" s="6" t="n"/>
      <c r="M400" s="6" t="n"/>
      <c r="N400" s="6" t="n"/>
      <c r="O400" s="6" t="n"/>
      <c r="P400" s="8" t="n"/>
      <c r="Q400" s="7" t="n"/>
      <c r="R400" s="9" t="n"/>
      <c r="S400" s="10">
        <f>IF($C400="","",$I400*$R400)</f>
        <v/>
      </c>
      <c r="T400" s="10">
        <f>IF($C400="","",(IF($N400="Purchased",$H400,0)+$Q400))</f>
        <v/>
      </c>
      <c r="U400" s="10">
        <f>IF($C400="","",$S400-$T400)</f>
        <v/>
      </c>
      <c r="V400" s="11">
        <f>IF(OR($C400="",$I400=0),"",CEILING($T400/$I400,1))</f>
        <v/>
      </c>
      <c r="W400" s="6" t="n"/>
      <c r="X400">
        <f>IF(C400="","",LOWER(SUBSTITUTE(SUBSTITUTE(C400," ","-"),"'",""))&amp;".jpg")</f>
        <v/>
      </c>
      <c r="Y400">
        <f>IF(X400="","","/inventory/"&amp;X400)</f>
        <v/>
      </c>
      <c r="Z400">
        <f>IF(O400="Available","available",IF(OR(O400="Rented",O400="Cleaning",O400="Repair"),"unavailable",IF(O400="Retired","unavailable","")))</f>
        <v/>
      </c>
    </row>
    <row r="401" ht="150" customHeight="1">
      <c r="A401" t="inlineStr">
        <is>
          <t>W400</t>
        </is>
      </c>
      <c r="B401" s="6" t="n"/>
      <c r="C401" s="21" t="n"/>
      <c r="D401" s="25" t="n"/>
      <c r="E401" s="6" t="n"/>
      <c r="F401" s="19">
        <f>IF(E401="","",_xlfn.IMAGE(E401))</f>
        <v/>
      </c>
      <c r="G401" s="17" t="n"/>
      <c r="H401" s="39" t="n"/>
      <c r="I401" s="7" t="n"/>
      <c r="J401" s="25" t="n"/>
      <c r="K401" s="28" t="n"/>
      <c r="L401" s="6" t="n"/>
      <c r="M401" s="6" t="n"/>
      <c r="N401" s="6" t="n"/>
      <c r="O401" s="6" t="n"/>
      <c r="P401" s="8" t="n"/>
      <c r="Q401" s="7" t="n"/>
      <c r="R401" s="9" t="n"/>
      <c r="S401" s="10">
        <f>IF($C401="","",$I401*$R401)</f>
        <v/>
      </c>
      <c r="T401" s="10">
        <f>IF($C401="","",(IF($N401="Purchased",$H401,0)+$Q401))</f>
        <v/>
      </c>
      <c r="U401" s="10">
        <f>IF($C401="","",$S401-$T401)</f>
        <v/>
      </c>
      <c r="V401" s="11">
        <f>IF(OR($C401="",$I401=0),"",CEILING($T401/$I401,1))</f>
        <v/>
      </c>
      <c r="W401" s="6" t="n"/>
      <c r="X401">
        <f>IF(C401="","",LOWER(SUBSTITUTE(SUBSTITUTE(C401," ","-"),"'",""))&amp;".jpg")</f>
        <v/>
      </c>
      <c r="Y401">
        <f>IF(X401="","","/inventory/"&amp;X401)</f>
        <v/>
      </c>
      <c r="Z401">
        <f>IF(O401="Available","available",IF(OR(O401="Rented",O401="Cleaning",O401="Repair"),"unavailable",IF(O401="Retired","unavailable","")))</f>
        <v/>
      </c>
    </row>
    <row r="402" ht="150" customHeight="1">
      <c r="A402" t="inlineStr">
        <is>
          <t>W401</t>
        </is>
      </c>
      <c r="B402" s="6" t="n"/>
      <c r="C402" s="21" t="n"/>
      <c r="D402" s="25" t="n"/>
      <c r="E402" s="6" t="n"/>
      <c r="F402" s="19">
        <f>IF(E402="","",_xlfn.IMAGE(E402))</f>
        <v/>
      </c>
      <c r="G402" s="17" t="n"/>
      <c r="H402" s="39" t="n"/>
      <c r="I402" s="7" t="n"/>
      <c r="J402" s="25" t="n"/>
      <c r="K402" s="28" t="n"/>
      <c r="L402" s="6" t="n"/>
      <c r="M402" s="6" t="n"/>
      <c r="N402" s="6" t="n"/>
      <c r="O402" s="6" t="n"/>
      <c r="P402" s="8" t="n"/>
      <c r="Q402" s="7" t="n"/>
      <c r="R402" s="9" t="n"/>
      <c r="S402" s="10">
        <f>IF($C402="","",$I402*$R402)</f>
        <v/>
      </c>
      <c r="T402" s="10">
        <f>IF($C402="","",(IF($N402="Purchased",$H402,0)+$Q402))</f>
        <v/>
      </c>
      <c r="U402" s="10">
        <f>IF($C402="","",$S402-$T402)</f>
        <v/>
      </c>
      <c r="V402" s="11">
        <f>IF(OR($C402="",$I402=0),"",CEILING($T402/$I402,1))</f>
        <v/>
      </c>
      <c r="W402" s="6" t="n"/>
      <c r="X402">
        <f>IF(C402="","",LOWER(SUBSTITUTE(SUBSTITUTE(C402," ","-"),"'",""))&amp;".jpg")</f>
        <v/>
      </c>
      <c r="Y402">
        <f>IF(X402="","","/inventory/"&amp;X402)</f>
        <v/>
      </c>
      <c r="Z402">
        <f>IF(O402="Available","available",IF(OR(O402="Rented",O402="Cleaning",O402="Repair"),"unavailable",IF(O402="Retired","unavailable","")))</f>
        <v/>
      </c>
    </row>
    <row r="403" ht="150" customHeight="1">
      <c r="A403" t="inlineStr">
        <is>
          <t>W402</t>
        </is>
      </c>
      <c r="B403" s="6" t="n"/>
      <c r="C403" s="21" t="n"/>
      <c r="D403" s="25" t="n"/>
      <c r="E403" s="6" t="n"/>
      <c r="F403" s="19">
        <f>IF(E403="","",_xlfn.IMAGE(E403))</f>
        <v/>
      </c>
      <c r="G403" s="17" t="n"/>
      <c r="H403" s="39" t="n"/>
      <c r="I403" s="7" t="n"/>
      <c r="J403" s="25" t="n"/>
      <c r="K403" s="28" t="n"/>
      <c r="L403" s="6" t="n"/>
      <c r="M403" s="6" t="n"/>
      <c r="N403" s="6" t="n"/>
      <c r="O403" s="6" t="n"/>
      <c r="P403" s="8" t="n"/>
      <c r="Q403" s="7" t="n"/>
      <c r="R403" s="9" t="n"/>
      <c r="S403" s="10">
        <f>IF($C403="","",$I403*$R403)</f>
        <v/>
      </c>
      <c r="T403" s="10">
        <f>IF($C403="","",(IF($N403="Purchased",$H403,0)+$Q403))</f>
        <v/>
      </c>
      <c r="U403" s="10">
        <f>IF($C403="","",$S403-$T403)</f>
        <v/>
      </c>
      <c r="V403" s="11">
        <f>IF(OR($C403="",$I403=0),"",CEILING($T403/$I403,1))</f>
        <v/>
      </c>
      <c r="W403" s="6" t="n"/>
      <c r="X403">
        <f>IF(C403="","",LOWER(SUBSTITUTE(SUBSTITUTE(C403," ","-"),"'",""))&amp;".jpg")</f>
        <v/>
      </c>
      <c r="Y403">
        <f>IF(X403="","","/inventory/"&amp;X403)</f>
        <v/>
      </c>
      <c r="Z403">
        <f>IF(O403="Available","available",IF(OR(O403="Rented",O403="Cleaning",O403="Repair"),"unavailable",IF(O403="Retired","unavailable","")))</f>
        <v/>
      </c>
    </row>
    <row r="404" ht="150" customHeight="1">
      <c r="A404" t="inlineStr">
        <is>
          <t>W403</t>
        </is>
      </c>
      <c r="B404" s="6" t="n"/>
      <c r="C404" s="21" t="n"/>
      <c r="D404" s="25" t="n"/>
      <c r="E404" s="6" t="n"/>
      <c r="F404" s="19">
        <f>IF(E404="","",_xlfn.IMAGE(E404))</f>
        <v/>
      </c>
      <c r="G404" s="17" t="n"/>
      <c r="H404" s="39" t="n"/>
      <c r="I404" s="7" t="n"/>
      <c r="J404" s="25" t="n"/>
      <c r="K404" s="28" t="n"/>
      <c r="L404" s="6" t="n"/>
      <c r="M404" s="6" t="n"/>
      <c r="N404" s="6" t="n"/>
      <c r="O404" s="6" t="n"/>
      <c r="P404" s="8" t="n"/>
      <c r="Q404" s="7" t="n"/>
      <c r="R404" s="9" t="n"/>
      <c r="S404" s="10">
        <f>IF($C404="","",$I404*$R404)</f>
        <v/>
      </c>
      <c r="T404" s="10">
        <f>IF($C404="","",(IF($N404="Purchased",$H404,0)+$Q404))</f>
        <v/>
      </c>
      <c r="U404" s="10">
        <f>IF($C404="","",$S404-$T404)</f>
        <v/>
      </c>
      <c r="V404" s="11">
        <f>IF(OR($C404="",$I404=0),"",CEILING($T404/$I404,1))</f>
        <v/>
      </c>
      <c r="W404" s="6" t="n"/>
      <c r="X404">
        <f>IF(C404="","",LOWER(SUBSTITUTE(SUBSTITUTE(C404," ","-"),"'",""))&amp;".jpg")</f>
        <v/>
      </c>
      <c r="Y404">
        <f>IF(X404="","","/inventory/"&amp;X404)</f>
        <v/>
      </c>
      <c r="Z404">
        <f>IF(O404="Available","available",IF(OR(O404="Rented",O404="Cleaning",O404="Repair"),"unavailable",IF(O404="Retired","unavailable","")))</f>
        <v/>
      </c>
    </row>
    <row r="405" ht="150" customHeight="1">
      <c r="A405" t="inlineStr">
        <is>
          <t>W404</t>
        </is>
      </c>
      <c r="B405" s="6" t="n"/>
      <c r="C405" s="21" t="n"/>
      <c r="D405" s="25" t="n"/>
      <c r="E405" s="6" t="n"/>
      <c r="F405" s="19">
        <f>IF(E405="","",_xlfn.IMAGE(E405))</f>
        <v/>
      </c>
      <c r="G405" s="17" t="n"/>
      <c r="H405" s="39" t="n"/>
      <c r="I405" s="7" t="n"/>
      <c r="J405" s="25" t="n"/>
      <c r="K405" s="28" t="n"/>
      <c r="L405" s="6" t="n"/>
      <c r="M405" s="6" t="n"/>
      <c r="N405" s="6" t="n"/>
      <c r="O405" s="6" t="n"/>
      <c r="P405" s="8" t="n"/>
      <c r="Q405" s="7" t="n"/>
      <c r="R405" s="9" t="n"/>
      <c r="S405" s="10">
        <f>IF($C405="","",$I405*$R405)</f>
        <v/>
      </c>
      <c r="T405" s="10">
        <f>IF($C405="","",(IF($N405="Purchased",$H405,0)+$Q405))</f>
        <v/>
      </c>
      <c r="U405" s="10">
        <f>IF($C405="","",$S405-$T405)</f>
        <v/>
      </c>
      <c r="V405" s="11">
        <f>IF(OR($C405="",$I405=0),"",CEILING($T405/$I405,1))</f>
        <v/>
      </c>
      <c r="W405" s="6" t="n"/>
      <c r="X405">
        <f>IF(C405="","",LOWER(SUBSTITUTE(SUBSTITUTE(C405," ","-"),"'",""))&amp;".jpg")</f>
        <v/>
      </c>
      <c r="Y405">
        <f>IF(X405="","","/inventory/"&amp;X405)</f>
        <v/>
      </c>
      <c r="Z405">
        <f>IF(O405="Available","available",IF(OR(O405="Rented",O405="Cleaning",O405="Repair"),"unavailable",IF(O405="Retired","unavailable","")))</f>
        <v/>
      </c>
    </row>
    <row r="406" ht="150" customHeight="1">
      <c r="A406" t="inlineStr">
        <is>
          <t>W405</t>
        </is>
      </c>
      <c r="B406" s="6" t="n"/>
      <c r="C406" s="21" t="n"/>
      <c r="D406" s="25" t="n"/>
      <c r="E406" s="6" t="n"/>
      <c r="F406" s="19">
        <f>IF(E406="","",_xlfn.IMAGE(E406))</f>
        <v/>
      </c>
      <c r="G406" s="17" t="n"/>
      <c r="H406" s="39" t="n"/>
      <c r="I406" s="7" t="n"/>
      <c r="J406" s="25" t="n"/>
      <c r="K406" s="28" t="n"/>
      <c r="L406" s="6" t="n"/>
      <c r="M406" s="6" t="n"/>
      <c r="N406" s="6" t="n"/>
      <c r="O406" s="6" t="n"/>
      <c r="P406" s="8" t="n"/>
      <c r="Q406" s="7" t="n"/>
      <c r="R406" s="9" t="n"/>
      <c r="S406" s="10">
        <f>IF($C406="","",$I406*$R406)</f>
        <v/>
      </c>
      <c r="T406" s="10">
        <f>IF($C406="","",(IF($N406="Purchased",$H406,0)+$Q406))</f>
        <v/>
      </c>
      <c r="U406" s="10">
        <f>IF($C406="","",$S406-$T406)</f>
        <v/>
      </c>
      <c r="V406" s="11">
        <f>IF(OR($C406="",$I406=0),"",CEILING($T406/$I406,1))</f>
        <v/>
      </c>
      <c r="W406" s="6" t="n"/>
      <c r="X406">
        <f>IF(C406="","",LOWER(SUBSTITUTE(SUBSTITUTE(C406," ","-"),"'",""))&amp;".jpg")</f>
        <v/>
      </c>
      <c r="Y406">
        <f>IF(X406="","","/inventory/"&amp;X406)</f>
        <v/>
      </c>
      <c r="Z406">
        <f>IF(O406="Available","available",IF(OR(O406="Rented",O406="Cleaning",O406="Repair"),"unavailable",IF(O406="Retired","unavailable","")))</f>
        <v/>
      </c>
    </row>
    <row r="407" ht="150" customHeight="1">
      <c r="A407" t="inlineStr">
        <is>
          <t>W406</t>
        </is>
      </c>
      <c r="B407" s="6" t="n"/>
      <c r="C407" s="21" t="n"/>
      <c r="D407" s="25" t="n"/>
      <c r="E407" s="6" t="n"/>
      <c r="F407" s="19">
        <f>IF(E407="","",_xlfn.IMAGE(E407))</f>
        <v/>
      </c>
      <c r="G407" s="17" t="n"/>
      <c r="H407" s="39" t="n"/>
      <c r="I407" s="7" t="n"/>
      <c r="J407" s="25" t="n"/>
      <c r="K407" s="28" t="n"/>
      <c r="L407" s="6" t="n"/>
      <c r="M407" s="6" t="n"/>
      <c r="N407" s="6" t="n"/>
      <c r="O407" s="6" t="n"/>
      <c r="P407" s="8" t="n"/>
      <c r="Q407" s="7" t="n"/>
      <c r="R407" s="9" t="n"/>
      <c r="S407" s="10">
        <f>IF($C407="","",$I407*$R407)</f>
        <v/>
      </c>
      <c r="T407" s="10">
        <f>IF($C407="","",(IF($N407="Purchased",$H407,0)+$Q407))</f>
        <v/>
      </c>
      <c r="U407" s="10">
        <f>IF($C407="","",$S407-$T407)</f>
        <v/>
      </c>
      <c r="V407" s="11">
        <f>IF(OR($C407="",$I407=0),"",CEILING($T407/$I407,1))</f>
        <v/>
      </c>
      <c r="W407" s="6" t="n"/>
      <c r="X407">
        <f>IF(C407="","",LOWER(SUBSTITUTE(SUBSTITUTE(C407," ","-"),"'",""))&amp;".jpg")</f>
        <v/>
      </c>
      <c r="Y407">
        <f>IF(X407="","","/inventory/"&amp;X407)</f>
        <v/>
      </c>
      <c r="Z407">
        <f>IF(O407="Available","available",IF(OR(O407="Rented",O407="Cleaning",O407="Repair"),"unavailable",IF(O407="Retired","unavailable","")))</f>
        <v/>
      </c>
    </row>
    <row r="408" ht="150" customHeight="1">
      <c r="A408" t="inlineStr">
        <is>
          <t>W407</t>
        </is>
      </c>
      <c r="B408" s="6" t="n"/>
      <c r="C408" s="21" t="n"/>
      <c r="D408" s="25" t="n"/>
      <c r="E408" s="6" t="n"/>
      <c r="F408" s="19">
        <f>IF(E408="","",_xlfn.IMAGE(E408))</f>
        <v/>
      </c>
      <c r="G408" s="17" t="n"/>
      <c r="H408" s="39" t="n"/>
      <c r="I408" s="7" t="n"/>
      <c r="J408" s="25" t="n"/>
      <c r="K408" s="28" t="n"/>
      <c r="L408" s="6" t="n"/>
      <c r="M408" s="6" t="n"/>
      <c r="N408" s="6" t="n"/>
      <c r="O408" s="6" t="n"/>
      <c r="P408" s="8" t="n"/>
      <c r="Q408" s="7" t="n"/>
      <c r="R408" s="9" t="n"/>
      <c r="S408" s="10">
        <f>IF($C408="","",$I408*$R408)</f>
        <v/>
      </c>
      <c r="T408" s="10">
        <f>IF($C408="","",(IF($N408="Purchased",$H408,0)+$Q408))</f>
        <v/>
      </c>
      <c r="U408" s="10">
        <f>IF($C408="","",$S408-$T408)</f>
        <v/>
      </c>
      <c r="V408" s="11">
        <f>IF(OR($C408="",$I408=0),"",CEILING($T408/$I408,1))</f>
        <v/>
      </c>
      <c r="W408" s="6" t="n"/>
      <c r="X408">
        <f>IF(C408="","",LOWER(SUBSTITUTE(SUBSTITUTE(C408," ","-"),"'",""))&amp;".jpg")</f>
        <v/>
      </c>
      <c r="Y408">
        <f>IF(X408="","","/inventory/"&amp;X408)</f>
        <v/>
      </c>
      <c r="Z408">
        <f>IF(O408="Available","available",IF(OR(O408="Rented",O408="Cleaning",O408="Repair"),"unavailable",IF(O408="Retired","unavailable","")))</f>
        <v/>
      </c>
    </row>
    <row r="409" ht="150" customHeight="1">
      <c r="A409" t="inlineStr">
        <is>
          <t>W408</t>
        </is>
      </c>
      <c r="B409" s="6" t="n"/>
      <c r="C409" s="21" t="n"/>
      <c r="D409" s="25" t="n"/>
      <c r="E409" s="6" t="n"/>
      <c r="F409" s="19">
        <f>IF(E409="","",_xlfn.IMAGE(E409))</f>
        <v/>
      </c>
      <c r="G409" s="17" t="n"/>
      <c r="H409" s="39" t="n"/>
      <c r="I409" s="7" t="n"/>
      <c r="J409" s="25" t="n"/>
      <c r="K409" s="28" t="n"/>
      <c r="L409" s="6" t="n"/>
      <c r="M409" s="6" t="n"/>
      <c r="N409" s="6" t="n"/>
      <c r="O409" s="6" t="n"/>
      <c r="P409" s="8" t="n"/>
      <c r="Q409" s="7" t="n"/>
      <c r="R409" s="9" t="n"/>
      <c r="S409" s="10">
        <f>IF($C409="","",$I409*$R409)</f>
        <v/>
      </c>
      <c r="T409" s="10">
        <f>IF($C409="","",(IF($N409="Purchased",$H409,0)+$Q409))</f>
        <v/>
      </c>
      <c r="U409" s="10">
        <f>IF($C409="","",$S409-$T409)</f>
        <v/>
      </c>
      <c r="V409" s="11">
        <f>IF(OR($C409="",$I409=0),"",CEILING($T409/$I409,1))</f>
        <v/>
      </c>
      <c r="W409" s="6" t="n"/>
      <c r="X409">
        <f>IF(C409="","",LOWER(SUBSTITUTE(SUBSTITUTE(C409," ","-"),"'",""))&amp;".jpg")</f>
        <v/>
      </c>
      <c r="Y409">
        <f>IF(X409="","","/inventory/"&amp;X409)</f>
        <v/>
      </c>
      <c r="Z409">
        <f>IF(O409="Available","available",IF(OR(O409="Rented",O409="Cleaning",O409="Repair"),"unavailable",IF(O409="Retired","unavailable","")))</f>
        <v/>
      </c>
    </row>
    <row r="410" ht="150" customHeight="1">
      <c r="A410" t="inlineStr">
        <is>
          <t>W409</t>
        </is>
      </c>
      <c r="B410" s="6" t="n"/>
      <c r="C410" s="21" t="n"/>
      <c r="D410" s="25" t="n"/>
      <c r="E410" s="6" t="n"/>
      <c r="F410" s="19">
        <f>IF(E410="","",_xlfn.IMAGE(E410))</f>
        <v/>
      </c>
      <c r="G410" s="17" t="n"/>
      <c r="H410" s="39" t="n"/>
      <c r="I410" s="7" t="n"/>
      <c r="J410" s="25" t="n"/>
      <c r="K410" s="28" t="n"/>
      <c r="L410" s="6" t="n"/>
      <c r="M410" s="6" t="n"/>
      <c r="N410" s="6" t="n"/>
      <c r="O410" s="6" t="n"/>
      <c r="P410" s="8" t="n"/>
      <c r="Q410" s="7" t="n"/>
      <c r="R410" s="9" t="n"/>
      <c r="S410" s="10">
        <f>IF($C410="","",$I410*$R410)</f>
        <v/>
      </c>
      <c r="T410" s="10">
        <f>IF($C410="","",(IF($N410="Purchased",$H410,0)+$Q410))</f>
        <v/>
      </c>
      <c r="U410" s="10">
        <f>IF($C410="","",$S410-$T410)</f>
        <v/>
      </c>
      <c r="V410" s="11">
        <f>IF(OR($C410="",$I410=0),"",CEILING($T410/$I410,1))</f>
        <v/>
      </c>
      <c r="W410" s="6" t="n"/>
      <c r="X410">
        <f>IF(C410="","",LOWER(SUBSTITUTE(SUBSTITUTE(C410," ","-"),"'",""))&amp;".jpg")</f>
        <v/>
      </c>
      <c r="Y410">
        <f>IF(X410="","","/inventory/"&amp;X410)</f>
        <v/>
      </c>
      <c r="Z410">
        <f>IF(O410="Available","available",IF(OR(O410="Rented",O410="Cleaning",O410="Repair"),"unavailable",IF(O410="Retired","unavailable","")))</f>
        <v/>
      </c>
    </row>
    <row r="411" ht="150" customHeight="1">
      <c r="A411" t="inlineStr">
        <is>
          <t>W410</t>
        </is>
      </c>
      <c r="B411" s="6" t="n"/>
      <c r="C411" s="21" t="n"/>
      <c r="D411" s="25" t="n"/>
      <c r="E411" s="6" t="n"/>
      <c r="F411" s="19">
        <f>IF(E411="","",_xlfn.IMAGE(E411))</f>
        <v/>
      </c>
      <c r="G411" s="17" t="n"/>
      <c r="H411" s="39" t="n"/>
      <c r="I411" s="7" t="n"/>
      <c r="J411" s="25" t="n"/>
      <c r="K411" s="28" t="n"/>
      <c r="L411" s="6" t="n"/>
      <c r="M411" s="6" t="n"/>
      <c r="N411" s="6" t="n"/>
      <c r="O411" s="6" t="n"/>
      <c r="P411" s="8" t="n"/>
      <c r="Q411" s="7" t="n"/>
      <c r="R411" s="9" t="n"/>
      <c r="S411" s="10">
        <f>IF($C411="","",$I411*$R411)</f>
        <v/>
      </c>
      <c r="T411" s="10">
        <f>IF($C411="","",(IF($N411="Purchased",$H411,0)+$Q411))</f>
        <v/>
      </c>
      <c r="U411" s="10">
        <f>IF($C411="","",$S411-$T411)</f>
        <v/>
      </c>
      <c r="V411" s="11">
        <f>IF(OR($C411="",$I411=0),"",CEILING($T411/$I411,1))</f>
        <v/>
      </c>
      <c r="W411" s="6" t="n"/>
      <c r="X411">
        <f>IF(C411="","",LOWER(SUBSTITUTE(SUBSTITUTE(C411," ","-"),"'",""))&amp;".jpg")</f>
        <v/>
      </c>
      <c r="Y411">
        <f>IF(X411="","","/inventory/"&amp;X411)</f>
        <v/>
      </c>
      <c r="Z411">
        <f>IF(O411="Available","available",IF(OR(O411="Rented",O411="Cleaning",O411="Repair"),"unavailable",IF(O411="Retired","unavailable","")))</f>
        <v/>
      </c>
    </row>
    <row r="412" ht="150" customHeight="1">
      <c r="A412" t="inlineStr">
        <is>
          <t>W411</t>
        </is>
      </c>
      <c r="B412" s="6" t="n"/>
      <c r="C412" s="21" t="n"/>
      <c r="D412" s="25" t="n"/>
      <c r="E412" s="6" t="n"/>
      <c r="F412" s="19">
        <f>IF(E412="","",_xlfn.IMAGE(E412))</f>
        <v/>
      </c>
      <c r="G412" s="17" t="n"/>
      <c r="H412" s="39" t="n"/>
      <c r="I412" s="7" t="n"/>
      <c r="J412" s="25" t="n"/>
      <c r="K412" s="28" t="n"/>
      <c r="L412" s="6" t="n"/>
      <c r="M412" s="6" t="n"/>
      <c r="N412" s="6" t="n"/>
      <c r="O412" s="6" t="n"/>
      <c r="P412" s="8" t="n"/>
      <c r="Q412" s="7" t="n"/>
      <c r="R412" s="9" t="n"/>
      <c r="S412" s="10">
        <f>IF($C412="","",$I412*$R412)</f>
        <v/>
      </c>
      <c r="T412" s="10">
        <f>IF($C412="","",(IF($N412="Purchased",$H412,0)+$Q412))</f>
        <v/>
      </c>
      <c r="U412" s="10">
        <f>IF($C412="","",$S412-$T412)</f>
        <v/>
      </c>
      <c r="V412" s="11">
        <f>IF(OR($C412="",$I412=0),"",CEILING($T412/$I412,1))</f>
        <v/>
      </c>
      <c r="W412" s="6" t="n"/>
      <c r="X412">
        <f>IF(C412="","",LOWER(SUBSTITUTE(SUBSTITUTE(C412," ","-"),"'",""))&amp;".jpg")</f>
        <v/>
      </c>
      <c r="Y412">
        <f>IF(X412="","","/inventory/"&amp;X412)</f>
        <v/>
      </c>
      <c r="Z412">
        <f>IF(O412="Available","available",IF(OR(O412="Rented",O412="Cleaning",O412="Repair"),"unavailable",IF(O412="Retired","unavailable","")))</f>
        <v/>
      </c>
    </row>
    <row r="413" ht="150" customHeight="1">
      <c r="A413" t="inlineStr">
        <is>
          <t>W412</t>
        </is>
      </c>
      <c r="B413" s="6" t="n"/>
      <c r="C413" s="21" t="n"/>
      <c r="D413" s="25" t="n"/>
      <c r="E413" s="6" t="n"/>
      <c r="F413" s="19">
        <f>IF(E413="","",_xlfn.IMAGE(E413))</f>
        <v/>
      </c>
      <c r="G413" s="17" t="n"/>
      <c r="H413" s="39" t="n"/>
      <c r="I413" s="7" t="n"/>
      <c r="J413" s="25" t="n"/>
      <c r="K413" s="28" t="n"/>
      <c r="L413" s="6" t="n"/>
      <c r="M413" s="6" t="n"/>
      <c r="N413" s="6" t="n"/>
      <c r="O413" s="6" t="n"/>
      <c r="P413" s="8" t="n"/>
      <c r="Q413" s="7" t="n"/>
      <c r="R413" s="9" t="n"/>
      <c r="S413" s="10">
        <f>IF($C413="","",$I413*$R413)</f>
        <v/>
      </c>
      <c r="T413" s="10">
        <f>IF($C413="","",(IF($N413="Purchased",$H413,0)+$Q413))</f>
        <v/>
      </c>
      <c r="U413" s="10">
        <f>IF($C413="","",$S413-$T413)</f>
        <v/>
      </c>
      <c r="V413" s="11">
        <f>IF(OR($C413="",$I413=0),"",CEILING($T413/$I413,1))</f>
        <v/>
      </c>
      <c r="W413" s="6" t="n"/>
      <c r="X413">
        <f>IF(C413="","",LOWER(SUBSTITUTE(SUBSTITUTE(C413," ","-"),"'",""))&amp;".jpg")</f>
        <v/>
      </c>
      <c r="Y413">
        <f>IF(X413="","","/inventory/"&amp;X413)</f>
        <v/>
      </c>
      <c r="Z413">
        <f>IF(O413="Available","available",IF(OR(O413="Rented",O413="Cleaning",O413="Repair"),"unavailable",IF(O413="Retired","unavailable","")))</f>
        <v/>
      </c>
    </row>
    <row r="414" ht="150" customHeight="1">
      <c r="A414" t="inlineStr">
        <is>
          <t>W413</t>
        </is>
      </c>
      <c r="B414" s="6" t="n"/>
      <c r="C414" s="21" t="n"/>
      <c r="D414" s="25" t="n"/>
      <c r="E414" s="6" t="n"/>
      <c r="F414" s="19">
        <f>IF(E414="","",_xlfn.IMAGE(E414))</f>
        <v/>
      </c>
      <c r="G414" s="17" t="n"/>
      <c r="H414" s="39" t="n"/>
      <c r="I414" s="7" t="n"/>
      <c r="J414" s="25" t="n"/>
      <c r="K414" s="28" t="n"/>
      <c r="L414" s="6" t="n"/>
      <c r="M414" s="6" t="n"/>
      <c r="N414" s="6" t="n"/>
      <c r="O414" s="6" t="n"/>
      <c r="P414" s="8" t="n"/>
      <c r="Q414" s="7" t="n"/>
      <c r="R414" s="9" t="n"/>
      <c r="S414" s="10">
        <f>IF($C414="","",$I414*$R414)</f>
        <v/>
      </c>
      <c r="T414" s="10">
        <f>IF($C414="","",(IF($N414="Purchased",$H414,0)+$Q414))</f>
        <v/>
      </c>
      <c r="U414" s="10">
        <f>IF($C414="","",$S414-$T414)</f>
        <v/>
      </c>
      <c r="V414" s="11">
        <f>IF(OR($C414="",$I414=0),"",CEILING($T414/$I414,1))</f>
        <v/>
      </c>
      <c r="W414" s="6" t="n"/>
      <c r="X414">
        <f>IF(C414="","",LOWER(SUBSTITUTE(SUBSTITUTE(C414," ","-"),"'",""))&amp;".jpg")</f>
        <v/>
      </c>
      <c r="Y414">
        <f>IF(X414="","","/inventory/"&amp;X414)</f>
        <v/>
      </c>
      <c r="Z414">
        <f>IF(O414="Available","available",IF(OR(O414="Rented",O414="Cleaning",O414="Repair"),"unavailable",IF(O414="Retired","unavailable","")))</f>
        <v/>
      </c>
    </row>
    <row r="415" ht="150" customHeight="1">
      <c r="A415" t="inlineStr">
        <is>
          <t>W414</t>
        </is>
      </c>
      <c r="B415" s="6" t="n"/>
      <c r="C415" s="21" t="n"/>
      <c r="D415" s="25" t="n"/>
      <c r="E415" s="6" t="n"/>
      <c r="F415" s="19">
        <f>IF(E415="","",_xlfn.IMAGE(E415))</f>
        <v/>
      </c>
      <c r="G415" s="17" t="n"/>
      <c r="H415" s="39" t="n"/>
      <c r="I415" s="7" t="n"/>
      <c r="J415" s="25" t="n"/>
      <c r="K415" s="28" t="n"/>
      <c r="L415" s="6" t="n"/>
      <c r="M415" s="6" t="n"/>
      <c r="N415" s="6" t="n"/>
      <c r="O415" s="6" t="n"/>
      <c r="P415" s="8" t="n"/>
      <c r="Q415" s="7" t="n"/>
      <c r="R415" s="9" t="n"/>
      <c r="S415" s="10">
        <f>IF($C415="","",$I415*$R415)</f>
        <v/>
      </c>
      <c r="T415" s="10">
        <f>IF($C415="","",(IF($N415="Purchased",$H415,0)+$Q415))</f>
        <v/>
      </c>
      <c r="U415" s="10">
        <f>IF($C415="","",$S415-$T415)</f>
        <v/>
      </c>
      <c r="V415" s="11">
        <f>IF(OR($C415="",$I415=0),"",CEILING($T415/$I415,1))</f>
        <v/>
      </c>
      <c r="W415" s="6" t="n"/>
      <c r="X415">
        <f>IF(C415="","",LOWER(SUBSTITUTE(SUBSTITUTE(C415," ","-"),"'",""))&amp;".jpg")</f>
        <v/>
      </c>
      <c r="Y415">
        <f>IF(X415="","","/inventory/"&amp;X415)</f>
        <v/>
      </c>
      <c r="Z415">
        <f>IF(O415="Available","available",IF(OR(O415="Rented",O415="Cleaning",O415="Repair"),"unavailable",IF(O415="Retired","unavailable","")))</f>
        <v/>
      </c>
    </row>
    <row r="416" ht="150" customHeight="1">
      <c r="A416" t="inlineStr">
        <is>
          <t>W415</t>
        </is>
      </c>
      <c r="B416" s="6" t="n"/>
      <c r="C416" s="21" t="n"/>
      <c r="D416" s="25" t="n"/>
      <c r="E416" s="6" t="n"/>
      <c r="F416" s="19">
        <f>IF(E416="","",_xlfn.IMAGE(E416))</f>
        <v/>
      </c>
      <c r="G416" s="17" t="n"/>
      <c r="H416" s="39" t="n"/>
      <c r="I416" s="7" t="n"/>
      <c r="J416" s="25" t="n"/>
      <c r="K416" s="28" t="n"/>
      <c r="L416" s="6" t="n"/>
      <c r="M416" s="6" t="n"/>
      <c r="N416" s="6" t="n"/>
      <c r="O416" s="6" t="n"/>
      <c r="P416" s="8" t="n"/>
      <c r="Q416" s="7" t="n"/>
      <c r="R416" s="9" t="n"/>
      <c r="S416" s="10">
        <f>IF($C416="","",$I416*$R416)</f>
        <v/>
      </c>
      <c r="T416" s="10">
        <f>IF($C416="","",(IF($N416="Purchased",$H416,0)+$Q416))</f>
        <v/>
      </c>
      <c r="U416" s="10">
        <f>IF($C416="","",$S416-$T416)</f>
        <v/>
      </c>
      <c r="V416" s="11">
        <f>IF(OR($C416="",$I416=0),"",CEILING($T416/$I416,1))</f>
        <v/>
      </c>
      <c r="W416" s="6" t="n"/>
      <c r="X416">
        <f>IF(C416="","",LOWER(SUBSTITUTE(SUBSTITUTE(C416," ","-"),"'",""))&amp;".jpg")</f>
        <v/>
      </c>
      <c r="Y416">
        <f>IF(X416="","","/inventory/"&amp;X416)</f>
        <v/>
      </c>
      <c r="Z416">
        <f>IF(O416="Available","available",IF(OR(O416="Rented",O416="Cleaning",O416="Repair"),"unavailable",IF(O416="Retired","unavailable","")))</f>
        <v/>
      </c>
    </row>
    <row r="417" ht="150" customHeight="1">
      <c r="A417" t="inlineStr">
        <is>
          <t>W416</t>
        </is>
      </c>
      <c r="B417" s="6" t="n"/>
      <c r="C417" s="21" t="n"/>
      <c r="D417" s="25" t="n"/>
      <c r="E417" s="6" t="n"/>
      <c r="F417" s="19">
        <f>IF(E417="","",_xlfn.IMAGE(E417))</f>
        <v/>
      </c>
      <c r="G417" s="17" t="n"/>
      <c r="H417" s="39" t="n"/>
      <c r="I417" s="7" t="n"/>
      <c r="J417" s="25" t="n"/>
      <c r="K417" s="28" t="n"/>
      <c r="L417" s="6" t="n"/>
      <c r="M417" s="6" t="n"/>
      <c r="N417" s="6" t="n"/>
      <c r="O417" s="6" t="n"/>
      <c r="P417" s="8" t="n"/>
      <c r="Q417" s="7" t="n"/>
      <c r="R417" s="9" t="n"/>
      <c r="S417" s="10">
        <f>IF($C417="","",$I417*$R417)</f>
        <v/>
      </c>
      <c r="T417" s="10">
        <f>IF($C417="","",(IF($N417="Purchased",$H417,0)+$Q417))</f>
        <v/>
      </c>
      <c r="U417" s="10">
        <f>IF($C417="","",$S417-$T417)</f>
        <v/>
      </c>
      <c r="V417" s="11">
        <f>IF(OR($C417="",$I417=0),"",CEILING($T417/$I417,1))</f>
        <v/>
      </c>
      <c r="W417" s="6" t="n"/>
      <c r="X417">
        <f>IF(C417="","",LOWER(SUBSTITUTE(SUBSTITUTE(C417," ","-"),"'",""))&amp;".jpg")</f>
        <v/>
      </c>
      <c r="Y417">
        <f>IF(X417="","","/inventory/"&amp;X417)</f>
        <v/>
      </c>
      <c r="Z417">
        <f>IF(O417="Available","available",IF(OR(O417="Rented",O417="Cleaning",O417="Repair"),"unavailable",IF(O417="Retired","unavailable","")))</f>
        <v/>
      </c>
    </row>
    <row r="418" ht="150" customHeight="1">
      <c r="A418" t="inlineStr">
        <is>
          <t>W417</t>
        </is>
      </c>
      <c r="B418" s="6" t="n"/>
      <c r="C418" s="21" t="n"/>
      <c r="D418" s="25" t="n"/>
      <c r="E418" s="6" t="n"/>
      <c r="F418" s="19">
        <f>IF(E418="","",_xlfn.IMAGE(E418))</f>
        <v/>
      </c>
      <c r="G418" s="17" t="n"/>
      <c r="H418" s="39" t="n"/>
      <c r="I418" s="7" t="n"/>
      <c r="J418" s="25" t="n"/>
      <c r="K418" s="28" t="n"/>
      <c r="L418" s="6" t="n"/>
      <c r="M418" s="6" t="n"/>
      <c r="N418" s="6" t="n"/>
      <c r="O418" s="6" t="n"/>
      <c r="P418" s="8" t="n"/>
      <c r="Q418" s="7" t="n"/>
      <c r="R418" s="9" t="n"/>
      <c r="S418" s="10">
        <f>IF($C418="","",$I418*$R418)</f>
        <v/>
      </c>
      <c r="T418" s="10">
        <f>IF($C418="","",(IF($N418="Purchased",$H418,0)+$Q418))</f>
        <v/>
      </c>
      <c r="U418" s="10">
        <f>IF($C418="","",$S418-$T418)</f>
        <v/>
      </c>
      <c r="V418" s="11">
        <f>IF(OR($C418="",$I418=0),"",CEILING($T418/$I418,1))</f>
        <v/>
      </c>
      <c r="W418" s="6" t="n"/>
      <c r="X418">
        <f>IF(C418="","",LOWER(SUBSTITUTE(SUBSTITUTE(C418," ","-"),"'",""))&amp;".jpg")</f>
        <v/>
      </c>
      <c r="Y418">
        <f>IF(X418="","","/inventory/"&amp;X418)</f>
        <v/>
      </c>
      <c r="Z418">
        <f>IF(O418="Available","available",IF(OR(O418="Rented",O418="Cleaning",O418="Repair"),"unavailable",IF(O418="Retired","unavailable","")))</f>
        <v/>
      </c>
    </row>
    <row r="419" ht="150" customHeight="1">
      <c r="A419" t="inlineStr">
        <is>
          <t>W418</t>
        </is>
      </c>
      <c r="B419" s="6" t="n"/>
      <c r="C419" s="21" t="n"/>
      <c r="D419" s="25" t="n"/>
      <c r="E419" s="6" t="n"/>
      <c r="F419" s="19">
        <f>IF(E419="","",_xlfn.IMAGE(E419))</f>
        <v/>
      </c>
      <c r="G419" s="17" t="n"/>
      <c r="H419" s="39" t="n"/>
      <c r="I419" s="7" t="n"/>
      <c r="J419" s="25" t="n"/>
      <c r="K419" s="28" t="n"/>
      <c r="L419" s="6" t="n"/>
      <c r="M419" s="6" t="n"/>
      <c r="N419" s="6" t="n"/>
      <c r="O419" s="6" t="n"/>
      <c r="P419" s="8" t="n"/>
      <c r="Q419" s="7" t="n"/>
      <c r="R419" s="9" t="n"/>
      <c r="S419" s="10">
        <f>IF($C419="","",$I419*$R419)</f>
        <v/>
      </c>
      <c r="T419" s="10">
        <f>IF($C419="","",(IF($N419="Purchased",$H419,0)+$Q419))</f>
        <v/>
      </c>
      <c r="U419" s="10">
        <f>IF($C419="","",$S419-$T419)</f>
        <v/>
      </c>
      <c r="V419" s="11">
        <f>IF(OR($C419="",$I419=0),"",CEILING($T419/$I419,1))</f>
        <v/>
      </c>
      <c r="W419" s="6" t="n"/>
      <c r="X419">
        <f>IF(C419="","",LOWER(SUBSTITUTE(SUBSTITUTE(C419," ","-"),"'",""))&amp;".jpg")</f>
        <v/>
      </c>
      <c r="Y419">
        <f>IF(X419="","","/inventory/"&amp;X419)</f>
        <v/>
      </c>
      <c r="Z419">
        <f>IF(O419="Available","available",IF(OR(O419="Rented",O419="Cleaning",O419="Repair"),"unavailable",IF(O419="Retired","unavailable","")))</f>
        <v/>
      </c>
    </row>
    <row r="420" ht="150" customHeight="1">
      <c r="A420" t="inlineStr">
        <is>
          <t>W419</t>
        </is>
      </c>
      <c r="B420" s="6" t="n"/>
      <c r="C420" s="21" t="n"/>
      <c r="D420" s="25" t="n"/>
      <c r="E420" s="6" t="n"/>
      <c r="F420" s="19">
        <f>IF(E420="","",_xlfn.IMAGE(E420))</f>
        <v/>
      </c>
      <c r="G420" s="17" t="n"/>
      <c r="H420" s="39" t="n"/>
      <c r="I420" s="7" t="n"/>
      <c r="J420" s="25" t="n"/>
      <c r="K420" s="28" t="n"/>
      <c r="L420" s="6" t="n"/>
      <c r="M420" s="6" t="n"/>
      <c r="N420" s="6" t="n"/>
      <c r="O420" s="6" t="n"/>
      <c r="P420" s="8" t="n"/>
      <c r="Q420" s="7" t="n"/>
      <c r="R420" s="9" t="n"/>
      <c r="S420" s="10">
        <f>IF($C420="","",$I420*$R420)</f>
        <v/>
      </c>
      <c r="T420" s="10">
        <f>IF($C420="","",(IF($N420="Purchased",$H420,0)+$Q420))</f>
        <v/>
      </c>
      <c r="U420" s="10">
        <f>IF($C420="","",$S420-$T420)</f>
        <v/>
      </c>
      <c r="V420" s="11">
        <f>IF(OR($C420="",$I420=0),"",CEILING($T420/$I420,1))</f>
        <v/>
      </c>
      <c r="W420" s="6" t="n"/>
      <c r="X420">
        <f>IF(C420="","",LOWER(SUBSTITUTE(SUBSTITUTE(C420," ","-"),"'",""))&amp;".jpg")</f>
        <v/>
      </c>
      <c r="Y420">
        <f>IF(X420="","","/inventory/"&amp;X420)</f>
        <v/>
      </c>
      <c r="Z420">
        <f>IF(O420="Available","available",IF(OR(O420="Rented",O420="Cleaning",O420="Repair"),"unavailable",IF(O420="Retired","unavailable","")))</f>
        <v/>
      </c>
    </row>
    <row r="421" ht="150" customHeight="1">
      <c r="A421" t="inlineStr">
        <is>
          <t>W420</t>
        </is>
      </c>
      <c r="B421" s="6" t="n"/>
      <c r="C421" s="21" t="n"/>
      <c r="D421" s="25" t="n"/>
      <c r="E421" s="6" t="n"/>
      <c r="F421" s="19">
        <f>IF(E421="","",_xlfn.IMAGE(E421))</f>
        <v/>
      </c>
      <c r="G421" s="17" t="n"/>
      <c r="H421" s="39" t="n"/>
      <c r="I421" s="7" t="n"/>
      <c r="J421" s="25" t="n"/>
      <c r="K421" s="28" t="n"/>
      <c r="L421" s="6" t="n"/>
      <c r="M421" s="6" t="n"/>
      <c r="N421" s="6" t="n"/>
      <c r="O421" s="6" t="n"/>
      <c r="P421" s="8" t="n"/>
      <c r="Q421" s="7" t="n"/>
      <c r="R421" s="9" t="n"/>
      <c r="S421" s="10">
        <f>IF($C421="","",$I421*$R421)</f>
        <v/>
      </c>
      <c r="T421" s="10">
        <f>IF($C421="","",(IF($N421="Purchased",$H421,0)+$Q421))</f>
        <v/>
      </c>
      <c r="U421" s="10">
        <f>IF($C421="","",$S421-$T421)</f>
        <v/>
      </c>
      <c r="V421" s="11">
        <f>IF(OR($C421="",$I421=0),"",CEILING($T421/$I421,1))</f>
        <v/>
      </c>
      <c r="W421" s="6" t="n"/>
      <c r="X421">
        <f>IF(C421="","",LOWER(SUBSTITUTE(SUBSTITUTE(C421," ","-"),"'",""))&amp;".jpg")</f>
        <v/>
      </c>
      <c r="Y421">
        <f>IF(X421="","","/inventory/"&amp;X421)</f>
        <v/>
      </c>
      <c r="Z421">
        <f>IF(O421="Available","available",IF(OR(O421="Rented",O421="Cleaning",O421="Repair"),"unavailable",IF(O421="Retired","unavailable","")))</f>
        <v/>
      </c>
    </row>
    <row r="422" ht="150" customHeight="1">
      <c r="A422" t="inlineStr">
        <is>
          <t>W421</t>
        </is>
      </c>
      <c r="B422" s="6" t="n"/>
      <c r="C422" s="21" t="n"/>
      <c r="D422" s="25" t="n"/>
      <c r="E422" s="6" t="n"/>
      <c r="F422" s="19">
        <f>IF(E422="","",_xlfn.IMAGE(E422))</f>
        <v/>
      </c>
      <c r="G422" s="17" t="n"/>
      <c r="H422" s="39" t="n"/>
      <c r="I422" s="7" t="n"/>
      <c r="J422" s="25" t="n"/>
      <c r="K422" s="28" t="n"/>
      <c r="L422" s="6" t="n"/>
      <c r="M422" s="6" t="n"/>
      <c r="N422" s="6" t="n"/>
      <c r="O422" s="6" t="n"/>
      <c r="P422" s="8" t="n"/>
      <c r="Q422" s="7" t="n"/>
      <c r="R422" s="9" t="n"/>
      <c r="S422" s="10">
        <f>IF($C422="","",$I422*$R422)</f>
        <v/>
      </c>
      <c r="T422" s="10">
        <f>IF($C422="","",(IF($N422="Purchased",$H422,0)+$Q422))</f>
        <v/>
      </c>
      <c r="U422" s="10">
        <f>IF($C422="","",$S422-$T422)</f>
        <v/>
      </c>
      <c r="V422" s="11">
        <f>IF(OR($C422="",$I422=0),"",CEILING($T422/$I422,1))</f>
        <v/>
      </c>
      <c r="W422" s="6" t="n"/>
      <c r="X422">
        <f>IF(C422="","",LOWER(SUBSTITUTE(SUBSTITUTE(C422," ","-"),"'",""))&amp;".jpg")</f>
        <v/>
      </c>
      <c r="Y422">
        <f>IF(X422="","","/inventory/"&amp;X422)</f>
        <v/>
      </c>
      <c r="Z422">
        <f>IF(O422="Available","available",IF(OR(O422="Rented",O422="Cleaning",O422="Repair"),"unavailable",IF(O422="Retired","unavailable","")))</f>
        <v/>
      </c>
    </row>
    <row r="423" ht="150" customHeight="1">
      <c r="A423" t="inlineStr">
        <is>
          <t>W422</t>
        </is>
      </c>
      <c r="B423" s="6" t="n"/>
      <c r="C423" s="21" t="n"/>
      <c r="D423" s="25" t="n"/>
      <c r="E423" s="6" t="n"/>
      <c r="F423" s="19">
        <f>IF(E423="","",_xlfn.IMAGE(E423))</f>
        <v/>
      </c>
      <c r="G423" s="17" t="n"/>
      <c r="H423" s="39" t="n"/>
      <c r="I423" s="7" t="n"/>
      <c r="J423" s="25" t="n"/>
      <c r="K423" s="28" t="n"/>
      <c r="L423" s="6" t="n"/>
      <c r="M423" s="6" t="n"/>
      <c r="N423" s="6" t="n"/>
      <c r="O423" s="6" t="n"/>
      <c r="P423" s="8" t="n"/>
      <c r="Q423" s="7" t="n"/>
      <c r="R423" s="9" t="n"/>
      <c r="S423" s="10">
        <f>IF($C423="","",$I423*$R423)</f>
        <v/>
      </c>
      <c r="T423" s="10">
        <f>IF($C423="","",(IF($N423="Purchased",$H423,0)+$Q423))</f>
        <v/>
      </c>
      <c r="U423" s="10">
        <f>IF($C423="","",$S423-$T423)</f>
        <v/>
      </c>
      <c r="V423" s="11">
        <f>IF(OR($C423="",$I423=0),"",CEILING($T423/$I423,1))</f>
        <v/>
      </c>
      <c r="W423" s="6" t="n"/>
      <c r="X423">
        <f>IF(C423="","",LOWER(SUBSTITUTE(SUBSTITUTE(C423," ","-"),"'",""))&amp;".jpg")</f>
        <v/>
      </c>
      <c r="Y423">
        <f>IF(X423="","","/inventory/"&amp;X423)</f>
        <v/>
      </c>
      <c r="Z423">
        <f>IF(O423="Available","available",IF(OR(O423="Rented",O423="Cleaning",O423="Repair"),"unavailable",IF(O423="Retired","unavailable","")))</f>
        <v/>
      </c>
    </row>
    <row r="424" ht="150" customHeight="1">
      <c r="A424" t="inlineStr">
        <is>
          <t>W423</t>
        </is>
      </c>
      <c r="B424" s="6" t="n"/>
      <c r="C424" s="21" t="n"/>
      <c r="D424" s="25" t="n"/>
      <c r="E424" s="6" t="n"/>
      <c r="F424" s="19">
        <f>IF(E424="","",_xlfn.IMAGE(E424))</f>
        <v/>
      </c>
      <c r="G424" s="17" t="n"/>
      <c r="H424" s="39" t="n"/>
      <c r="I424" s="7" t="n"/>
      <c r="J424" s="25" t="n"/>
      <c r="K424" s="28" t="n"/>
      <c r="L424" s="6" t="n"/>
      <c r="M424" s="6" t="n"/>
      <c r="N424" s="6" t="n"/>
      <c r="O424" s="6" t="n"/>
      <c r="P424" s="8" t="n"/>
      <c r="Q424" s="7" t="n"/>
      <c r="R424" s="9" t="n"/>
      <c r="S424" s="10">
        <f>IF($C424="","",$I424*$R424)</f>
        <v/>
      </c>
      <c r="T424" s="10">
        <f>IF($C424="","",(IF($N424="Purchased",$H424,0)+$Q424))</f>
        <v/>
      </c>
      <c r="U424" s="10">
        <f>IF($C424="","",$S424-$T424)</f>
        <v/>
      </c>
      <c r="V424" s="11">
        <f>IF(OR($C424="",$I424=0),"",CEILING($T424/$I424,1))</f>
        <v/>
      </c>
      <c r="W424" s="6" t="n"/>
      <c r="X424">
        <f>IF(C424="","",LOWER(SUBSTITUTE(SUBSTITUTE(C424," ","-"),"'",""))&amp;".jpg")</f>
        <v/>
      </c>
      <c r="Y424">
        <f>IF(X424="","","/inventory/"&amp;X424)</f>
        <v/>
      </c>
      <c r="Z424">
        <f>IF(O424="Available","available",IF(OR(O424="Rented",O424="Cleaning",O424="Repair"),"unavailable",IF(O424="Retired","unavailable","")))</f>
        <v/>
      </c>
    </row>
    <row r="425" ht="150" customHeight="1">
      <c r="A425" t="inlineStr">
        <is>
          <t>W424</t>
        </is>
      </c>
      <c r="B425" s="6" t="n"/>
      <c r="C425" s="21" t="n"/>
      <c r="D425" s="25" t="n"/>
      <c r="E425" s="6" t="n"/>
      <c r="F425" s="19">
        <f>IF(E425="","",_xlfn.IMAGE(E425))</f>
        <v/>
      </c>
      <c r="G425" s="17" t="n"/>
      <c r="H425" s="39" t="n"/>
      <c r="I425" s="7" t="n"/>
      <c r="J425" s="25" t="n"/>
      <c r="K425" s="28" t="n"/>
      <c r="L425" s="6" t="n"/>
      <c r="M425" s="6" t="n"/>
      <c r="N425" s="6" t="n"/>
      <c r="O425" s="6" t="n"/>
      <c r="P425" s="8" t="n"/>
      <c r="Q425" s="7" t="n"/>
      <c r="R425" s="9" t="n"/>
      <c r="S425" s="10">
        <f>IF($C425="","",$I425*$R425)</f>
        <v/>
      </c>
      <c r="T425" s="10">
        <f>IF($C425="","",(IF($N425="Purchased",$H425,0)+$Q425))</f>
        <v/>
      </c>
      <c r="U425" s="10">
        <f>IF($C425="","",$S425-$T425)</f>
        <v/>
      </c>
      <c r="V425" s="11">
        <f>IF(OR($C425="",$I425=0),"",CEILING($T425/$I425,1))</f>
        <v/>
      </c>
      <c r="W425" s="6" t="n"/>
      <c r="X425">
        <f>IF(C425="","",LOWER(SUBSTITUTE(SUBSTITUTE(C425," ","-"),"'",""))&amp;".jpg")</f>
        <v/>
      </c>
      <c r="Y425">
        <f>IF(X425="","","/inventory/"&amp;X425)</f>
        <v/>
      </c>
      <c r="Z425">
        <f>IF(O425="Available","available",IF(OR(O425="Rented",O425="Cleaning",O425="Repair"),"unavailable",IF(O425="Retired","unavailable","")))</f>
        <v/>
      </c>
    </row>
    <row r="426" ht="150" customHeight="1">
      <c r="A426" t="inlineStr">
        <is>
          <t>W425</t>
        </is>
      </c>
      <c r="B426" s="6" t="n"/>
      <c r="C426" s="21" t="n"/>
      <c r="D426" s="25" t="n"/>
      <c r="E426" s="6" t="n"/>
      <c r="F426" s="19">
        <f>IF(E426="","",_xlfn.IMAGE(E426))</f>
        <v/>
      </c>
      <c r="G426" s="17" t="n"/>
      <c r="H426" s="39" t="n"/>
      <c r="I426" s="7" t="n"/>
      <c r="J426" s="25" t="n"/>
      <c r="K426" s="28" t="n"/>
      <c r="L426" s="6" t="n"/>
      <c r="M426" s="6" t="n"/>
      <c r="N426" s="6" t="n"/>
      <c r="O426" s="6" t="n"/>
      <c r="P426" s="8" t="n"/>
      <c r="Q426" s="7" t="n"/>
      <c r="R426" s="9" t="n"/>
      <c r="S426" s="10">
        <f>IF($C426="","",$I426*$R426)</f>
        <v/>
      </c>
      <c r="T426" s="10">
        <f>IF($C426="","",(IF($N426="Purchased",$H426,0)+$Q426))</f>
        <v/>
      </c>
      <c r="U426" s="10">
        <f>IF($C426="","",$S426-$T426)</f>
        <v/>
      </c>
      <c r="V426" s="11">
        <f>IF(OR($C426="",$I426=0),"",CEILING($T426/$I426,1))</f>
        <v/>
      </c>
      <c r="W426" s="6" t="n"/>
      <c r="X426">
        <f>IF(C426="","",LOWER(SUBSTITUTE(SUBSTITUTE(C426," ","-"),"'",""))&amp;".jpg")</f>
        <v/>
      </c>
      <c r="Y426">
        <f>IF(X426="","","/inventory/"&amp;X426)</f>
        <v/>
      </c>
      <c r="Z426">
        <f>IF(O426="Available","available",IF(OR(O426="Rented",O426="Cleaning",O426="Repair"),"unavailable",IF(O426="Retired","unavailable","")))</f>
        <v/>
      </c>
    </row>
    <row r="427" ht="150" customHeight="1">
      <c r="A427" t="inlineStr">
        <is>
          <t>W426</t>
        </is>
      </c>
      <c r="B427" s="6" t="n"/>
      <c r="C427" s="21" t="n"/>
      <c r="D427" s="25" t="n"/>
      <c r="E427" s="6" t="n"/>
      <c r="F427" s="19">
        <f>IF(E427="","",_xlfn.IMAGE(E427))</f>
        <v/>
      </c>
      <c r="G427" s="17" t="n"/>
      <c r="H427" s="39" t="n"/>
      <c r="I427" s="7" t="n"/>
      <c r="J427" s="25" t="n"/>
      <c r="K427" s="28" t="n"/>
      <c r="L427" s="6" t="n"/>
      <c r="M427" s="6" t="n"/>
      <c r="N427" s="6" t="n"/>
      <c r="O427" s="6" t="n"/>
      <c r="P427" s="8" t="n"/>
      <c r="Q427" s="7" t="n"/>
      <c r="R427" s="9" t="n"/>
      <c r="S427" s="10">
        <f>IF($C427="","",$I427*$R427)</f>
        <v/>
      </c>
      <c r="T427" s="10">
        <f>IF($C427="","",(IF($N427="Purchased",$H427,0)+$Q427))</f>
        <v/>
      </c>
      <c r="U427" s="10">
        <f>IF($C427="","",$S427-$T427)</f>
        <v/>
      </c>
      <c r="V427" s="11">
        <f>IF(OR($C427="",$I427=0),"",CEILING($T427/$I427,1))</f>
        <v/>
      </c>
      <c r="W427" s="6" t="n"/>
      <c r="X427">
        <f>IF(C427="","",LOWER(SUBSTITUTE(SUBSTITUTE(C427," ","-"),"'",""))&amp;".jpg")</f>
        <v/>
      </c>
      <c r="Y427">
        <f>IF(X427="","","/inventory/"&amp;X427)</f>
        <v/>
      </c>
      <c r="Z427">
        <f>IF(O427="Available","available",IF(OR(O427="Rented",O427="Cleaning",O427="Repair"),"unavailable",IF(O427="Retired","unavailable","")))</f>
        <v/>
      </c>
    </row>
    <row r="428" ht="150" customHeight="1">
      <c r="A428" t="inlineStr">
        <is>
          <t>W427</t>
        </is>
      </c>
      <c r="B428" s="6" t="n"/>
      <c r="C428" s="21" t="n"/>
      <c r="D428" s="25" t="n"/>
      <c r="E428" s="6" t="n"/>
      <c r="F428" s="19">
        <f>IF(E428="","",_xlfn.IMAGE(E428))</f>
        <v/>
      </c>
      <c r="G428" s="17" t="n"/>
      <c r="H428" s="39" t="n"/>
      <c r="I428" s="7" t="n"/>
      <c r="J428" s="25" t="n"/>
      <c r="K428" s="28" t="n"/>
      <c r="L428" s="6" t="n"/>
      <c r="M428" s="6" t="n"/>
      <c r="N428" s="6" t="n"/>
      <c r="O428" s="6" t="n"/>
      <c r="P428" s="8" t="n"/>
      <c r="Q428" s="7" t="n"/>
      <c r="R428" s="9" t="n"/>
      <c r="S428" s="10">
        <f>IF($C428="","",$I428*$R428)</f>
        <v/>
      </c>
      <c r="T428" s="10">
        <f>IF($C428="","",(IF($N428="Purchased",$H428,0)+$Q428))</f>
        <v/>
      </c>
      <c r="U428" s="10">
        <f>IF($C428="","",$S428-$T428)</f>
        <v/>
      </c>
      <c r="V428" s="11">
        <f>IF(OR($C428="",$I428=0),"",CEILING($T428/$I428,1))</f>
        <v/>
      </c>
      <c r="W428" s="6" t="n"/>
      <c r="X428">
        <f>IF(C428="","",LOWER(SUBSTITUTE(SUBSTITUTE(C428," ","-"),"'",""))&amp;".jpg")</f>
        <v/>
      </c>
      <c r="Y428">
        <f>IF(X428="","","/inventory/"&amp;X428)</f>
        <v/>
      </c>
      <c r="Z428">
        <f>IF(O428="Available","available",IF(OR(O428="Rented",O428="Cleaning",O428="Repair"),"unavailable",IF(O428="Retired","unavailable","")))</f>
        <v/>
      </c>
    </row>
    <row r="429" ht="150" customHeight="1">
      <c r="A429" t="inlineStr">
        <is>
          <t>W428</t>
        </is>
      </c>
      <c r="B429" s="6" t="n"/>
      <c r="C429" s="21" t="n"/>
      <c r="D429" s="25" t="n"/>
      <c r="E429" s="6" t="n"/>
      <c r="F429" s="19">
        <f>IF(E429="","",_xlfn.IMAGE(E429))</f>
        <v/>
      </c>
      <c r="G429" s="17" t="n"/>
      <c r="H429" s="39" t="n"/>
      <c r="I429" s="7" t="n"/>
      <c r="J429" s="25" t="n"/>
      <c r="K429" s="28" t="n"/>
      <c r="L429" s="6" t="n"/>
      <c r="M429" s="6" t="n"/>
      <c r="N429" s="6" t="n"/>
      <c r="O429" s="6" t="n"/>
      <c r="P429" s="8" t="n"/>
      <c r="Q429" s="7" t="n"/>
      <c r="R429" s="9" t="n"/>
      <c r="S429" s="10">
        <f>IF($C429="","",$I429*$R429)</f>
        <v/>
      </c>
      <c r="T429" s="10">
        <f>IF($C429="","",(IF($N429="Purchased",$H429,0)+$Q429))</f>
        <v/>
      </c>
      <c r="U429" s="10">
        <f>IF($C429="","",$S429-$T429)</f>
        <v/>
      </c>
      <c r="V429" s="11">
        <f>IF(OR($C429="",$I429=0),"",CEILING($T429/$I429,1))</f>
        <v/>
      </c>
      <c r="W429" s="6" t="n"/>
      <c r="X429">
        <f>IF(C429="","",LOWER(SUBSTITUTE(SUBSTITUTE(C429," ","-"),"'",""))&amp;".jpg")</f>
        <v/>
      </c>
      <c r="Y429">
        <f>IF(X429="","","/inventory/"&amp;X429)</f>
        <v/>
      </c>
      <c r="Z429">
        <f>IF(O429="Available","available",IF(OR(O429="Rented",O429="Cleaning",O429="Repair"),"unavailable",IF(O429="Retired","unavailable","")))</f>
        <v/>
      </c>
    </row>
    <row r="430" ht="150" customHeight="1">
      <c r="A430" t="inlineStr">
        <is>
          <t>W429</t>
        </is>
      </c>
      <c r="B430" s="6" t="n"/>
      <c r="C430" s="21" t="n"/>
      <c r="D430" s="25" t="n"/>
      <c r="E430" s="6" t="n"/>
      <c r="F430" s="19">
        <f>IF(E430="","",_xlfn.IMAGE(E430))</f>
        <v/>
      </c>
      <c r="G430" s="17" t="n"/>
      <c r="H430" s="39" t="n"/>
      <c r="I430" s="7" t="n"/>
      <c r="J430" s="25" t="n"/>
      <c r="K430" s="28" t="n"/>
      <c r="L430" s="6" t="n"/>
      <c r="M430" s="6" t="n"/>
      <c r="N430" s="6" t="n"/>
      <c r="O430" s="6" t="n"/>
      <c r="P430" s="8" t="n"/>
      <c r="Q430" s="7" t="n"/>
      <c r="R430" s="9" t="n"/>
      <c r="S430" s="10">
        <f>IF($C430="","",$I430*$R430)</f>
        <v/>
      </c>
      <c r="T430" s="10">
        <f>IF($C430="","",(IF($N430="Purchased",$H430,0)+$Q430))</f>
        <v/>
      </c>
      <c r="U430" s="10">
        <f>IF($C430="","",$S430-$T430)</f>
        <v/>
      </c>
      <c r="V430" s="11">
        <f>IF(OR($C430="",$I430=0),"",CEILING($T430/$I430,1))</f>
        <v/>
      </c>
      <c r="W430" s="6" t="n"/>
      <c r="X430">
        <f>IF(C430="","",LOWER(SUBSTITUTE(SUBSTITUTE(C430," ","-"),"'",""))&amp;".jpg")</f>
        <v/>
      </c>
      <c r="Y430">
        <f>IF(X430="","","/inventory/"&amp;X430)</f>
        <v/>
      </c>
      <c r="Z430">
        <f>IF(O430="Available","available",IF(OR(O430="Rented",O430="Cleaning",O430="Repair"),"unavailable",IF(O430="Retired","unavailable","")))</f>
        <v/>
      </c>
    </row>
    <row r="431" ht="150" customHeight="1">
      <c r="A431" t="inlineStr">
        <is>
          <t>W430</t>
        </is>
      </c>
      <c r="B431" s="6" t="n"/>
      <c r="C431" s="21" t="n"/>
      <c r="D431" s="25" t="n"/>
      <c r="E431" s="6" t="n"/>
      <c r="F431" s="19">
        <f>IF(E431="","",_xlfn.IMAGE(E431))</f>
        <v/>
      </c>
      <c r="G431" s="17" t="n"/>
      <c r="H431" s="39" t="n"/>
      <c r="I431" s="7" t="n"/>
      <c r="J431" s="25" t="n"/>
      <c r="K431" s="28" t="n"/>
      <c r="L431" s="6" t="n"/>
      <c r="M431" s="6" t="n"/>
      <c r="N431" s="6" t="n"/>
      <c r="O431" s="6" t="n"/>
      <c r="P431" s="8" t="n"/>
      <c r="Q431" s="7" t="n"/>
      <c r="R431" s="9" t="n"/>
      <c r="S431" s="10">
        <f>IF($C431="","",$I431*$R431)</f>
        <v/>
      </c>
      <c r="T431" s="10">
        <f>IF($C431="","",(IF($N431="Purchased",$H431,0)+$Q431))</f>
        <v/>
      </c>
      <c r="U431" s="10">
        <f>IF($C431="","",$S431-$T431)</f>
        <v/>
      </c>
      <c r="V431" s="11">
        <f>IF(OR($C431="",$I431=0),"",CEILING($T431/$I431,1))</f>
        <v/>
      </c>
      <c r="W431" s="6" t="n"/>
      <c r="X431">
        <f>IF(C431="","",LOWER(SUBSTITUTE(SUBSTITUTE(C431," ","-"),"'",""))&amp;".jpg")</f>
        <v/>
      </c>
      <c r="Y431">
        <f>IF(X431="","","/inventory/"&amp;X431)</f>
        <v/>
      </c>
      <c r="Z431">
        <f>IF(O431="Available","available",IF(OR(O431="Rented",O431="Cleaning",O431="Repair"),"unavailable",IF(O431="Retired","unavailable","")))</f>
        <v/>
      </c>
    </row>
    <row r="432" ht="150" customHeight="1">
      <c r="A432" t="inlineStr">
        <is>
          <t>W431</t>
        </is>
      </c>
      <c r="B432" s="6" t="n"/>
      <c r="C432" s="21" t="n"/>
      <c r="D432" s="25" t="n"/>
      <c r="E432" s="6" t="n"/>
      <c r="F432" s="19">
        <f>IF(E432="","",_xlfn.IMAGE(E432))</f>
        <v/>
      </c>
      <c r="G432" s="17" t="n"/>
      <c r="H432" s="39" t="n"/>
      <c r="I432" s="7" t="n"/>
      <c r="J432" s="25" t="n"/>
      <c r="K432" s="28" t="n"/>
      <c r="L432" s="6" t="n"/>
      <c r="M432" s="6" t="n"/>
      <c r="N432" s="6" t="n"/>
      <c r="O432" s="6" t="n"/>
      <c r="P432" s="8" t="n"/>
      <c r="Q432" s="7" t="n"/>
      <c r="R432" s="9" t="n"/>
      <c r="S432" s="10">
        <f>IF($C432="","",$I432*$R432)</f>
        <v/>
      </c>
      <c r="T432" s="10">
        <f>IF($C432="","",(IF($N432="Purchased",$H432,0)+$Q432))</f>
        <v/>
      </c>
      <c r="U432" s="10">
        <f>IF($C432="","",$S432-$T432)</f>
        <v/>
      </c>
      <c r="V432" s="11">
        <f>IF(OR($C432="",$I432=0),"",CEILING($T432/$I432,1))</f>
        <v/>
      </c>
      <c r="W432" s="6" t="n"/>
      <c r="X432">
        <f>IF(C432="","",LOWER(SUBSTITUTE(SUBSTITUTE(C432," ","-"),"'",""))&amp;".jpg")</f>
        <v/>
      </c>
      <c r="Y432">
        <f>IF(X432="","","/inventory/"&amp;X432)</f>
        <v/>
      </c>
      <c r="Z432">
        <f>IF(O432="Available","available",IF(OR(O432="Rented",O432="Cleaning",O432="Repair"),"unavailable",IF(O432="Retired","unavailable","")))</f>
        <v/>
      </c>
    </row>
    <row r="433" ht="150" customHeight="1">
      <c r="A433" t="inlineStr">
        <is>
          <t>W432</t>
        </is>
      </c>
      <c r="B433" s="6" t="n"/>
      <c r="C433" s="21" t="n"/>
      <c r="D433" s="25" t="n"/>
      <c r="E433" s="6" t="n"/>
      <c r="F433" s="19">
        <f>IF(E433="","",_xlfn.IMAGE(E433))</f>
        <v/>
      </c>
      <c r="G433" s="17" t="n"/>
      <c r="H433" s="39" t="n"/>
      <c r="I433" s="7" t="n"/>
      <c r="J433" s="25" t="n"/>
      <c r="K433" s="28" t="n"/>
      <c r="L433" s="6" t="n"/>
      <c r="M433" s="6" t="n"/>
      <c r="N433" s="6" t="n"/>
      <c r="O433" s="6" t="n"/>
      <c r="P433" s="8" t="n"/>
      <c r="Q433" s="7" t="n"/>
      <c r="R433" s="9" t="n"/>
      <c r="S433" s="10">
        <f>IF($C433="","",$I433*$R433)</f>
        <v/>
      </c>
      <c r="T433" s="10">
        <f>IF($C433="","",(IF($N433="Purchased",$H433,0)+$Q433))</f>
        <v/>
      </c>
      <c r="U433" s="10">
        <f>IF($C433="","",$S433-$T433)</f>
        <v/>
      </c>
      <c r="V433" s="11">
        <f>IF(OR($C433="",$I433=0),"",CEILING($T433/$I433,1))</f>
        <v/>
      </c>
      <c r="W433" s="6" t="n"/>
      <c r="X433">
        <f>IF(C433="","",LOWER(SUBSTITUTE(SUBSTITUTE(C433," ","-"),"'",""))&amp;".jpg")</f>
        <v/>
      </c>
      <c r="Y433">
        <f>IF(X433="","","/inventory/"&amp;X433)</f>
        <v/>
      </c>
      <c r="Z433">
        <f>IF(O433="Available","available",IF(OR(O433="Rented",O433="Cleaning",O433="Repair"),"unavailable",IF(O433="Retired","unavailable","")))</f>
        <v/>
      </c>
    </row>
    <row r="434" ht="150" customHeight="1">
      <c r="A434" t="inlineStr">
        <is>
          <t>W433</t>
        </is>
      </c>
      <c r="B434" s="6" t="n"/>
      <c r="C434" s="21" t="n"/>
      <c r="D434" s="25" t="n"/>
      <c r="E434" s="6" t="n"/>
      <c r="F434" s="19">
        <f>IF(E434="","",_xlfn.IMAGE(E434))</f>
        <v/>
      </c>
      <c r="G434" s="17" t="n"/>
      <c r="H434" s="39" t="n"/>
      <c r="I434" s="7" t="n"/>
      <c r="J434" s="25" t="n"/>
      <c r="K434" s="28" t="n"/>
      <c r="L434" s="6" t="n"/>
      <c r="M434" s="6" t="n"/>
      <c r="N434" s="6" t="n"/>
      <c r="O434" s="6" t="n"/>
      <c r="P434" s="8" t="n"/>
      <c r="Q434" s="7" t="n"/>
      <c r="R434" s="9" t="n"/>
      <c r="S434" s="10">
        <f>IF($C434="","",$I434*$R434)</f>
        <v/>
      </c>
      <c r="T434" s="10">
        <f>IF($C434="","",(IF($N434="Purchased",$H434,0)+$Q434))</f>
        <v/>
      </c>
      <c r="U434" s="10">
        <f>IF($C434="","",$S434-$T434)</f>
        <v/>
      </c>
      <c r="V434" s="11">
        <f>IF(OR($C434="",$I434=0),"",CEILING($T434/$I434,1))</f>
        <v/>
      </c>
      <c r="W434" s="6" t="n"/>
      <c r="X434">
        <f>IF(C434="","",LOWER(SUBSTITUTE(SUBSTITUTE(C434," ","-"),"'",""))&amp;".jpg")</f>
        <v/>
      </c>
      <c r="Y434">
        <f>IF(X434="","","/inventory/"&amp;X434)</f>
        <v/>
      </c>
      <c r="Z434">
        <f>IF(O434="Available","available",IF(OR(O434="Rented",O434="Cleaning",O434="Repair"),"unavailable",IF(O434="Retired","unavailable","")))</f>
        <v/>
      </c>
    </row>
    <row r="435" ht="150" customHeight="1">
      <c r="A435" t="inlineStr">
        <is>
          <t>W434</t>
        </is>
      </c>
      <c r="B435" s="6" t="n"/>
      <c r="C435" s="21" t="n"/>
      <c r="D435" s="25" t="n"/>
      <c r="E435" s="6" t="n"/>
      <c r="F435" s="19">
        <f>IF(E435="","",_xlfn.IMAGE(E435))</f>
        <v/>
      </c>
      <c r="G435" s="17" t="n"/>
      <c r="H435" s="39" t="n"/>
      <c r="I435" s="7" t="n"/>
      <c r="J435" s="25" t="n"/>
      <c r="K435" s="28" t="n"/>
      <c r="L435" s="6" t="n"/>
      <c r="M435" s="6" t="n"/>
      <c r="N435" s="6" t="n"/>
      <c r="O435" s="6" t="n"/>
      <c r="P435" s="8" t="n"/>
      <c r="Q435" s="7" t="n"/>
      <c r="R435" s="9" t="n"/>
      <c r="S435" s="10">
        <f>IF($C435="","",$I435*$R435)</f>
        <v/>
      </c>
      <c r="T435" s="10">
        <f>IF($C435="","",(IF($N435="Purchased",$H435,0)+$Q435))</f>
        <v/>
      </c>
      <c r="U435" s="10">
        <f>IF($C435="","",$S435-$T435)</f>
        <v/>
      </c>
      <c r="V435" s="11">
        <f>IF(OR($C435="",$I435=0),"",CEILING($T435/$I435,1))</f>
        <v/>
      </c>
      <c r="W435" s="6" t="n"/>
      <c r="X435">
        <f>IF(C435="","",LOWER(SUBSTITUTE(SUBSTITUTE(C435," ","-"),"'",""))&amp;".jpg")</f>
        <v/>
      </c>
      <c r="Y435">
        <f>IF(X435="","","/inventory/"&amp;X435)</f>
        <v/>
      </c>
      <c r="Z435">
        <f>IF(O435="Available","available",IF(OR(O435="Rented",O435="Cleaning",O435="Repair"),"unavailable",IF(O435="Retired","unavailable","")))</f>
        <v/>
      </c>
    </row>
    <row r="436" ht="150" customHeight="1">
      <c r="A436" t="inlineStr">
        <is>
          <t>W435</t>
        </is>
      </c>
      <c r="B436" s="6" t="n"/>
      <c r="C436" s="21" t="n"/>
      <c r="D436" s="25" t="n"/>
      <c r="E436" s="6" t="n"/>
      <c r="F436" s="19">
        <f>IF(E436="","",_xlfn.IMAGE(E436))</f>
        <v/>
      </c>
      <c r="G436" s="17" t="n"/>
      <c r="H436" s="39" t="n"/>
      <c r="I436" s="7" t="n"/>
      <c r="J436" s="25" t="n"/>
      <c r="K436" s="28" t="n"/>
      <c r="L436" s="6" t="n"/>
      <c r="M436" s="6" t="n"/>
      <c r="N436" s="6" t="n"/>
      <c r="O436" s="6" t="n"/>
      <c r="P436" s="8" t="n"/>
      <c r="Q436" s="7" t="n"/>
      <c r="R436" s="9" t="n"/>
      <c r="S436" s="10">
        <f>IF($C436="","",$I436*$R436)</f>
        <v/>
      </c>
      <c r="T436" s="10">
        <f>IF($C436="","",(IF($N436="Purchased",$H436,0)+$Q436))</f>
        <v/>
      </c>
      <c r="U436" s="10">
        <f>IF($C436="","",$S436-$T436)</f>
        <v/>
      </c>
      <c r="V436" s="11">
        <f>IF(OR($C436="",$I436=0),"",CEILING($T436/$I436,1))</f>
        <v/>
      </c>
      <c r="W436" s="6" t="n"/>
      <c r="X436">
        <f>IF(C436="","",LOWER(SUBSTITUTE(SUBSTITUTE(C436," ","-"),"'",""))&amp;".jpg")</f>
        <v/>
      </c>
      <c r="Y436">
        <f>IF(X436="","","/inventory/"&amp;X436)</f>
        <v/>
      </c>
      <c r="Z436">
        <f>IF(O436="Available","available",IF(OR(O436="Rented",O436="Cleaning",O436="Repair"),"unavailable",IF(O436="Retired","unavailable","")))</f>
        <v/>
      </c>
    </row>
    <row r="437" ht="150" customHeight="1">
      <c r="A437" t="inlineStr">
        <is>
          <t>W436</t>
        </is>
      </c>
      <c r="B437" s="6" t="n"/>
      <c r="C437" s="21" t="n"/>
      <c r="D437" s="25" t="n"/>
      <c r="E437" s="6" t="n"/>
      <c r="F437" s="19">
        <f>IF(E437="","",_xlfn.IMAGE(E437))</f>
        <v/>
      </c>
      <c r="G437" s="17" t="n"/>
      <c r="H437" s="39" t="n"/>
      <c r="I437" s="7" t="n"/>
      <c r="J437" s="25" t="n"/>
      <c r="K437" s="28" t="n"/>
      <c r="L437" s="6" t="n"/>
      <c r="M437" s="6" t="n"/>
      <c r="N437" s="6" t="n"/>
      <c r="O437" s="6" t="n"/>
      <c r="P437" s="8" t="n"/>
      <c r="Q437" s="7" t="n"/>
      <c r="R437" s="9" t="n"/>
      <c r="S437" s="10">
        <f>IF($C437="","",$I437*$R437)</f>
        <v/>
      </c>
      <c r="T437" s="10">
        <f>IF($C437="","",(IF($N437="Purchased",$H437,0)+$Q437))</f>
        <v/>
      </c>
      <c r="U437" s="10">
        <f>IF($C437="","",$S437-$T437)</f>
        <v/>
      </c>
      <c r="V437" s="11">
        <f>IF(OR($C437="",$I437=0),"",CEILING($T437/$I437,1))</f>
        <v/>
      </c>
      <c r="W437" s="6" t="n"/>
      <c r="X437">
        <f>IF(C437="","",LOWER(SUBSTITUTE(SUBSTITUTE(C437," ","-"),"'",""))&amp;".jpg")</f>
        <v/>
      </c>
      <c r="Y437">
        <f>IF(X437="","","/inventory/"&amp;X437)</f>
        <v/>
      </c>
      <c r="Z437">
        <f>IF(O437="Available","available",IF(OR(O437="Rented",O437="Cleaning",O437="Repair"),"unavailable",IF(O437="Retired","unavailable","")))</f>
        <v/>
      </c>
    </row>
    <row r="438" ht="150" customHeight="1">
      <c r="A438" t="inlineStr">
        <is>
          <t>W437</t>
        </is>
      </c>
      <c r="B438" s="6" t="n"/>
      <c r="C438" s="21" t="n"/>
      <c r="D438" s="25" t="n"/>
      <c r="E438" s="6" t="n"/>
      <c r="F438" s="19">
        <f>IF(E438="","",_xlfn.IMAGE(E438))</f>
        <v/>
      </c>
      <c r="G438" s="17" t="n"/>
      <c r="H438" s="39" t="n"/>
      <c r="I438" s="7" t="n"/>
      <c r="J438" s="25" t="n"/>
      <c r="K438" s="28" t="n"/>
      <c r="L438" s="6" t="n"/>
      <c r="M438" s="6" t="n"/>
      <c r="N438" s="6" t="n"/>
      <c r="O438" s="6" t="n"/>
      <c r="P438" s="8" t="n"/>
      <c r="Q438" s="7" t="n"/>
      <c r="R438" s="9" t="n"/>
      <c r="S438" s="10">
        <f>IF($C438="","",$I438*$R438)</f>
        <v/>
      </c>
      <c r="T438" s="10">
        <f>IF($C438="","",(IF($N438="Purchased",$H438,0)+$Q438))</f>
        <v/>
      </c>
      <c r="U438" s="10">
        <f>IF($C438="","",$S438-$T438)</f>
        <v/>
      </c>
      <c r="V438" s="11">
        <f>IF(OR($C438="",$I438=0),"",CEILING($T438/$I438,1))</f>
        <v/>
      </c>
      <c r="W438" s="6" t="n"/>
      <c r="X438">
        <f>IF(C438="","",LOWER(SUBSTITUTE(SUBSTITUTE(C438," ","-"),"'",""))&amp;".jpg")</f>
        <v/>
      </c>
      <c r="Y438">
        <f>IF(X438="","","/inventory/"&amp;X438)</f>
        <v/>
      </c>
      <c r="Z438">
        <f>IF(O438="Available","available",IF(OR(O438="Rented",O438="Cleaning",O438="Repair"),"unavailable",IF(O438="Retired","unavailable","")))</f>
        <v/>
      </c>
    </row>
    <row r="439" ht="150" customHeight="1">
      <c r="A439" t="inlineStr">
        <is>
          <t>W438</t>
        </is>
      </c>
      <c r="B439" s="6" t="n"/>
      <c r="C439" s="21" t="n"/>
      <c r="D439" s="25" t="n"/>
      <c r="E439" s="6" t="n"/>
      <c r="F439" s="19">
        <f>IF(E439="","",_xlfn.IMAGE(E439))</f>
        <v/>
      </c>
      <c r="G439" s="17" t="n"/>
      <c r="H439" s="39" t="n"/>
      <c r="I439" s="7" t="n"/>
      <c r="J439" s="25" t="n"/>
      <c r="K439" s="28" t="n"/>
      <c r="L439" s="6" t="n"/>
      <c r="M439" s="6" t="n"/>
      <c r="N439" s="6" t="n"/>
      <c r="O439" s="6" t="n"/>
      <c r="P439" s="8" t="n"/>
      <c r="Q439" s="7" t="n"/>
      <c r="R439" s="9" t="n"/>
      <c r="S439" s="10">
        <f>IF($C439="","",$I439*$R439)</f>
        <v/>
      </c>
      <c r="T439" s="10">
        <f>IF($C439="","",(IF($N439="Purchased",$H439,0)+$Q439))</f>
        <v/>
      </c>
      <c r="U439" s="10">
        <f>IF($C439="","",$S439-$T439)</f>
        <v/>
      </c>
      <c r="V439" s="11">
        <f>IF(OR($C439="",$I439=0),"",CEILING($T439/$I439,1))</f>
        <v/>
      </c>
      <c r="W439" s="6" t="n"/>
      <c r="X439">
        <f>IF(C439="","",LOWER(SUBSTITUTE(SUBSTITUTE(C439," ","-"),"'",""))&amp;".jpg")</f>
        <v/>
      </c>
      <c r="Y439">
        <f>IF(X439="","","/inventory/"&amp;X439)</f>
        <v/>
      </c>
      <c r="Z439">
        <f>IF(O439="Available","available",IF(OR(O439="Rented",O439="Cleaning",O439="Repair"),"unavailable",IF(O439="Retired","unavailable","")))</f>
        <v/>
      </c>
    </row>
    <row r="440" ht="150" customHeight="1">
      <c r="A440" t="inlineStr">
        <is>
          <t>W439</t>
        </is>
      </c>
      <c r="B440" s="6" t="n"/>
      <c r="C440" s="21" t="n"/>
      <c r="D440" s="25" t="n"/>
      <c r="E440" s="6" t="n"/>
      <c r="F440" s="19">
        <f>IF(E440="","",_xlfn.IMAGE(E440))</f>
        <v/>
      </c>
      <c r="G440" s="17" t="n"/>
      <c r="H440" s="39" t="n"/>
      <c r="I440" s="7" t="n"/>
      <c r="J440" s="25" t="n"/>
      <c r="K440" s="28" t="n"/>
      <c r="L440" s="6" t="n"/>
      <c r="M440" s="6" t="n"/>
      <c r="N440" s="6" t="n"/>
      <c r="O440" s="6" t="n"/>
      <c r="P440" s="8" t="n"/>
      <c r="Q440" s="7" t="n"/>
      <c r="R440" s="9" t="n"/>
      <c r="S440" s="10">
        <f>IF($C440="","",$I440*$R440)</f>
        <v/>
      </c>
      <c r="T440" s="10">
        <f>IF($C440="","",(IF($N440="Purchased",$H440,0)+$Q440))</f>
        <v/>
      </c>
      <c r="U440" s="10">
        <f>IF($C440="","",$S440-$T440)</f>
        <v/>
      </c>
      <c r="V440" s="11">
        <f>IF(OR($C440="",$I440=0),"",CEILING($T440/$I440,1))</f>
        <v/>
      </c>
      <c r="W440" s="6" t="n"/>
      <c r="X440">
        <f>IF(C440="","",LOWER(SUBSTITUTE(SUBSTITUTE(C440," ","-"),"'",""))&amp;".jpg")</f>
        <v/>
      </c>
      <c r="Y440">
        <f>IF(X440="","","/inventory/"&amp;X440)</f>
        <v/>
      </c>
      <c r="Z440">
        <f>IF(O440="Available","available",IF(OR(O440="Rented",O440="Cleaning",O440="Repair"),"unavailable",IF(O440="Retired","unavailable","")))</f>
        <v/>
      </c>
    </row>
    <row r="441" ht="150" customHeight="1">
      <c r="A441" t="inlineStr">
        <is>
          <t>W440</t>
        </is>
      </c>
      <c r="B441" s="6" t="n"/>
      <c r="C441" s="21" t="n"/>
      <c r="D441" s="25" t="n"/>
      <c r="E441" s="6" t="n"/>
      <c r="F441" s="19">
        <f>IF(E441="","",_xlfn.IMAGE(E441))</f>
        <v/>
      </c>
      <c r="G441" s="17" t="n"/>
      <c r="H441" s="39" t="n"/>
      <c r="I441" s="7" t="n"/>
      <c r="J441" s="25" t="n"/>
      <c r="K441" s="28" t="n"/>
      <c r="L441" s="6" t="n"/>
      <c r="M441" s="6" t="n"/>
      <c r="N441" s="6" t="n"/>
      <c r="O441" s="6" t="n"/>
      <c r="P441" s="8" t="n"/>
      <c r="Q441" s="7" t="n"/>
      <c r="R441" s="9" t="n"/>
      <c r="S441" s="10">
        <f>IF($C441="","",$I441*$R441)</f>
        <v/>
      </c>
      <c r="T441" s="10">
        <f>IF($C441="","",(IF($N441="Purchased",$H441,0)+$Q441))</f>
        <v/>
      </c>
      <c r="U441" s="10">
        <f>IF($C441="","",$S441-$T441)</f>
        <v/>
      </c>
      <c r="V441" s="11">
        <f>IF(OR($C441="",$I441=0),"",CEILING($T441/$I441,1))</f>
        <v/>
      </c>
      <c r="W441" s="6" t="n"/>
      <c r="X441">
        <f>IF(C441="","",LOWER(SUBSTITUTE(SUBSTITUTE(C441," ","-"),"'",""))&amp;".jpg")</f>
        <v/>
      </c>
      <c r="Y441">
        <f>IF(X441="","","/inventory/"&amp;X441)</f>
        <v/>
      </c>
      <c r="Z441">
        <f>IF(O441="Available","available",IF(OR(O441="Rented",O441="Cleaning",O441="Repair"),"unavailable",IF(O441="Retired","unavailable","")))</f>
        <v/>
      </c>
    </row>
    <row r="442" ht="150" customHeight="1">
      <c r="A442" t="inlineStr">
        <is>
          <t>W441</t>
        </is>
      </c>
      <c r="B442" s="6" t="n"/>
      <c r="C442" s="21" t="n"/>
      <c r="D442" s="25" t="n"/>
      <c r="E442" s="6" t="n"/>
      <c r="F442" s="19">
        <f>IF(E442="","",_xlfn.IMAGE(E442))</f>
        <v/>
      </c>
      <c r="G442" s="17" t="n"/>
      <c r="H442" s="39" t="n"/>
      <c r="I442" s="7" t="n"/>
      <c r="J442" s="25" t="n"/>
      <c r="K442" s="28" t="n"/>
      <c r="L442" s="6" t="n"/>
      <c r="M442" s="6" t="n"/>
      <c r="N442" s="6" t="n"/>
      <c r="O442" s="6" t="n"/>
      <c r="P442" s="8" t="n"/>
      <c r="Q442" s="7" t="n"/>
      <c r="R442" s="9" t="n"/>
      <c r="S442" s="10">
        <f>IF($C442="","",$I442*$R442)</f>
        <v/>
      </c>
      <c r="T442" s="10">
        <f>IF($C442="","",(IF($N442="Purchased",$H442,0)+$Q442))</f>
        <v/>
      </c>
      <c r="U442" s="10">
        <f>IF($C442="","",$S442-$T442)</f>
        <v/>
      </c>
      <c r="V442" s="11">
        <f>IF(OR($C442="",$I442=0),"",CEILING($T442/$I442,1))</f>
        <v/>
      </c>
      <c r="W442" s="6" t="n"/>
      <c r="X442">
        <f>IF(C442="","",LOWER(SUBSTITUTE(SUBSTITUTE(C442," ","-"),"'",""))&amp;".jpg")</f>
        <v/>
      </c>
      <c r="Y442">
        <f>IF(X442="","","/inventory/"&amp;X442)</f>
        <v/>
      </c>
      <c r="Z442">
        <f>IF(O442="Available","available",IF(OR(O442="Rented",O442="Cleaning",O442="Repair"),"unavailable",IF(O442="Retired","unavailable","")))</f>
        <v/>
      </c>
    </row>
    <row r="443" ht="150" customHeight="1">
      <c r="A443" t="inlineStr">
        <is>
          <t>W442</t>
        </is>
      </c>
      <c r="B443" s="6" t="n"/>
      <c r="C443" s="21" t="n"/>
      <c r="D443" s="25" t="n"/>
      <c r="E443" s="6" t="n"/>
      <c r="F443" s="19">
        <f>IF(E443="","",_xlfn.IMAGE(E443))</f>
        <v/>
      </c>
      <c r="G443" s="17" t="n"/>
      <c r="H443" s="39" t="n"/>
      <c r="I443" s="7" t="n"/>
      <c r="J443" s="25" t="n"/>
      <c r="K443" s="28" t="n"/>
      <c r="L443" s="6" t="n"/>
      <c r="M443" s="6" t="n"/>
      <c r="N443" s="6" t="n"/>
      <c r="O443" s="6" t="n"/>
      <c r="P443" s="8" t="n"/>
      <c r="Q443" s="7" t="n"/>
      <c r="R443" s="9" t="n"/>
      <c r="S443" s="10">
        <f>IF($C443="","",$I443*$R443)</f>
        <v/>
      </c>
      <c r="T443" s="10">
        <f>IF($C443="","",(IF($N443="Purchased",$H443,0)+$Q443))</f>
        <v/>
      </c>
      <c r="U443" s="10">
        <f>IF($C443="","",$S443-$T443)</f>
        <v/>
      </c>
      <c r="V443" s="11">
        <f>IF(OR($C443="",$I443=0),"",CEILING($T443/$I443,1))</f>
        <v/>
      </c>
      <c r="W443" s="6" t="n"/>
      <c r="X443">
        <f>IF(C443="","",LOWER(SUBSTITUTE(SUBSTITUTE(C443," ","-"),"'",""))&amp;".jpg")</f>
        <v/>
      </c>
      <c r="Y443">
        <f>IF(X443="","","/inventory/"&amp;X443)</f>
        <v/>
      </c>
      <c r="Z443">
        <f>IF(O443="Available","available",IF(OR(O443="Rented",O443="Cleaning",O443="Repair"),"unavailable",IF(O443="Retired","unavailable","")))</f>
        <v/>
      </c>
    </row>
    <row r="444" ht="150" customHeight="1">
      <c r="A444" t="inlineStr">
        <is>
          <t>W443</t>
        </is>
      </c>
      <c r="B444" s="6" t="n"/>
      <c r="C444" s="21" t="n"/>
      <c r="D444" s="25" t="n"/>
      <c r="E444" s="6" t="n"/>
      <c r="F444" s="19">
        <f>IF(E444="","",_xlfn.IMAGE(E444))</f>
        <v/>
      </c>
      <c r="G444" s="17" t="n"/>
      <c r="H444" s="39" t="n"/>
      <c r="I444" s="7" t="n"/>
      <c r="J444" s="25" t="n"/>
      <c r="K444" s="28" t="n"/>
      <c r="L444" s="6" t="n"/>
      <c r="M444" s="6" t="n"/>
      <c r="N444" s="6" t="n"/>
      <c r="O444" s="6" t="n"/>
      <c r="P444" s="8" t="n"/>
      <c r="Q444" s="7" t="n"/>
      <c r="R444" s="9" t="n"/>
      <c r="S444" s="10">
        <f>IF($C444="","",$I444*$R444)</f>
        <v/>
      </c>
      <c r="T444" s="10">
        <f>IF($C444="","",(IF($N444="Purchased",$H444,0)+$Q444))</f>
        <v/>
      </c>
      <c r="U444" s="10">
        <f>IF($C444="","",$S444-$T444)</f>
        <v/>
      </c>
      <c r="V444" s="11">
        <f>IF(OR($C444="",$I444=0),"",CEILING($T444/$I444,1))</f>
        <v/>
      </c>
      <c r="W444" s="6" t="n"/>
      <c r="X444">
        <f>IF(C444="","",LOWER(SUBSTITUTE(SUBSTITUTE(C444," ","-"),"'",""))&amp;".jpg")</f>
        <v/>
      </c>
      <c r="Y444">
        <f>IF(X444="","","/inventory/"&amp;X444)</f>
        <v/>
      </c>
      <c r="Z444">
        <f>IF(O444="Available","available",IF(OR(O444="Rented",O444="Cleaning",O444="Repair"),"unavailable",IF(O444="Retired","unavailable","")))</f>
        <v/>
      </c>
    </row>
    <row r="445" ht="150" customHeight="1">
      <c r="A445" t="inlineStr">
        <is>
          <t>W444</t>
        </is>
      </c>
      <c r="B445" s="6" t="n"/>
      <c r="C445" s="21" t="n"/>
      <c r="D445" s="25" t="n"/>
      <c r="E445" s="6" t="n"/>
      <c r="F445" s="19">
        <f>IF(E445="","",_xlfn.IMAGE(E445))</f>
        <v/>
      </c>
      <c r="G445" s="17" t="n"/>
      <c r="H445" s="39" t="n"/>
      <c r="I445" s="7" t="n"/>
      <c r="J445" s="25" t="n"/>
      <c r="K445" s="28" t="n"/>
      <c r="L445" s="6" t="n"/>
      <c r="M445" s="6" t="n"/>
      <c r="N445" s="6" t="n"/>
      <c r="O445" s="6" t="n"/>
      <c r="P445" s="8" t="n"/>
      <c r="Q445" s="7" t="n"/>
      <c r="R445" s="9" t="n"/>
      <c r="S445" s="10">
        <f>IF($C445="","",$I445*$R445)</f>
        <v/>
      </c>
      <c r="T445" s="10">
        <f>IF($C445="","",(IF($N445="Purchased",$H445,0)+$Q445))</f>
        <v/>
      </c>
      <c r="U445" s="10">
        <f>IF($C445="","",$S445-$T445)</f>
        <v/>
      </c>
      <c r="V445" s="11">
        <f>IF(OR($C445="",$I445=0),"",CEILING($T445/$I445,1))</f>
        <v/>
      </c>
      <c r="W445" s="6" t="n"/>
      <c r="X445">
        <f>IF(C445="","",LOWER(SUBSTITUTE(SUBSTITUTE(C445," ","-"),"'",""))&amp;".jpg")</f>
        <v/>
      </c>
      <c r="Y445">
        <f>IF(X445="","","/inventory/"&amp;X445)</f>
        <v/>
      </c>
      <c r="Z445">
        <f>IF(O445="Available","available",IF(OR(O445="Rented",O445="Cleaning",O445="Repair"),"unavailable",IF(O445="Retired","unavailable","")))</f>
        <v/>
      </c>
    </row>
    <row r="446" ht="150" customHeight="1">
      <c r="A446" t="inlineStr">
        <is>
          <t>W445</t>
        </is>
      </c>
      <c r="B446" s="6" t="n"/>
      <c r="C446" s="21" t="n"/>
      <c r="D446" s="25" t="n"/>
      <c r="E446" s="6" t="n"/>
      <c r="F446" s="19">
        <f>IF(E446="","",_xlfn.IMAGE(E446))</f>
        <v/>
      </c>
      <c r="G446" s="17" t="n"/>
      <c r="H446" s="39" t="n"/>
      <c r="I446" s="7" t="n"/>
      <c r="J446" s="25" t="n"/>
      <c r="K446" s="28" t="n"/>
      <c r="L446" s="6" t="n"/>
      <c r="M446" s="6" t="n"/>
      <c r="N446" s="6" t="n"/>
      <c r="O446" s="6" t="n"/>
      <c r="P446" s="8" t="n"/>
      <c r="Q446" s="7" t="n"/>
      <c r="R446" s="9" t="n"/>
      <c r="S446" s="10">
        <f>IF($C446="","",$I446*$R446)</f>
        <v/>
      </c>
      <c r="T446" s="10">
        <f>IF($C446="","",(IF($N446="Purchased",$H446,0)+$Q446))</f>
        <v/>
      </c>
      <c r="U446" s="10">
        <f>IF($C446="","",$S446-$T446)</f>
        <v/>
      </c>
      <c r="V446" s="11">
        <f>IF(OR($C446="",$I446=0),"",CEILING($T446/$I446,1))</f>
        <v/>
      </c>
      <c r="W446" s="6" t="n"/>
      <c r="X446">
        <f>IF(C446="","",LOWER(SUBSTITUTE(SUBSTITUTE(C446," ","-"),"'",""))&amp;".jpg")</f>
        <v/>
      </c>
      <c r="Y446">
        <f>IF(X446="","","/inventory/"&amp;X446)</f>
        <v/>
      </c>
      <c r="Z446">
        <f>IF(O446="Available","available",IF(OR(O446="Rented",O446="Cleaning",O446="Repair"),"unavailable",IF(O446="Retired","unavailable","")))</f>
        <v/>
      </c>
    </row>
    <row r="447" ht="150" customHeight="1">
      <c r="A447" t="inlineStr">
        <is>
          <t>W446</t>
        </is>
      </c>
      <c r="B447" s="6" t="n"/>
      <c r="C447" s="21" t="n"/>
      <c r="D447" s="25" t="n"/>
      <c r="E447" s="6" t="n"/>
      <c r="F447" s="19">
        <f>IF(E447="","",_xlfn.IMAGE(E447))</f>
        <v/>
      </c>
      <c r="G447" s="17" t="n"/>
      <c r="H447" s="39" t="n"/>
      <c r="I447" s="7" t="n"/>
      <c r="J447" s="25" t="n"/>
      <c r="K447" s="28" t="n"/>
      <c r="L447" s="6" t="n"/>
      <c r="M447" s="6" t="n"/>
      <c r="N447" s="6" t="n"/>
      <c r="O447" s="6" t="n"/>
      <c r="P447" s="8" t="n"/>
      <c r="Q447" s="7" t="n"/>
      <c r="R447" s="9" t="n"/>
      <c r="S447" s="10">
        <f>IF($C447="","",$I447*$R447)</f>
        <v/>
      </c>
      <c r="T447" s="10">
        <f>IF($C447="","",(IF($N447="Purchased",$H447,0)+$Q447))</f>
        <v/>
      </c>
      <c r="U447" s="10">
        <f>IF($C447="","",$S447-$T447)</f>
        <v/>
      </c>
      <c r="V447" s="11">
        <f>IF(OR($C447="",$I447=0),"",CEILING($T447/$I447,1))</f>
        <v/>
      </c>
      <c r="W447" s="6" t="n"/>
      <c r="X447">
        <f>IF(C447="","",LOWER(SUBSTITUTE(SUBSTITUTE(C447," ","-"),"'",""))&amp;".jpg")</f>
        <v/>
      </c>
      <c r="Y447">
        <f>IF(X447="","","/inventory/"&amp;X447)</f>
        <v/>
      </c>
      <c r="Z447">
        <f>IF(O447="Available","available",IF(OR(O447="Rented",O447="Cleaning",O447="Repair"),"unavailable",IF(O447="Retired","unavailable","")))</f>
        <v/>
      </c>
    </row>
    <row r="448" ht="150" customHeight="1">
      <c r="A448" t="inlineStr">
        <is>
          <t>W447</t>
        </is>
      </c>
      <c r="B448" s="6" t="n"/>
      <c r="C448" s="21" t="n"/>
      <c r="D448" s="25" t="n"/>
      <c r="E448" s="6" t="n"/>
      <c r="F448" s="19">
        <f>IF(E448="","",_xlfn.IMAGE(E448))</f>
        <v/>
      </c>
      <c r="G448" s="17" t="n"/>
      <c r="H448" s="39" t="n"/>
      <c r="I448" s="7" t="n"/>
      <c r="J448" s="25" t="n"/>
      <c r="K448" s="28" t="n"/>
      <c r="L448" s="6" t="n"/>
      <c r="M448" s="6" t="n"/>
      <c r="N448" s="6" t="n"/>
      <c r="O448" s="6" t="n"/>
      <c r="P448" s="8" t="n"/>
      <c r="Q448" s="7" t="n"/>
      <c r="R448" s="9" t="n"/>
      <c r="S448" s="10">
        <f>IF($C448="","",$I448*$R448)</f>
        <v/>
      </c>
      <c r="T448" s="10">
        <f>IF($C448="","",(IF($N448="Purchased",$H448,0)+$Q448))</f>
        <v/>
      </c>
      <c r="U448" s="10">
        <f>IF($C448="","",$S448-$T448)</f>
        <v/>
      </c>
      <c r="V448" s="11">
        <f>IF(OR($C448="",$I448=0),"",CEILING($T448/$I448,1))</f>
        <v/>
      </c>
      <c r="W448" s="6" t="n"/>
      <c r="X448">
        <f>IF(C448="","",LOWER(SUBSTITUTE(SUBSTITUTE(C448," ","-"),"'",""))&amp;".jpg")</f>
        <v/>
      </c>
      <c r="Y448">
        <f>IF(X448="","","/inventory/"&amp;X448)</f>
        <v/>
      </c>
      <c r="Z448">
        <f>IF(O448="Available","available",IF(OR(O448="Rented",O448="Cleaning",O448="Repair"),"unavailable",IF(O448="Retired","unavailable","")))</f>
        <v/>
      </c>
    </row>
    <row r="449" ht="150" customHeight="1">
      <c r="A449" t="inlineStr">
        <is>
          <t>W448</t>
        </is>
      </c>
      <c r="B449" s="6" t="n"/>
      <c r="C449" s="21" t="n"/>
      <c r="D449" s="25" t="n"/>
      <c r="E449" s="6" t="n"/>
      <c r="F449" s="19">
        <f>IF(E449="","",_xlfn.IMAGE(E449))</f>
        <v/>
      </c>
      <c r="G449" s="17" t="n"/>
      <c r="H449" s="39" t="n"/>
      <c r="I449" s="7" t="n"/>
      <c r="J449" s="25" t="n"/>
      <c r="K449" s="28" t="n"/>
      <c r="L449" s="6" t="n"/>
      <c r="M449" s="6" t="n"/>
      <c r="N449" s="6" t="n"/>
      <c r="O449" s="6" t="n"/>
      <c r="P449" s="8" t="n"/>
      <c r="Q449" s="7" t="n"/>
      <c r="R449" s="9" t="n"/>
      <c r="S449" s="10">
        <f>IF($C449="","",$I449*$R449)</f>
        <v/>
      </c>
      <c r="T449" s="10">
        <f>IF($C449="","",(IF($N449="Purchased",$H449,0)+$Q449))</f>
        <v/>
      </c>
      <c r="U449" s="10">
        <f>IF($C449="","",$S449-$T449)</f>
        <v/>
      </c>
      <c r="V449" s="11">
        <f>IF(OR($C449="",$I449=0),"",CEILING($T449/$I449,1))</f>
        <v/>
      </c>
      <c r="W449" s="6" t="n"/>
      <c r="X449">
        <f>IF(C449="","",LOWER(SUBSTITUTE(SUBSTITUTE(C449," ","-"),"'",""))&amp;".jpg")</f>
        <v/>
      </c>
      <c r="Y449">
        <f>IF(X449="","","/inventory/"&amp;X449)</f>
        <v/>
      </c>
      <c r="Z449">
        <f>IF(O449="Available","available",IF(OR(O449="Rented",O449="Cleaning",O449="Repair"),"unavailable",IF(O449="Retired","unavailable","")))</f>
        <v/>
      </c>
    </row>
    <row r="450" ht="150" customHeight="1">
      <c r="A450" t="inlineStr">
        <is>
          <t>W449</t>
        </is>
      </c>
      <c r="B450" s="6" t="n"/>
      <c r="C450" s="21" t="n"/>
      <c r="D450" s="25" t="n"/>
      <c r="E450" s="6" t="n"/>
      <c r="F450" s="19">
        <f>IF(E450="","",_xlfn.IMAGE(E450))</f>
        <v/>
      </c>
      <c r="G450" s="17" t="n"/>
      <c r="H450" s="39" t="n"/>
      <c r="I450" s="7" t="n"/>
      <c r="J450" s="25" t="n"/>
      <c r="K450" s="28" t="n"/>
      <c r="L450" s="6" t="n"/>
      <c r="M450" s="6" t="n"/>
      <c r="N450" s="6" t="n"/>
      <c r="O450" s="6" t="n"/>
      <c r="P450" s="8" t="n"/>
      <c r="Q450" s="7" t="n"/>
      <c r="R450" s="9" t="n"/>
      <c r="S450" s="10">
        <f>IF($C450="","",$I450*$R450)</f>
        <v/>
      </c>
      <c r="T450" s="10">
        <f>IF($C450="","",(IF($N450="Purchased",$H450,0)+$Q450))</f>
        <v/>
      </c>
      <c r="U450" s="10">
        <f>IF($C450="","",$S450-$T450)</f>
        <v/>
      </c>
      <c r="V450" s="11">
        <f>IF(OR($C450="",$I450=0),"",CEILING($T450/$I450,1))</f>
        <v/>
      </c>
      <c r="W450" s="6" t="n"/>
      <c r="X450">
        <f>IF(C450="","",LOWER(SUBSTITUTE(SUBSTITUTE(C450," ","-"),"'",""))&amp;".jpg")</f>
        <v/>
      </c>
      <c r="Y450">
        <f>IF(X450="","","/inventory/"&amp;X450)</f>
        <v/>
      </c>
      <c r="Z450">
        <f>IF(O450="Available","available",IF(OR(O450="Rented",O450="Cleaning",O450="Repair"),"unavailable",IF(O450="Retired","unavailable","")))</f>
        <v/>
      </c>
    </row>
    <row r="451" ht="150" customHeight="1">
      <c r="A451" t="inlineStr">
        <is>
          <t>W450</t>
        </is>
      </c>
      <c r="B451" s="6" t="n"/>
      <c r="C451" s="21" t="n"/>
      <c r="D451" s="25" t="n"/>
      <c r="E451" s="6" t="n"/>
      <c r="F451" s="19">
        <f>IF(E451="","",_xlfn.IMAGE(E451))</f>
        <v/>
      </c>
      <c r="G451" s="17" t="n"/>
      <c r="H451" s="39" t="n"/>
      <c r="I451" s="7" t="n"/>
      <c r="J451" s="25" t="n"/>
      <c r="K451" s="28" t="n"/>
      <c r="L451" s="6" t="n"/>
      <c r="M451" s="6" t="n"/>
      <c r="N451" s="6" t="n"/>
      <c r="O451" s="6" t="n"/>
      <c r="P451" s="8" t="n"/>
      <c r="Q451" s="7" t="n"/>
      <c r="R451" s="9" t="n"/>
      <c r="S451" s="10">
        <f>IF($C451="","",$I451*$R451)</f>
        <v/>
      </c>
      <c r="T451" s="10">
        <f>IF($C451="","",(IF($N451="Purchased",$H451,0)+$Q451))</f>
        <v/>
      </c>
      <c r="U451" s="10">
        <f>IF($C451="","",$S451-$T451)</f>
        <v/>
      </c>
      <c r="V451" s="11">
        <f>IF(OR($C451="",$I451=0),"",CEILING($T451/$I451,1))</f>
        <v/>
      </c>
      <c r="W451" s="6" t="n"/>
      <c r="X451">
        <f>IF(C451="","",LOWER(SUBSTITUTE(SUBSTITUTE(C451," ","-"),"'",""))&amp;".jpg")</f>
        <v/>
      </c>
      <c r="Y451">
        <f>IF(X451="","","/inventory/"&amp;X451)</f>
        <v/>
      </c>
      <c r="Z451">
        <f>IF(O451="Available","available",IF(OR(O451="Rented",O451="Cleaning",O451="Repair"),"unavailable",IF(O451="Retired","unavailable","")))</f>
        <v/>
      </c>
    </row>
    <row r="452" ht="150" customHeight="1">
      <c r="A452" t="inlineStr">
        <is>
          <t>W451</t>
        </is>
      </c>
      <c r="B452" s="6" t="n"/>
      <c r="C452" s="21" t="n"/>
      <c r="D452" s="25" t="n"/>
      <c r="E452" s="6" t="n"/>
      <c r="F452" s="19">
        <f>IF(E452="","",_xlfn.IMAGE(E452))</f>
        <v/>
      </c>
      <c r="G452" s="17" t="n"/>
      <c r="H452" s="39" t="n"/>
      <c r="I452" s="7" t="n"/>
      <c r="J452" s="25" t="n"/>
      <c r="K452" s="28" t="n"/>
      <c r="L452" s="6" t="n"/>
      <c r="M452" s="6" t="n"/>
      <c r="N452" s="6" t="n"/>
      <c r="O452" s="6" t="n"/>
      <c r="P452" s="8" t="n"/>
      <c r="Q452" s="7" t="n"/>
      <c r="R452" s="9" t="n"/>
      <c r="S452" s="10">
        <f>IF($C452="","",$I452*$R452)</f>
        <v/>
      </c>
      <c r="T452" s="10">
        <f>IF($C452="","",(IF($N452="Purchased",$H452,0)+$Q452))</f>
        <v/>
      </c>
      <c r="U452" s="10">
        <f>IF($C452="","",$S452-$T452)</f>
        <v/>
      </c>
      <c r="V452" s="11">
        <f>IF(OR($C452="",$I452=0),"",CEILING($T452/$I452,1))</f>
        <v/>
      </c>
      <c r="W452" s="6" t="n"/>
      <c r="X452">
        <f>IF(C452="","",LOWER(SUBSTITUTE(SUBSTITUTE(C452," ","-"),"'",""))&amp;".jpg")</f>
        <v/>
      </c>
      <c r="Y452">
        <f>IF(X452="","","/inventory/"&amp;X452)</f>
        <v/>
      </c>
      <c r="Z452">
        <f>IF(O452="Available","available",IF(OR(O452="Rented",O452="Cleaning",O452="Repair"),"unavailable",IF(O452="Retired","unavailable","")))</f>
        <v/>
      </c>
    </row>
    <row r="453" ht="150" customHeight="1">
      <c r="A453" t="inlineStr">
        <is>
          <t>W452</t>
        </is>
      </c>
      <c r="B453" s="6" t="n"/>
      <c r="C453" s="21" t="n"/>
      <c r="D453" s="25" t="n"/>
      <c r="E453" s="6" t="n"/>
      <c r="F453" s="19">
        <f>IF(E453="","",_xlfn.IMAGE(E453))</f>
        <v/>
      </c>
      <c r="G453" s="17" t="n"/>
      <c r="H453" s="39" t="n"/>
      <c r="I453" s="7" t="n"/>
      <c r="J453" s="25" t="n"/>
      <c r="K453" s="28" t="n"/>
      <c r="L453" s="6" t="n"/>
      <c r="M453" s="6" t="n"/>
      <c r="N453" s="6" t="n"/>
      <c r="O453" s="6" t="n"/>
      <c r="P453" s="8" t="n"/>
      <c r="Q453" s="7" t="n"/>
      <c r="R453" s="9" t="n"/>
      <c r="S453" s="10">
        <f>IF($C453="","",$I453*$R453)</f>
        <v/>
      </c>
      <c r="T453" s="10">
        <f>IF($C453="","",(IF($N453="Purchased",$H453,0)+$Q453))</f>
        <v/>
      </c>
      <c r="U453" s="10">
        <f>IF($C453="","",$S453-$T453)</f>
        <v/>
      </c>
      <c r="V453" s="11">
        <f>IF(OR($C453="",$I453=0),"",CEILING($T453/$I453,1))</f>
        <v/>
      </c>
      <c r="W453" s="6" t="n"/>
      <c r="X453">
        <f>IF(C453="","",LOWER(SUBSTITUTE(SUBSTITUTE(C453," ","-"),"'",""))&amp;".jpg")</f>
        <v/>
      </c>
      <c r="Y453">
        <f>IF(X453="","","/inventory/"&amp;X453)</f>
        <v/>
      </c>
      <c r="Z453">
        <f>IF(O453="Available","available",IF(OR(O453="Rented",O453="Cleaning",O453="Repair"),"unavailable",IF(O453="Retired","unavailable","")))</f>
        <v/>
      </c>
    </row>
    <row r="454" ht="150" customHeight="1">
      <c r="A454" t="inlineStr">
        <is>
          <t>W453</t>
        </is>
      </c>
      <c r="B454" s="6" t="n"/>
      <c r="C454" s="21" t="n"/>
      <c r="D454" s="25" t="n"/>
      <c r="E454" s="6" t="n"/>
      <c r="F454" s="19">
        <f>IF(E454="","",_xlfn.IMAGE(E454))</f>
        <v/>
      </c>
      <c r="G454" s="17" t="n"/>
      <c r="H454" s="39" t="n"/>
      <c r="I454" s="7" t="n"/>
      <c r="J454" s="25" t="n"/>
      <c r="K454" s="28" t="n"/>
      <c r="L454" s="6" t="n"/>
      <c r="M454" s="6" t="n"/>
      <c r="N454" s="6" t="n"/>
      <c r="O454" s="6" t="n"/>
      <c r="P454" s="8" t="n"/>
      <c r="Q454" s="7" t="n"/>
      <c r="R454" s="9" t="n"/>
      <c r="S454" s="10">
        <f>IF($C454="","",$I454*$R454)</f>
        <v/>
      </c>
      <c r="T454" s="10">
        <f>IF($C454="","",(IF($N454="Purchased",$H454,0)+$Q454))</f>
        <v/>
      </c>
      <c r="U454" s="10">
        <f>IF($C454="","",$S454-$T454)</f>
        <v/>
      </c>
      <c r="V454" s="11">
        <f>IF(OR($C454="",$I454=0),"",CEILING($T454/$I454,1))</f>
        <v/>
      </c>
      <c r="W454" s="6" t="n"/>
      <c r="X454">
        <f>IF(C454="","",LOWER(SUBSTITUTE(SUBSTITUTE(C454," ","-"),"'",""))&amp;".jpg")</f>
        <v/>
      </c>
      <c r="Y454">
        <f>IF(X454="","","/inventory/"&amp;X454)</f>
        <v/>
      </c>
      <c r="Z454">
        <f>IF(O454="Available","available",IF(OR(O454="Rented",O454="Cleaning",O454="Repair"),"unavailable",IF(O454="Retired","unavailable","")))</f>
        <v/>
      </c>
    </row>
    <row r="455" ht="150" customHeight="1">
      <c r="A455" t="inlineStr">
        <is>
          <t>W454</t>
        </is>
      </c>
      <c r="B455" s="6" t="n"/>
      <c r="C455" s="21" t="n"/>
      <c r="D455" s="25" t="n"/>
      <c r="E455" s="6" t="n"/>
      <c r="F455" s="19">
        <f>IF(E455="","",_xlfn.IMAGE(E455))</f>
        <v/>
      </c>
      <c r="G455" s="17" t="n"/>
      <c r="H455" s="39" t="n"/>
      <c r="I455" s="7" t="n"/>
      <c r="J455" s="25" t="n"/>
      <c r="K455" s="28" t="n"/>
      <c r="L455" s="6" t="n"/>
      <c r="M455" s="6" t="n"/>
      <c r="N455" s="6" t="n"/>
      <c r="O455" s="6" t="n"/>
      <c r="P455" s="8" t="n"/>
      <c r="Q455" s="7" t="n"/>
      <c r="R455" s="9" t="n"/>
      <c r="S455" s="10">
        <f>IF($C455="","",$I455*$R455)</f>
        <v/>
      </c>
      <c r="T455" s="10">
        <f>IF($C455="","",(IF($N455="Purchased",$H455,0)+$Q455))</f>
        <v/>
      </c>
      <c r="U455" s="10">
        <f>IF($C455="","",$S455-$T455)</f>
        <v/>
      </c>
      <c r="V455" s="11">
        <f>IF(OR($C455="",$I455=0),"",CEILING($T455/$I455,1))</f>
        <v/>
      </c>
      <c r="W455" s="6" t="n"/>
      <c r="X455">
        <f>IF(C455="","",LOWER(SUBSTITUTE(SUBSTITUTE(C455," ","-"),"'",""))&amp;".jpg")</f>
        <v/>
      </c>
      <c r="Y455">
        <f>IF(X455="","","/inventory/"&amp;X455)</f>
        <v/>
      </c>
      <c r="Z455">
        <f>IF(O455="Available","available",IF(OR(O455="Rented",O455="Cleaning",O455="Repair"),"unavailable",IF(O455="Retired","unavailable","")))</f>
        <v/>
      </c>
    </row>
    <row r="456" ht="150" customHeight="1">
      <c r="A456" t="inlineStr">
        <is>
          <t>W455</t>
        </is>
      </c>
      <c r="B456" s="6" t="n"/>
      <c r="C456" s="21" t="n"/>
      <c r="D456" s="25" t="n"/>
      <c r="E456" s="6" t="n"/>
      <c r="F456" s="19">
        <f>IF(E456="","",_xlfn.IMAGE(E456))</f>
        <v/>
      </c>
      <c r="G456" s="17" t="n"/>
      <c r="H456" s="39" t="n"/>
      <c r="I456" s="7" t="n"/>
      <c r="J456" s="25" t="n"/>
      <c r="K456" s="28" t="n"/>
      <c r="L456" s="6" t="n"/>
      <c r="M456" s="6" t="n"/>
      <c r="N456" s="6" t="n"/>
      <c r="O456" s="6" t="n"/>
      <c r="P456" s="8" t="n"/>
      <c r="Q456" s="7" t="n"/>
      <c r="R456" s="9" t="n"/>
      <c r="S456" s="10">
        <f>IF($C456="","",$I456*$R456)</f>
        <v/>
      </c>
      <c r="T456" s="10">
        <f>IF($C456="","",(IF($N456="Purchased",$H456,0)+$Q456))</f>
        <v/>
      </c>
      <c r="U456" s="10">
        <f>IF($C456="","",$S456-$T456)</f>
        <v/>
      </c>
      <c r="V456" s="11">
        <f>IF(OR($C456="",$I456=0),"",CEILING($T456/$I456,1))</f>
        <v/>
      </c>
      <c r="W456" s="6" t="n"/>
      <c r="X456">
        <f>IF(C456="","",LOWER(SUBSTITUTE(SUBSTITUTE(C456," ","-"),"'",""))&amp;".jpg")</f>
        <v/>
      </c>
      <c r="Y456">
        <f>IF(X456="","","/inventory/"&amp;X456)</f>
        <v/>
      </c>
      <c r="Z456">
        <f>IF(O456="Available","available",IF(OR(O456="Rented",O456="Cleaning",O456="Repair"),"unavailable",IF(O456="Retired","unavailable","")))</f>
        <v/>
      </c>
    </row>
    <row r="457" ht="150" customHeight="1">
      <c r="A457" t="inlineStr">
        <is>
          <t>W456</t>
        </is>
      </c>
      <c r="B457" s="6" t="n"/>
      <c r="C457" s="21" t="n"/>
      <c r="D457" s="25" t="n"/>
      <c r="E457" s="6" t="n"/>
      <c r="F457" s="19">
        <f>IF(E457="","",_xlfn.IMAGE(E457))</f>
        <v/>
      </c>
      <c r="G457" s="17" t="n"/>
      <c r="H457" s="39" t="n"/>
      <c r="I457" s="7" t="n"/>
      <c r="J457" s="25" t="n"/>
      <c r="K457" s="28" t="n"/>
      <c r="L457" s="6" t="n"/>
      <c r="M457" s="6" t="n"/>
      <c r="N457" s="6" t="n"/>
      <c r="O457" s="6" t="n"/>
      <c r="P457" s="8" t="n"/>
      <c r="Q457" s="7" t="n"/>
      <c r="R457" s="9" t="n"/>
      <c r="S457" s="10">
        <f>IF($C457="","",$I457*$R457)</f>
        <v/>
      </c>
      <c r="T457" s="10">
        <f>IF($C457="","",(IF($N457="Purchased",$H457,0)+$Q457))</f>
        <v/>
      </c>
      <c r="U457" s="10">
        <f>IF($C457="","",$S457-$T457)</f>
        <v/>
      </c>
      <c r="V457" s="11">
        <f>IF(OR($C457="",$I457=0),"",CEILING($T457/$I457,1))</f>
        <v/>
      </c>
      <c r="W457" s="6" t="n"/>
      <c r="X457">
        <f>IF(C457="","",LOWER(SUBSTITUTE(SUBSTITUTE(C457," ","-"),"'",""))&amp;".jpg")</f>
        <v/>
      </c>
      <c r="Y457">
        <f>IF(X457="","","/inventory/"&amp;X457)</f>
        <v/>
      </c>
      <c r="Z457">
        <f>IF(O457="Available","available",IF(OR(O457="Rented",O457="Cleaning",O457="Repair"),"unavailable",IF(O457="Retired","unavailable","")))</f>
        <v/>
      </c>
    </row>
    <row r="458" ht="150" customHeight="1">
      <c r="A458" t="inlineStr">
        <is>
          <t>W457</t>
        </is>
      </c>
      <c r="B458" s="6" t="n"/>
      <c r="C458" s="21" t="n"/>
      <c r="D458" s="25" t="n"/>
      <c r="E458" s="6" t="n"/>
      <c r="F458" s="19">
        <f>IF(E458="","",_xlfn.IMAGE(E458))</f>
        <v/>
      </c>
      <c r="G458" s="17" t="n"/>
      <c r="H458" s="39" t="n"/>
      <c r="I458" s="7" t="n"/>
      <c r="J458" s="25" t="n"/>
      <c r="K458" s="28" t="n"/>
      <c r="L458" s="6" t="n"/>
      <c r="M458" s="6" t="n"/>
      <c r="N458" s="6" t="n"/>
      <c r="O458" s="6" t="n"/>
      <c r="P458" s="8" t="n"/>
      <c r="Q458" s="7" t="n"/>
      <c r="R458" s="9" t="n"/>
      <c r="S458" s="10">
        <f>IF($C458="","",$I458*$R458)</f>
        <v/>
      </c>
      <c r="T458" s="10">
        <f>IF($C458="","",(IF($N458="Purchased",$H458,0)+$Q458))</f>
        <v/>
      </c>
      <c r="U458" s="10">
        <f>IF($C458="","",$S458-$T458)</f>
        <v/>
      </c>
      <c r="V458" s="11">
        <f>IF(OR($C458="",$I458=0),"",CEILING($T458/$I458,1))</f>
        <v/>
      </c>
      <c r="W458" s="6" t="n"/>
      <c r="X458">
        <f>IF(C458="","",LOWER(SUBSTITUTE(SUBSTITUTE(C458," ","-"),"'",""))&amp;".jpg")</f>
        <v/>
      </c>
      <c r="Y458">
        <f>IF(X458="","","/inventory/"&amp;X458)</f>
        <v/>
      </c>
      <c r="Z458">
        <f>IF(O458="Available","available",IF(OR(O458="Rented",O458="Cleaning",O458="Repair"),"unavailable",IF(O458="Retired","unavailable","")))</f>
        <v/>
      </c>
    </row>
    <row r="459" ht="150" customHeight="1">
      <c r="A459" t="inlineStr">
        <is>
          <t>W458</t>
        </is>
      </c>
      <c r="B459" s="6" t="n"/>
      <c r="C459" s="21" t="n"/>
      <c r="D459" s="25" t="n"/>
      <c r="E459" s="6" t="n"/>
      <c r="F459" s="19">
        <f>IF(E459="","",_xlfn.IMAGE(E459))</f>
        <v/>
      </c>
      <c r="G459" s="17" t="n"/>
      <c r="H459" s="39" t="n"/>
      <c r="I459" s="7" t="n"/>
      <c r="J459" s="25" t="n"/>
      <c r="K459" s="28" t="n"/>
      <c r="L459" s="6" t="n"/>
      <c r="M459" s="6" t="n"/>
      <c r="N459" s="6" t="n"/>
      <c r="O459" s="6" t="n"/>
      <c r="P459" s="8" t="n"/>
      <c r="Q459" s="7" t="n"/>
      <c r="R459" s="9" t="n"/>
      <c r="S459" s="10">
        <f>IF($C459="","",$I459*$R459)</f>
        <v/>
      </c>
      <c r="T459" s="10">
        <f>IF($C459="","",(IF($N459="Purchased",$H459,0)+$Q459))</f>
        <v/>
      </c>
      <c r="U459" s="10">
        <f>IF($C459="","",$S459-$T459)</f>
        <v/>
      </c>
      <c r="V459" s="11">
        <f>IF(OR($C459="",$I459=0),"",CEILING($T459/$I459,1))</f>
        <v/>
      </c>
      <c r="W459" s="6" t="n"/>
      <c r="X459">
        <f>IF(C459="","",LOWER(SUBSTITUTE(SUBSTITUTE(C459," ","-"),"'",""))&amp;".jpg")</f>
        <v/>
      </c>
      <c r="Y459">
        <f>IF(X459="","","/inventory/"&amp;X459)</f>
        <v/>
      </c>
      <c r="Z459">
        <f>IF(O459="Available","available",IF(OR(O459="Rented",O459="Cleaning",O459="Repair"),"unavailable",IF(O459="Retired","unavailable","")))</f>
        <v/>
      </c>
    </row>
    <row r="460" ht="150" customHeight="1">
      <c r="A460" t="inlineStr">
        <is>
          <t>W459</t>
        </is>
      </c>
      <c r="B460" s="6" t="n"/>
      <c r="C460" s="21" t="n"/>
      <c r="D460" s="25" t="n"/>
      <c r="E460" s="6" t="n"/>
      <c r="F460" s="19">
        <f>IF(E460="","",_xlfn.IMAGE(E460))</f>
        <v/>
      </c>
      <c r="G460" s="17" t="n"/>
      <c r="H460" s="39" t="n"/>
      <c r="I460" s="7" t="n"/>
      <c r="J460" s="25" t="n"/>
      <c r="K460" s="28" t="n"/>
      <c r="L460" s="6" t="n"/>
      <c r="M460" s="6" t="n"/>
      <c r="N460" s="6" t="n"/>
      <c r="O460" s="6" t="n"/>
      <c r="P460" s="8" t="n"/>
      <c r="Q460" s="7" t="n"/>
      <c r="R460" s="9" t="n"/>
      <c r="S460" s="10">
        <f>IF($C460="","",$I460*$R460)</f>
        <v/>
      </c>
      <c r="T460" s="10">
        <f>IF($C460="","",(IF($N460="Purchased",$H460,0)+$Q460))</f>
        <v/>
      </c>
      <c r="U460" s="10">
        <f>IF($C460="","",$S460-$T460)</f>
        <v/>
      </c>
      <c r="V460" s="11">
        <f>IF(OR($C460="",$I460=0),"",CEILING($T460/$I460,1))</f>
        <v/>
      </c>
      <c r="W460" s="6" t="n"/>
      <c r="X460">
        <f>IF(C460="","",LOWER(SUBSTITUTE(SUBSTITUTE(C460," ","-"),"'",""))&amp;".jpg")</f>
        <v/>
      </c>
      <c r="Y460">
        <f>IF(X460="","","/inventory/"&amp;X460)</f>
        <v/>
      </c>
      <c r="Z460">
        <f>IF(O460="Available","available",IF(OR(O460="Rented",O460="Cleaning",O460="Repair"),"unavailable",IF(O460="Retired","unavailable","")))</f>
        <v/>
      </c>
    </row>
    <row r="461" ht="150" customHeight="1">
      <c r="A461" t="inlineStr">
        <is>
          <t>W460</t>
        </is>
      </c>
      <c r="B461" s="6" t="n"/>
      <c r="C461" s="21" t="n"/>
      <c r="D461" s="25" t="n"/>
      <c r="E461" s="6" t="n"/>
      <c r="F461" s="19">
        <f>IF(E461="","",_xlfn.IMAGE(E461))</f>
        <v/>
      </c>
      <c r="G461" s="17" t="n"/>
      <c r="H461" s="39" t="n"/>
      <c r="I461" s="7" t="n"/>
      <c r="J461" s="25" t="n"/>
      <c r="K461" s="28" t="n"/>
      <c r="L461" s="6" t="n"/>
      <c r="M461" s="6" t="n"/>
      <c r="N461" s="6" t="n"/>
      <c r="O461" s="6" t="n"/>
      <c r="P461" s="8" t="n"/>
      <c r="Q461" s="7" t="n"/>
      <c r="R461" s="9" t="n"/>
      <c r="S461" s="10">
        <f>IF($C461="","",$I461*$R461)</f>
        <v/>
      </c>
      <c r="T461" s="10">
        <f>IF($C461="","",(IF($N461="Purchased",$H461,0)+$Q461))</f>
        <v/>
      </c>
      <c r="U461" s="10">
        <f>IF($C461="","",$S461-$T461)</f>
        <v/>
      </c>
      <c r="V461" s="11">
        <f>IF(OR($C461="",$I461=0),"",CEILING($T461/$I461,1))</f>
        <v/>
      </c>
      <c r="W461" s="6" t="n"/>
      <c r="X461">
        <f>IF(C461="","",LOWER(SUBSTITUTE(SUBSTITUTE(C461," ","-"),"'",""))&amp;".jpg")</f>
        <v/>
      </c>
      <c r="Y461">
        <f>IF(X461="","","/inventory/"&amp;X461)</f>
        <v/>
      </c>
      <c r="Z461">
        <f>IF(O461="Available","available",IF(OR(O461="Rented",O461="Cleaning",O461="Repair"),"unavailable",IF(O461="Retired","unavailable","")))</f>
        <v/>
      </c>
    </row>
    <row r="462" ht="150" customHeight="1">
      <c r="A462" t="inlineStr">
        <is>
          <t>W461</t>
        </is>
      </c>
      <c r="B462" s="6" t="n"/>
      <c r="C462" s="21" t="n"/>
      <c r="D462" s="25" t="n"/>
      <c r="E462" s="6" t="n"/>
      <c r="F462" s="19">
        <f>IF(E462="","",_xlfn.IMAGE(E462))</f>
        <v/>
      </c>
      <c r="G462" s="17" t="n"/>
      <c r="H462" s="39" t="n"/>
      <c r="I462" s="7" t="n"/>
      <c r="J462" s="25" t="n"/>
      <c r="K462" s="28" t="n"/>
      <c r="L462" s="6" t="n"/>
      <c r="M462" s="6" t="n"/>
      <c r="N462" s="6" t="n"/>
      <c r="O462" s="6" t="n"/>
      <c r="P462" s="8" t="n"/>
      <c r="Q462" s="7" t="n"/>
      <c r="R462" s="9" t="n"/>
      <c r="S462" s="10">
        <f>IF($C462="","",$I462*$R462)</f>
        <v/>
      </c>
      <c r="T462" s="10">
        <f>IF($C462="","",(IF($N462="Purchased",$H462,0)+$Q462))</f>
        <v/>
      </c>
      <c r="U462" s="10">
        <f>IF($C462="","",$S462-$T462)</f>
        <v/>
      </c>
      <c r="V462" s="11">
        <f>IF(OR($C462="",$I462=0),"",CEILING($T462/$I462,1))</f>
        <v/>
      </c>
      <c r="W462" s="6" t="n"/>
      <c r="X462">
        <f>IF(C462="","",LOWER(SUBSTITUTE(SUBSTITUTE(C462," ","-"),"'",""))&amp;".jpg")</f>
        <v/>
      </c>
      <c r="Y462">
        <f>IF(X462="","","/inventory/"&amp;X462)</f>
        <v/>
      </c>
      <c r="Z462">
        <f>IF(O462="Available","available",IF(OR(O462="Rented",O462="Cleaning",O462="Repair"),"unavailable",IF(O462="Retired","unavailable","")))</f>
        <v/>
      </c>
    </row>
    <row r="463" ht="150" customHeight="1">
      <c r="A463" t="inlineStr">
        <is>
          <t>W462</t>
        </is>
      </c>
      <c r="B463" s="6" t="n"/>
      <c r="C463" s="21" t="n"/>
      <c r="D463" s="25" t="n"/>
      <c r="E463" s="6" t="n"/>
      <c r="F463" s="19">
        <f>IF(E463="","",_xlfn.IMAGE(E463))</f>
        <v/>
      </c>
      <c r="G463" s="17" t="n"/>
      <c r="H463" s="39" t="n"/>
      <c r="I463" s="7" t="n"/>
      <c r="J463" s="25" t="n"/>
      <c r="K463" s="28" t="n"/>
      <c r="L463" s="6" t="n"/>
      <c r="M463" s="6" t="n"/>
      <c r="N463" s="6" t="n"/>
      <c r="O463" s="6" t="n"/>
      <c r="P463" s="8" t="n"/>
      <c r="Q463" s="7" t="n"/>
      <c r="R463" s="9" t="n"/>
      <c r="S463" s="10">
        <f>IF($C463="","",$I463*$R463)</f>
        <v/>
      </c>
      <c r="T463" s="10">
        <f>IF($C463="","",(IF($N463="Purchased",$H463,0)+$Q463))</f>
        <v/>
      </c>
      <c r="U463" s="10">
        <f>IF($C463="","",$S463-$T463)</f>
        <v/>
      </c>
      <c r="V463" s="11">
        <f>IF(OR($C463="",$I463=0),"",CEILING($T463/$I463,1))</f>
        <v/>
      </c>
      <c r="W463" s="6" t="n"/>
      <c r="X463">
        <f>IF(C463="","",LOWER(SUBSTITUTE(SUBSTITUTE(C463," ","-"),"'",""))&amp;".jpg")</f>
        <v/>
      </c>
      <c r="Y463">
        <f>IF(X463="","","/inventory/"&amp;X463)</f>
        <v/>
      </c>
      <c r="Z463">
        <f>IF(O463="Available","available",IF(OR(O463="Rented",O463="Cleaning",O463="Repair"),"unavailable",IF(O463="Retired","unavailable","")))</f>
        <v/>
      </c>
    </row>
    <row r="464" ht="150" customHeight="1">
      <c r="A464" t="inlineStr">
        <is>
          <t>W463</t>
        </is>
      </c>
      <c r="B464" s="6" t="n"/>
      <c r="C464" s="21" t="n"/>
      <c r="D464" s="25" t="n"/>
      <c r="E464" s="6" t="n"/>
      <c r="F464" s="19">
        <f>IF(E464="","",_xlfn.IMAGE(E464))</f>
        <v/>
      </c>
      <c r="G464" s="17" t="n"/>
      <c r="H464" s="39" t="n"/>
      <c r="I464" s="7" t="n"/>
      <c r="J464" s="25" t="n"/>
      <c r="K464" s="28" t="n"/>
      <c r="L464" s="6" t="n"/>
      <c r="M464" s="6" t="n"/>
      <c r="N464" s="6" t="n"/>
      <c r="O464" s="6" t="n"/>
      <c r="P464" s="8" t="n"/>
      <c r="Q464" s="7" t="n"/>
      <c r="R464" s="9" t="n"/>
      <c r="S464" s="10">
        <f>IF($C464="","",$I464*$R464)</f>
        <v/>
      </c>
      <c r="T464" s="10">
        <f>IF($C464="","",(IF($N464="Purchased",$H464,0)+$Q464))</f>
        <v/>
      </c>
      <c r="U464" s="10">
        <f>IF($C464="","",$S464-$T464)</f>
        <v/>
      </c>
      <c r="V464" s="11">
        <f>IF(OR($C464="",$I464=0),"",CEILING($T464/$I464,1))</f>
        <v/>
      </c>
      <c r="W464" s="6" t="n"/>
      <c r="X464">
        <f>IF(C464="","",LOWER(SUBSTITUTE(SUBSTITUTE(C464," ","-"),"'",""))&amp;".jpg")</f>
        <v/>
      </c>
      <c r="Y464">
        <f>IF(X464="","","/inventory/"&amp;X464)</f>
        <v/>
      </c>
      <c r="Z464">
        <f>IF(O464="Available","available",IF(OR(O464="Rented",O464="Cleaning",O464="Repair"),"unavailable",IF(O464="Retired","unavailable","")))</f>
        <v/>
      </c>
    </row>
    <row r="465" ht="150" customHeight="1">
      <c r="A465" t="inlineStr">
        <is>
          <t>W464</t>
        </is>
      </c>
      <c r="B465" s="6" t="n"/>
      <c r="C465" s="21" t="n"/>
      <c r="D465" s="25" t="n"/>
      <c r="E465" s="6" t="n"/>
      <c r="F465" s="19">
        <f>IF(E465="","",_xlfn.IMAGE(E465))</f>
        <v/>
      </c>
      <c r="G465" s="17" t="n"/>
      <c r="H465" s="39" t="n"/>
      <c r="I465" s="7" t="n"/>
      <c r="J465" s="25" t="n"/>
      <c r="K465" s="28" t="n"/>
      <c r="L465" s="6" t="n"/>
      <c r="M465" s="6" t="n"/>
      <c r="N465" s="6" t="n"/>
      <c r="O465" s="6" t="n"/>
      <c r="P465" s="8" t="n"/>
      <c r="Q465" s="7" t="n"/>
      <c r="R465" s="9" t="n"/>
      <c r="S465" s="10">
        <f>IF($C465="","",$I465*$R465)</f>
        <v/>
      </c>
      <c r="T465" s="10">
        <f>IF($C465="","",(IF($N465="Purchased",$H465,0)+$Q465))</f>
        <v/>
      </c>
      <c r="U465" s="10">
        <f>IF($C465="","",$S465-$T465)</f>
        <v/>
      </c>
      <c r="V465" s="11">
        <f>IF(OR($C465="",$I465=0),"",CEILING($T465/$I465,1))</f>
        <v/>
      </c>
      <c r="W465" s="6" t="n"/>
      <c r="X465">
        <f>IF(C465="","",LOWER(SUBSTITUTE(SUBSTITUTE(C465," ","-"),"'",""))&amp;".jpg")</f>
        <v/>
      </c>
      <c r="Y465">
        <f>IF(X465="","","/inventory/"&amp;X465)</f>
        <v/>
      </c>
      <c r="Z465">
        <f>IF(O465="Available","available",IF(OR(O465="Rented",O465="Cleaning",O465="Repair"),"unavailable",IF(O465="Retired","unavailable","")))</f>
        <v/>
      </c>
    </row>
    <row r="466" ht="150" customHeight="1">
      <c r="A466" t="inlineStr">
        <is>
          <t>W465</t>
        </is>
      </c>
      <c r="B466" s="6" t="n"/>
      <c r="C466" s="21" t="n"/>
      <c r="D466" s="25" t="n"/>
      <c r="E466" s="6" t="n"/>
      <c r="F466" s="19">
        <f>IF(E466="","",_xlfn.IMAGE(E466))</f>
        <v/>
      </c>
      <c r="G466" s="17" t="n"/>
      <c r="H466" s="39" t="n"/>
      <c r="I466" s="7" t="n"/>
      <c r="J466" s="25" t="n"/>
      <c r="K466" s="28" t="n"/>
      <c r="L466" s="6" t="n"/>
      <c r="M466" s="6" t="n"/>
      <c r="N466" s="6" t="n"/>
      <c r="O466" s="6" t="n"/>
      <c r="P466" s="8" t="n"/>
      <c r="Q466" s="7" t="n"/>
      <c r="R466" s="9" t="n"/>
      <c r="S466" s="10">
        <f>IF($C466="","",$I466*$R466)</f>
        <v/>
      </c>
      <c r="T466" s="10">
        <f>IF($C466="","",(IF($N466="Purchased",$H466,0)+$Q466))</f>
        <v/>
      </c>
      <c r="U466" s="10">
        <f>IF($C466="","",$S466-$T466)</f>
        <v/>
      </c>
      <c r="V466" s="11">
        <f>IF(OR($C466="",$I466=0),"",CEILING($T466/$I466,1))</f>
        <v/>
      </c>
      <c r="W466" s="6" t="n"/>
      <c r="X466">
        <f>IF(C466="","",LOWER(SUBSTITUTE(SUBSTITUTE(C466," ","-"),"'",""))&amp;".jpg")</f>
        <v/>
      </c>
      <c r="Y466">
        <f>IF(X466="","","/inventory/"&amp;X466)</f>
        <v/>
      </c>
      <c r="Z466">
        <f>IF(O466="Available","available",IF(OR(O466="Rented",O466="Cleaning",O466="Repair"),"unavailable",IF(O466="Retired","unavailable","")))</f>
        <v/>
      </c>
    </row>
    <row r="467" ht="150" customHeight="1">
      <c r="A467" t="inlineStr">
        <is>
          <t>W466</t>
        </is>
      </c>
      <c r="B467" s="6" t="n"/>
      <c r="C467" s="21" t="n"/>
      <c r="D467" s="25" t="n"/>
      <c r="E467" s="6" t="n"/>
      <c r="F467" s="19">
        <f>IF(E467="","",_xlfn.IMAGE(E467))</f>
        <v/>
      </c>
      <c r="G467" s="17" t="n"/>
      <c r="H467" s="39" t="n"/>
      <c r="I467" s="7" t="n"/>
      <c r="J467" s="25" t="n"/>
      <c r="K467" s="28" t="n"/>
      <c r="L467" s="6" t="n"/>
      <c r="M467" s="6" t="n"/>
      <c r="N467" s="6" t="n"/>
      <c r="O467" s="6" t="n"/>
      <c r="P467" s="8" t="n"/>
      <c r="Q467" s="7" t="n"/>
      <c r="R467" s="9" t="n"/>
      <c r="S467" s="10">
        <f>IF($C467="","",$I467*$R467)</f>
        <v/>
      </c>
      <c r="T467" s="10">
        <f>IF($C467="","",(IF($N467="Purchased",$H467,0)+$Q467))</f>
        <v/>
      </c>
      <c r="U467" s="10">
        <f>IF($C467="","",$S467-$T467)</f>
        <v/>
      </c>
      <c r="V467" s="11">
        <f>IF(OR($C467="",$I467=0),"",CEILING($T467/$I467,1))</f>
        <v/>
      </c>
      <c r="W467" s="6" t="n"/>
      <c r="X467">
        <f>IF(C467="","",LOWER(SUBSTITUTE(SUBSTITUTE(C467," ","-"),"'",""))&amp;".jpg")</f>
        <v/>
      </c>
      <c r="Y467">
        <f>IF(X467="","","/inventory/"&amp;X467)</f>
        <v/>
      </c>
      <c r="Z467">
        <f>IF(O467="Available","available",IF(OR(O467="Rented",O467="Cleaning",O467="Repair"),"unavailable",IF(O467="Retired","unavailable","")))</f>
        <v/>
      </c>
    </row>
    <row r="468" ht="150" customHeight="1">
      <c r="A468" t="inlineStr">
        <is>
          <t>W467</t>
        </is>
      </c>
      <c r="B468" s="6" t="n"/>
      <c r="C468" s="21" t="n"/>
      <c r="D468" s="25" t="n"/>
      <c r="E468" s="6" t="n"/>
      <c r="F468" s="19">
        <f>IF(E468="","",_xlfn.IMAGE(E468))</f>
        <v/>
      </c>
      <c r="G468" s="17" t="n"/>
      <c r="H468" s="39" t="n"/>
      <c r="I468" s="7" t="n"/>
      <c r="J468" s="25" t="n"/>
      <c r="K468" s="28" t="n"/>
      <c r="L468" s="6" t="n"/>
      <c r="M468" s="6" t="n"/>
      <c r="N468" s="6" t="n"/>
      <c r="O468" s="6" t="n"/>
      <c r="P468" s="8" t="n"/>
      <c r="Q468" s="7" t="n"/>
      <c r="R468" s="9" t="n"/>
      <c r="S468" s="10">
        <f>IF($C468="","",$I468*$R468)</f>
        <v/>
      </c>
      <c r="T468" s="10">
        <f>IF($C468="","",(IF($N468="Purchased",$H468,0)+$Q468))</f>
        <v/>
      </c>
      <c r="U468" s="10">
        <f>IF($C468="","",$S468-$T468)</f>
        <v/>
      </c>
      <c r="V468" s="11">
        <f>IF(OR($C468="",$I468=0),"",CEILING($T468/$I468,1))</f>
        <v/>
      </c>
      <c r="W468" s="6" t="n"/>
      <c r="X468">
        <f>IF(C468="","",LOWER(SUBSTITUTE(SUBSTITUTE(C468," ","-"),"'",""))&amp;".jpg")</f>
        <v/>
      </c>
      <c r="Y468">
        <f>IF(X468="","","/inventory/"&amp;X468)</f>
        <v/>
      </c>
      <c r="Z468">
        <f>IF(O468="Available","available",IF(OR(O468="Rented",O468="Cleaning",O468="Repair"),"unavailable",IF(O468="Retired","unavailable","")))</f>
        <v/>
      </c>
    </row>
    <row r="469" ht="150" customHeight="1">
      <c r="A469" t="inlineStr">
        <is>
          <t>W468</t>
        </is>
      </c>
      <c r="B469" s="6" t="n"/>
      <c r="C469" s="21" t="n"/>
      <c r="D469" s="25" t="n"/>
      <c r="E469" s="6" t="n"/>
      <c r="F469" s="19">
        <f>IF(E469="","",_xlfn.IMAGE(E469))</f>
        <v/>
      </c>
      <c r="G469" s="17" t="n"/>
      <c r="H469" s="39" t="n"/>
      <c r="I469" s="7" t="n"/>
      <c r="J469" s="25" t="n"/>
      <c r="K469" s="28" t="n"/>
      <c r="L469" s="6" t="n"/>
      <c r="M469" s="6" t="n"/>
      <c r="N469" s="6" t="n"/>
      <c r="O469" s="6" t="n"/>
      <c r="P469" s="8" t="n"/>
      <c r="Q469" s="7" t="n"/>
      <c r="R469" s="9" t="n"/>
      <c r="S469" s="10">
        <f>IF($C469="","",$I469*$R469)</f>
        <v/>
      </c>
      <c r="T469" s="10">
        <f>IF($C469="","",(IF($N469="Purchased",$H469,0)+$Q469))</f>
        <v/>
      </c>
      <c r="U469" s="10">
        <f>IF($C469="","",$S469-$T469)</f>
        <v/>
      </c>
      <c r="V469" s="11">
        <f>IF(OR($C469="",$I469=0),"",CEILING($T469/$I469,1))</f>
        <v/>
      </c>
      <c r="W469" s="6" t="n"/>
      <c r="X469">
        <f>IF(C469="","",LOWER(SUBSTITUTE(SUBSTITUTE(C469," ","-"),"'",""))&amp;".jpg")</f>
        <v/>
      </c>
      <c r="Y469">
        <f>IF(X469="","","/inventory/"&amp;X469)</f>
        <v/>
      </c>
      <c r="Z469">
        <f>IF(O469="Available","available",IF(OR(O469="Rented",O469="Cleaning",O469="Repair"),"unavailable",IF(O469="Retired","unavailable","")))</f>
        <v/>
      </c>
    </row>
    <row r="470" ht="150" customHeight="1">
      <c r="A470" t="inlineStr">
        <is>
          <t>W469</t>
        </is>
      </c>
      <c r="B470" s="6" t="n"/>
      <c r="C470" s="21" t="n"/>
      <c r="D470" s="25" t="n"/>
      <c r="E470" s="6" t="n"/>
      <c r="F470" s="19">
        <f>IF(E470="","",_xlfn.IMAGE(E470))</f>
        <v/>
      </c>
      <c r="G470" s="17" t="n"/>
      <c r="H470" s="39" t="n"/>
      <c r="I470" s="7" t="n"/>
      <c r="J470" s="25" t="n"/>
      <c r="K470" s="28" t="n"/>
      <c r="L470" s="6" t="n"/>
      <c r="M470" s="6" t="n"/>
      <c r="N470" s="6" t="n"/>
      <c r="O470" s="6" t="n"/>
      <c r="P470" s="8" t="n"/>
      <c r="Q470" s="7" t="n"/>
      <c r="R470" s="9" t="n"/>
      <c r="S470" s="10">
        <f>IF($C470="","",$I470*$R470)</f>
        <v/>
      </c>
      <c r="T470" s="10">
        <f>IF($C470="","",(IF($N470="Purchased",$H470,0)+$Q470))</f>
        <v/>
      </c>
      <c r="U470" s="10">
        <f>IF($C470="","",$S470-$T470)</f>
        <v/>
      </c>
      <c r="V470" s="11">
        <f>IF(OR($C470="",$I470=0),"",CEILING($T470/$I470,1))</f>
        <v/>
      </c>
      <c r="W470" s="6" t="n"/>
      <c r="X470">
        <f>IF(C470="","",LOWER(SUBSTITUTE(SUBSTITUTE(C470," ","-"),"'",""))&amp;".jpg")</f>
        <v/>
      </c>
      <c r="Y470">
        <f>IF(X470="","","/inventory/"&amp;X470)</f>
        <v/>
      </c>
      <c r="Z470">
        <f>IF(O470="Available","available",IF(OR(O470="Rented",O470="Cleaning",O470="Repair"),"unavailable",IF(O470="Retired","unavailable","")))</f>
        <v/>
      </c>
    </row>
    <row r="471" ht="150" customHeight="1">
      <c r="A471" t="inlineStr">
        <is>
          <t>W470</t>
        </is>
      </c>
      <c r="B471" s="6" t="n"/>
      <c r="C471" s="21" t="n"/>
      <c r="D471" s="25" t="n"/>
      <c r="E471" s="6" t="n"/>
      <c r="F471" s="19">
        <f>IF(E471="","",_xlfn.IMAGE(E471))</f>
        <v/>
      </c>
      <c r="G471" s="17" t="n"/>
      <c r="H471" s="39" t="n"/>
      <c r="I471" s="7" t="n"/>
      <c r="J471" s="25" t="n"/>
      <c r="K471" s="28" t="n"/>
      <c r="L471" s="6" t="n"/>
      <c r="M471" s="6" t="n"/>
      <c r="N471" s="6" t="n"/>
      <c r="O471" s="6" t="n"/>
      <c r="P471" s="8" t="n"/>
      <c r="Q471" s="7" t="n"/>
      <c r="R471" s="9" t="n"/>
      <c r="S471" s="10">
        <f>IF($C471="","",$I471*$R471)</f>
        <v/>
      </c>
      <c r="T471" s="10">
        <f>IF($C471="","",(IF($N471="Purchased",$H471,0)+$Q471))</f>
        <v/>
      </c>
      <c r="U471" s="10">
        <f>IF($C471="","",$S471-$T471)</f>
        <v/>
      </c>
      <c r="V471" s="11">
        <f>IF(OR($C471="",$I471=0),"",CEILING($T471/$I471,1))</f>
        <v/>
      </c>
      <c r="W471" s="6" t="n"/>
      <c r="X471">
        <f>IF(C471="","",LOWER(SUBSTITUTE(SUBSTITUTE(C471," ","-"),"'",""))&amp;".jpg")</f>
        <v/>
      </c>
      <c r="Y471">
        <f>IF(X471="","","/inventory/"&amp;X471)</f>
        <v/>
      </c>
      <c r="Z471">
        <f>IF(O471="Available","available",IF(OR(O471="Rented",O471="Cleaning",O471="Repair"),"unavailable",IF(O471="Retired","unavailable","")))</f>
        <v/>
      </c>
    </row>
    <row r="472" ht="150" customHeight="1">
      <c r="A472" t="inlineStr">
        <is>
          <t>W471</t>
        </is>
      </c>
      <c r="B472" s="6" t="n"/>
      <c r="C472" s="21" t="n"/>
      <c r="D472" s="25" t="n"/>
      <c r="E472" s="6" t="n"/>
      <c r="F472" s="19">
        <f>IF(E472="","",_xlfn.IMAGE(E472))</f>
        <v/>
      </c>
      <c r="G472" s="17" t="n"/>
      <c r="H472" s="39" t="n"/>
      <c r="I472" s="7" t="n"/>
      <c r="J472" s="25" t="n"/>
      <c r="K472" s="28" t="n"/>
      <c r="L472" s="6" t="n"/>
      <c r="M472" s="6" t="n"/>
      <c r="N472" s="6" t="n"/>
      <c r="O472" s="6" t="n"/>
      <c r="P472" s="8" t="n"/>
      <c r="Q472" s="7" t="n"/>
      <c r="R472" s="9" t="n"/>
      <c r="S472" s="10">
        <f>IF($C472="","",$I472*$R472)</f>
        <v/>
      </c>
      <c r="T472" s="10">
        <f>IF($C472="","",(IF($N472="Purchased",$H472,0)+$Q472))</f>
        <v/>
      </c>
      <c r="U472" s="10">
        <f>IF($C472="","",$S472-$T472)</f>
        <v/>
      </c>
      <c r="V472" s="11">
        <f>IF(OR($C472="",$I472=0),"",CEILING($T472/$I472,1))</f>
        <v/>
      </c>
      <c r="W472" s="6" t="n"/>
      <c r="X472">
        <f>IF(C472="","",LOWER(SUBSTITUTE(SUBSTITUTE(C472," ","-"),"'",""))&amp;".jpg")</f>
        <v/>
      </c>
      <c r="Y472">
        <f>IF(X472="","","/inventory/"&amp;X472)</f>
        <v/>
      </c>
      <c r="Z472">
        <f>IF(O472="Available","available",IF(OR(O472="Rented",O472="Cleaning",O472="Repair"),"unavailable",IF(O472="Retired","unavailable","")))</f>
        <v/>
      </c>
    </row>
    <row r="473" ht="150" customHeight="1">
      <c r="A473" t="inlineStr">
        <is>
          <t>W472</t>
        </is>
      </c>
      <c r="B473" s="6" t="n"/>
      <c r="C473" s="21" t="n"/>
      <c r="D473" s="25" t="n"/>
      <c r="E473" s="6" t="n"/>
      <c r="F473" s="19">
        <f>IF(E473="","",_xlfn.IMAGE(E473))</f>
        <v/>
      </c>
      <c r="G473" s="17" t="n"/>
      <c r="H473" s="39" t="n"/>
      <c r="I473" s="7" t="n"/>
      <c r="J473" s="25" t="n"/>
      <c r="K473" s="28" t="n"/>
      <c r="L473" s="6" t="n"/>
      <c r="M473" s="6" t="n"/>
      <c r="N473" s="6" t="n"/>
      <c r="O473" s="6" t="n"/>
      <c r="P473" s="8" t="n"/>
      <c r="Q473" s="7" t="n"/>
      <c r="R473" s="9" t="n"/>
      <c r="S473" s="10">
        <f>IF($C473="","",$I473*$R473)</f>
        <v/>
      </c>
      <c r="T473" s="10">
        <f>IF($C473="","",(IF($N473="Purchased",$H473,0)+$Q473))</f>
        <v/>
      </c>
      <c r="U473" s="10">
        <f>IF($C473="","",$S473-$T473)</f>
        <v/>
      </c>
      <c r="V473" s="11">
        <f>IF(OR($C473="",$I473=0),"",CEILING($T473/$I473,1))</f>
        <v/>
      </c>
      <c r="W473" s="6" t="n"/>
      <c r="X473">
        <f>IF(C473="","",LOWER(SUBSTITUTE(SUBSTITUTE(C473," ","-"),"'",""))&amp;".jpg")</f>
        <v/>
      </c>
      <c r="Y473">
        <f>IF(X473="","","/inventory/"&amp;X473)</f>
        <v/>
      </c>
      <c r="Z473">
        <f>IF(O473="Available","available",IF(OR(O473="Rented",O473="Cleaning",O473="Repair"),"unavailable",IF(O473="Retired","unavailable","")))</f>
        <v/>
      </c>
    </row>
    <row r="474" ht="150" customHeight="1">
      <c r="A474" t="inlineStr">
        <is>
          <t>W473</t>
        </is>
      </c>
      <c r="B474" s="6" t="n"/>
      <c r="C474" s="21" t="n"/>
      <c r="D474" s="25" t="n"/>
      <c r="E474" s="6" t="n"/>
      <c r="F474" s="19">
        <f>IF(E474="","",_xlfn.IMAGE(E474))</f>
        <v/>
      </c>
      <c r="G474" s="17" t="n"/>
      <c r="H474" s="39" t="n"/>
      <c r="I474" s="7" t="n"/>
      <c r="J474" s="25" t="n"/>
      <c r="K474" s="28" t="n"/>
      <c r="L474" s="6" t="n"/>
      <c r="M474" s="6" t="n"/>
      <c r="N474" s="6" t="n"/>
      <c r="O474" s="6" t="n"/>
      <c r="P474" s="8" t="n"/>
      <c r="Q474" s="7" t="n"/>
      <c r="R474" s="9" t="n"/>
      <c r="S474" s="10">
        <f>IF($C474="","",$I474*$R474)</f>
        <v/>
      </c>
      <c r="T474" s="10">
        <f>IF($C474="","",(IF($N474="Purchased",$H474,0)+$Q474))</f>
        <v/>
      </c>
      <c r="U474" s="10">
        <f>IF($C474="","",$S474-$T474)</f>
        <v/>
      </c>
      <c r="V474" s="11">
        <f>IF(OR($C474="",$I474=0),"",CEILING($T474/$I474,1))</f>
        <v/>
      </c>
      <c r="W474" s="6" t="n"/>
      <c r="X474">
        <f>IF(C474="","",LOWER(SUBSTITUTE(SUBSTITUTE(C474," ","-"),"'",""))&amp;".jpg")</f>
        <v/>
      </c>
      <c r="Y474">
        <f>IF(X474="","","/inventory/"&amp;X474)</f>
        <v/>
      </c>
      <c r="Z474">
        <f>IF(O474="Available","available",IF(OR(O474="Rented",O474="Cleaning",O474="Repair"),"unavailable",IF(O474="Retired","unavailable","")))</f>
        <v/>
      </c>
    </row>
    <row r="475" ht="150" customHeight="1">
      <c r="A475" t="inlineStr">
        <is>
          <t>W474</t>
        </is>
      </c>
      <c r="B475" s="6" t="n"/>
      <c r="C475" s="21" t="n"/>
      <c r="D475" s="25" t="n"/>
      <c r="E475" s="6" t="n"/>
      <c r="F475" s="19">
        <f>IF(E475="","",_xlfn.IMAGE(E475))</f>
        <v/>
      </c>
      <c r="G475" s="17" t="n"/>
      <c r="H475" s="39" t="n"/>
      <c r="I475" s="7" t="n"/>
      <c r="J475" s="25" t="n"/>
      <c r="K475" s="28" t="n"/>
      <c r="L475" s="6" t="n"/>
      <c r="M475" s="6" t="n"/>
      <c r="N475" s="6" t="n"/>
      <c r="O475" s="6" t="n"/>
      <c r="P475" s="8" t="n"/>
      <c r="Q475" s="7" t="n"/>
      <c r="R475" s="9" t="n"/>
      <c r="S475" s="10">
        <f>IF($C475="","",$I475*$R475)</f>
        <v/>
      </c>
      <c r="T475" s="10">
        <f>IF($C475="","",(IF($N475="Purchased",$H475,0)+$Q475))</f>
        <v/>
      </c>
      <c r="U475" s="10">
        <f>IF($C475="","",$S475-$T475)</f>
        <v/>
      </c>
      <c r="V475" s="11">
        <f>IF(OR($C475="",$I475=0),"",CEILING($T475/$I475,1))</f>
        <v/>
      </c>
      <c r="W475" s="6" t="n"/>
      <c r="X475">
        <f>IF(C475="","",LOWER(SUBSTITUTE(SUBSTITUTE(C475," ","-"),"'",""))&amp;".jpg")</f>
        <v/>
      </c>
      <c r="Y475">
        <f>IF(X475="","","/inventory/"&amp;X475)</f>
        <v/>
      </c>
      <c r="Z475">
        <f>IF(O475="Available","available",IF(OR(O475="Rented",O475="Cleaning",O475="Repair"),"unavailable",IF(O475="Retired","unavailable","")))</f>
        <v/>
      </c>
    </row>
    <row r="476" ht="150" customHeight="1">
      <c r="A476" t="inlineStr">
        <is>
          <t>W475</t>
        </is>
      </c>
      <c r="B476" s="6" t="n"/>
      <c r="C476" s="21" t="n"/>
      <c r="D476" s="25" t="n"/>
      <c r="E476" s="6" t="n"/>
      <c r="F476" s="19">
        <f>IF(E476="","",_xlfn.IMAGE(E476))</f>
        <v/>
      </c>
      <c r="G476" s="17" t="n"/>
      <c r="H476" s="39" t="n"/>
      <c r="I476" s="7" t="n"/>
      <c r="J476" s="25" t="n"/>
      <c r="K476" s="28" t="n"/>
      <c r="L476" s="6" t="n"/>
      <c r="M476" s="6" t="n"/>
      <c r="N476" s="6" t="n"/>
      <c r="O476" s="6" t="n"/>
      <c r="P476" s="8" t="n"/>
      <c r="Q476" s="7" t="n"/>
      <c r="R476" s="9" t="n"/>
      <c r="S476" s="10">
        <f>IF($C476="","",$I476*$R476)</f>
        <v/>
      </c>
      <c r="T476" s="10">
        <f>IF($C476="","",(IF($N476="Purchased",$H476,0)+$Q476))</f>
        <v/>
      </c>
      <c r="U476" s="10">
        <f>IF($C476="","",$S476-$T476)</f>
        <v/>
      </c>
      <c r="V476" s="11">
        <f>IF(OR($C476="",$I476=0),"",CEILING($T476/$I476,1))</f>
        <v/>
      </c>
      <c r="W476" s="6" t="n"/>
      <c r="X476">
        <f>IF(C476="","",LOWER(SUBSTITUTE(SUBSTITUTE(C476," ","-"),"'",""))&amp;".jpg")</f>
        <v/>
      </c>
      <c r="Y476">
        <f>IF(X476="","","/inventory/"&amp;X476)</f>
        <v/>
      </c>
      <c r="Z476">
        <f>IF(O476="Available","available",IF(OR(O476="Rented",O476="Cleaning",O476="Repair"),"unavailable",IF(O476="Retired","unavailable","")))</f>
        <v/>
      </c>
    </row>
    <row r="477" ht="150" customHeight="1">
      <c r="A477" t="inlineStr">
        <is>
          <t>W476</t>
        </is>
      </c>
      <c r="B477" s="6" t="n"/>
      <c r="C477" s="21" t="n"/>
      <c r="D477" s="25" t="n"/>
      <c r="E477" s="6" t="n"/>
      <c r="F477" s="19">
        <f>IF(E477="","",_xlfn.IMAGE(E477))</f>
        <v/>
      </c>
      <c r="G477" s="17" t="n"/>
      <c r="H477" s="39" t="n"/>
      <c r="I477" s="7" t="n"/>
      <c r="J477" s="25" t="n"/>
      <c r="K477" s="28" t="n"/>
      <c r="L477" s="6" t="n"/>
      <c r="M477" s="6" t="n"/>
      <c r="N477" s="6" t="n"/>
      <c r="O477" s="6" t="n"/>
      <c r="P477" s="8" t="n"/>
      <c r="Q477" s="7" t="n"/>
      <c r="R477" s="9" t="n"/>
      <c r="S477" s="10">
        <f>IF($C477="","",$I477*$R477)</f>
        <v/>
      </c>
      <c r="T477" s="10">
        <f>IF($C477="","",(IF($N477="Purchased",$H477,0)+$Q477))</f>
        <v/>
      </c>
      <c r="U477" s="10">
        <f>IF($C477="","",$S477-$T477)</f>
        <v/>
      </c>
      <c r="V477" s="11">
        <f>IF(OR($C477="",$I477=0),"",CEILING($T477/$I477,1))</f>
        <v/>
      </c>
      <c r="W477" s="6" t="n"/>
      <c r="X477">
        <f>IF(C477="","",LOWER(SUBSTITUTE(SUBSTITUTE(C477," ","-"),"'",""))&amp;".jpg")</f>
        <v/>
      </c>
      <c r="Y477">
        <f>IF(X477="","","/inventory/"&amp;X477)</f>
        <v/>
      </c>
      <c r="Z477">
        <f>IF(O477="Available","available",IF(OR(O477="Rented",O477="Cleaning",O477="Repair"),"unavailable",IF(O477="Retired","unavailable","")))</f>
        <v/>
      </c>
    </row>
    <row r="478" ht="150" customHeight="1">
      <c r="A478" t="inlineStr">
        <is>
          <t>W477</t>
        </is>
      </c>
      <c r="B478" s="6" t="n"/>
      <c r="C478" s="21" t="n"/>
      <c r="D478" s="25" t="n"/>
      <c r="E478" s="6" t="n"/>
      <c r="F478" s="19">
        <f>IF(E478="","",_xlfn.IMAGE(E478))</f>
        <v/>
      </c>
      <c r="G478" s="17" t="n"/>
      <c r="H478" s="39" t="n"/>
      <c r="I478" s="7" t="n"/>
      <c r="J478" s="25" t="n"/>
      <c r="K478" s="28" t="n"/>
      <c r="L478" s="6" t="n"/>
      <c r="M478" s="6" t="n"/>
      <c r="N478" s="6" t="n"/>
      <c r="O478" s="6" t="n"/>
      <c r="P478" s="8" t="n"/>
      <c r="Q478" s="7" t="n"/>
      <c r="R478" s="9" t="n"/>
      <c r="S478" s="10">
        <f>IF($C478="","",$I478*$R478)</f>
        <v/>
      </c>
      <c r="T478" s="10">
        <f>IF($C478="","",(IF($N478="Purchased",$H478,0)+$Q478))</f>
        <v/>
      </c>
      <c r="U478" s="10">
        <f>IF($C478="","",$S478-$T478)</f>
        <v/>
      </c>
      <c r="V478" s="11">
        <f>IF(OR($C478="",$I478=0),"",CEILING($T478/$I478,1))</f>
        <v/>
      </c>
      <c r="W478" s="6" t="n"/>
      <c r="X478">
        <f>IF(C478="","",LOWER(SUBSTITUTE(SUBSTITUTE(C478," ","-"),"'",""))&amp;".jpg")</f>
        <v/>
      </c>
      <c r="Y478">
        <f>IF(X478="","","/inventory/"&amp;X478)</f>
        <v/>
      </c>
      <c r="Z478">
        <f>IF(O478="Available","available",IF(OR(O478="Rented",O478="Cleaning",O478="Repair"),"unavailable",IF(O478="Retired","unavailable","")))</f>
        <v/>
      </c>
    </row>
    <row r="479" ht="150" customHeight="1">
      <c r="A479" t="inlineStr">
        <is>
          <t>W478</t>
        </is>
      </c>
      <c r="B479" s="6" t="n"/>
      <c r="C479" s="21" t="n"/>
      <c r="D479" s="25" t="n"/>
      <c r="E479" s="6" t="n"/>
      <c r="F479" s="19">
        <f>IF(E479="","",_xlfn.IMAGE(E479))</f>
        <v/>
      </c>
      <c r="G479" s="17" t="n"/>
      <c r="H479" s="39" t="n"/>
      <c r="I479" s="7" t="n"/>
      <c r="J479" s="25" t="n"/>
      <c r="K479" s="28" t="n"/>
      <c r="L479" s="6" t="n"/>
      <c r="M479" s="6" t="n"/>
      <c r="N479" s="6" t="n"/>
      <c r="O479" s="6" t="n"/>
      <c r="P479" s="8" t="n"/>
      <c r="Q479" s="7" t="n"/>
      <c r="R479" s="9" t="n"/>
      <c r="S479" s="10">
        <f>IF($C479="","",$I479*$R479)</f>
        <v/>
      </c>
      <c r="T479" s="10">
        <f>IF($C479="","",(IF($N479="Purchased",$H479,0)+$Q479))</f>
        <v/>
      </c>
      <c r="U479" s="10">
        <f>IF($C479="","",$S479-$T479)</f>
        <v/>
      </c>
      <c r="V479" s="11">
        <f>IF(OR($C479="",$I479=0),"",CEILING($T479/$I479,1))</f>
        <v/>
      </c>
      <c r="W479" s="6" t="n"/>
      <c r="X479">
        <f>IF(C479="","",LOWER(SUBSTITUTE(SUBSTITUTE(C479," ","-"),"'",""))&amp;".jpg")</f>
        <v/>
      </c>
      <c r="Y479">
        <f>IF(X479="","","/inventory/"&amp;X479)</f>
        <v/>
      </c>
      <c r="Z479">
        <f>IF(O479="Available","available",IF(OR(O479="Rented",O479="Cleaning",O479="Repair"),"unavailable",IF(O479="Retired","unavailable","")))</f>
        <v/>
      </c>
    </row>
    <row r="480" ht="150" customHeight="1">
      <c r="A480" t="inlineStr">
        <is>
          <t>W479</t>
        </is>
      </c>
      <c r="B480" s="6" t="n"/>
      <c r="C480" s="21" t="n"/>
      <c r="D480" s="25" t="n"/>
      <c r="E480" s="6" t="n"/>
      <c r="F480" s="19">
        <f>IF(E480="","",_xlfn.IMAGE(E480))</f>
        <v/>
      </c>
      <c r="G480" s="17" t="n"/>
      <c r="H480" s="39" t="n"/>
      <c r="I480" s="7" t="n"/>
      <c r="J480" s="25" t="n"/>
      <c r="K480" s="28" t="n"/>
      <c r="L480" s="6" t="n"/>
      <c r="M480" s="6" t="n"/>
      <c r="N480" s="6" t="n"/>
      <c r="O480" s="6" t="n"/>
      <c r="P480" s="8" t="n"/>
      <c r="Q480" s="7" t="n"/>
      <c r="R480" s="9" t="n"/>
      <c r="S480" s="10">
        <f>IF($C480="","",$I480*$R480)</f>
        <v/>
      </c>
      <c r="T480" s="10">
        <f>IF($C480="","",(IF($N480="Purchased",$H480,0)+$Q480))</f>
        <v/>
      </c>
      <c r="U480" s="10">
        <f>IF($C480="","",$S480-$T480)</f>
        <v/>
      </c>
      <c r="V480" s="11">
        <f>IF(OR($C480="",$I480=0),"",CEILING($T480/$I480,1))</f>
        <v/>
      </c>
      <c r="W480" s="6" t="n"/>
      <c r="X480">
        <f>IF(C480="","",LOWER(SUBSTITUTE(SUBSTITUTE(C480," ","-"),"'",""))&amp;".jpg")</f>
        <v/>
      </c>
      <c r="Y480">
        <f>IF(X480="","","/inventory/"&amp;X480)</f>
        <v/>
      </c>
      <c r="Z480">
        <f>IF(O480="Available","available",IF(OR(O480="Rented",O480="Cleaning",O480="Repair"),"unavailable",IF(O480="Retired","unavailable","")))</f>
        <v/>
      </c>
    </row>
    <row r="481" ht="150" customHeight="1">
      <c r="A481" t="inlineStr">
        <is>
          <t>W480</t>
        </is>
      </c>
      <c r="B481" s="6" t="n"/>
      <c r="C481" s="21" t="n"/>
      <c r="D481" s="25" t="n"/>
      <c r="E481" s="6" t="n"/>
      <c r="F481" s="19">
        <f>IF(E481="","",_xlfn.IMAGE(E481))</f>
        <v/>
      </c>
      <c r="G481" s="17" t="n"/>
      <c r="H481" s="39" t="n"/>
      <c r="I481" s="7" t="n"/>
      <c r="J481" s="25" t="n"/>
      <c r="K481" s="28" t="n"/>
      <c r="L481" s="6" t="n"/>
      <c r="M481" s="6" t="n"/>
      <c r="N481" s="6" t="n"/>
      <c r="O481" s="6" t="n"/>
      <c r="P481" s="8" t="n"/>
      <c r="Q481" s="7" t="n"/>
      <c r="R481" s="9" t="n"/>
      <c r="S481" s="10">
        <f>IF($C481="","",$I481*$R481)</f>
        <v/>
      </c>
      <c r="T481" s="10">
        <f>IF($C481="","",(IF($N481="Purchased",$H481,0)+$Q481))</f>
        <v/>
      </c>
      <c r="U481" s="10">
        <f>IF($C481="","",$S481-$T481)</f>
        <v/>
      </c>
      <c r="V481" s="11">
        <f>IF(OR($C481="",$I481=0),"",CEILING($T481/$I481,1))</f>
        <v/>
      </c>
      <c r="W481" s="6" t="n"/>
      <c r="X481">
        <f>IF(C481="","",LOWER(SUBSTITUTE(SUBSTITUTE(C481," ","-"),"'",""))&amp;".jpg")</f>
        <v/>
      </c>
      <c r="Y481">
        <f>IF(X481="","","/inventory/"&amp;X481)</f>
        <v/>
      </c>
      <c r="Z481">
        <f>IF(O481="Available","available",IF(OR(O481="Rented",O481="Cleaning",O481="Repair"),"unavailable",IF(O481="Retired","unavailable","")))</f>
        <v/>
      </c>
    </row>
    <row r="482" ht="150" customHeight="1">
      <c r="A482" t="inlineStr">
        <is>
          <t>W481</t>
        </is>
      </c>
      <c r="B482" s="6" t="n"/>
      <c r="C482" s="21" t="n"/>
      <c r="D482" s="25" t="n"/>
      <c r="E482" s="6" t="n"/>
      <c r="F482" s="19">
        <f>IF(E482="","",_xlfn.IMAGE(E482))</f>
        <v/>
      </c>
      <c r="G482" s="17" t="n"/>
      <c r="H482" s="39" t="n"/>
      <c r="I482" s="7" t="n"/>
      <c r="J482" s="25" t="n"/>
      <c r="K482" s="28" t="n"/>
      <c r="L482" s="6" t="n"/>
      <c r="M482" s="6" t="n"/>
      <c r="N482" s="6" t="n"/>
      <c r="O482" s="6" t="n"/>
      <c r="P482" s="8" t="n"/>
      <c r="Q482" s="7" t="n"/>
      <c r="R482" s="9" t="n"/>
      <c r="S482" s="10">
        <f>IF($C482="","",$I482*$R482)</f>
        <v/>
      </c>
      <c r="T482" s="10">
        <f>IF($C482="","",(IF($N482="Purchased",$H482,0)+$Q482))</f>
        <v/>
      </c>
      <c r="U482" s="10">
        <f>IF($C482="","",$S482-$T482)</f>
        <v/>
      </c>
      <c r="V482" s="11">
        <f>IF(OR($C482="",$I482=0),"",CEILING($T482/$I482,1))</f>
        <v/>
      </c>
      <c r="W482" s="6" t="n"/>
      <c r="X482">
        <f>IF(C482="","",LOWER(SUBSTITUTE(SUBSTITUTE(C482," ","-"),"'",""))&amp;".jpg")</f>
        <v/>
      </c>
      <c r="Y482">
        <f>IF(X482="","","/inventory/"&amp;X482)</f>
        <v/>
      </c>
      <c r="Z482">
        <f>IF(O482="Available","available",IF(OR(O482="Rented",O482="Cleaning",O482="Repair"),"unavailable",IF(O482="Retired","unavailable","")))</f>
        <v/>
      </c>
    </row>
    <row r="483" ht="150" customHeight="1">
      <c r="A483" t="inlineStr">
        <is>
          <t>W482</t>
        </is>
      </c>
      <c r="B483" s="6" t="n"/>
      <c r="C483" s="21" t="n"/>
      <c r="D483" s="25" t="n"/>
      <c r="E483" s="6" t="n"/>
      <c r="F483" s="19">
        <f>IF(E483="","",_xlfn.IMAGE(E483))</f>
        <v/>
      </c>
      <c r="G483" s="17" t="n"/>
      <c r="H483" s="39" t="n"/>
      <c r="I483" s="7" t="n"/>
      <c r="J483" s="25" t="n"/>
      <c r="K483" s="28" t="n"/>
      <c r="L483" s="6" t="n"/>
      <c r="M483" s="6" t="n"/>
      <c r="N483" s="6" t="n"/>
      <c r="O483" s="6" t="n"/>
      <c r="P483" s="8" t="n"/>
      <c r="Q483" s="7" t="n"/>
      <c r="R483" s="9" t="n"/>
      <c r="S483" s="10">
        <f>IF($C483="","",$I483*$R483)</f>
        <v/>
      </c>
      <c r="T483" s="10">
        <f>IF($C483="","",(IF($N483="Purchased",$H483,0)+$Q483))</f>
        <v/>
      </c>
      <c r="U483" s="10">
        <f>IF($C483="","",$S483-$T483)</f>
        <v/>
      </c>
      <c r="V483" s="11">
        <f>IF(OR($C483="",$I483=0),"",CEILING($T483/$I483,1))</f>
        <v/>
      </c>
      <c r="W483" s="6" t="n"/>
      <c r="X483">
        <f>IF(C483="","",LOWER(SUBSTITUTE(SUBSTITUTE(C483," ","-"),"'",""))&amp;".jpg")</f>
        <v/>
      </c>
      <c r="Y483">
        <f>IF(X483="","","/inventory/"&amp;X483)</f>
        <v/>
      </c>
      <c r="Z483">
        <f>IF(O483="Available","available",IF(OR(O483="Rented",O483="Cleaning",O483="Repair"),"unavailable",IF(O483="Retired","unavailable","")))</f>
        <v/>
      </c>
    </row>
    <row r="484" ht="150" customHeight="1">
      <c r="A484" t="inlineStr">
        <is>
          <t>W483</t>
        </is>
      </c>
      <c r="B484" s="6" t="n"/>
      <c r="C484" s="21" t="n"/>
      <c r="D484" s="25" t="n"/>
      <c r="E484" s="6" t="n"/>
      <c r="F484" s="19">
        <f>IF(E484="","",_xlfn.IMAGE(E484))</f>
        <v/>
      </c>
      <c r="G484" s="17" t="n"/>
      <c r="H484" s="39" t="n"/>
      <c r="I484" s="7" t="n"/>
      <c r="J484" s="25" t="n"/>
      <c r="K484" s="28" t="n"/>
      <c r="L484" s="6" t="n"/>
      <c r="M484" s="6" t="n"/>
      <c r="N484" s="6" t="n"/>
      <c r="O484" s="6" t="n"/>
      <c r="P484" s="8" t="n"/>
      <c r="Q484" s="7" t="n"/>
      <c r="R484" s="9" t="n"/>
      <c r="S484" s="10">
        <f>IF($C484="","",$I484*$R484)</f>
        <v/>
      </c>
      <c r="T484" s="10">
        <f>IF($C484="","",(IF($N484="Purchased",$H484,0)+$Q484))</f>
        <v/>
      </c>
      <c r="U484" s="10">
        <f>IF($C484="","",$S484-$T484)</f>
        <v/>
      </c>
      <c r="V484" s="11">
        <f>IF(OR($C484="",$I484=0),"",CEILING($T484/$I484,1))</f>
        <v/>
      </c>
      <c r="W484" s="6" t="n"/>
      <c r="X484">
        <f>IF(C484="","",LOWER(SUBSTITUTE(SUBSTITUTE(C484," ","-"),"'",""))&amp;".jpg")</f>
        <v/>
      </c>
      <c r="Y484">
        <f>IF(X484="","","/inventory/"&amp;X484)</f>
        <v/>
      </c>
      <c r="Z484">
        <f>IF(O484="Available","available",IF(OR(O484="Rented",O484="Cleaning",O484="Repair"),"unavailable",IF(O484="Retired","unavailable","")))</f>
        <v/>
      </c>
    </row>
    <row r="485" ht="150" customHeight="1">
      <c r="A485" t="inlineStr">
        <is>
          <t>W484</t>
        </is>
      </c>
      <c r="B485" s="6" t="n"/>
      <c r="C485" s="21" t="n"/>
      <c r="D485" s="25" t="n"/>
      <c r="E485" s="6" t="n"/>
      <c r="F485" s="19">
        <f>IF(E485="","",_xlfn.IMAGE(E485))</f>
        <v/>
      </c>
      <c r="G485" s="17" t="n"/>
      <c r="H485" s="39" t="n"/>
      <c r="I485" s="7" t="n"/>
      <c r="J485" s="25" t="n"/>
      <c r="K485" s="28" t="n"/>
      <c r="L485" s="6" t="n"/>
      <c r="M485" s="6" t="n"/>
      <c r="N485" s="6" t="n"/>
      <c r="O485" s="6" t="n"/>
      <c r="P485" s="8" t="n"/>
      <c r="Q485" s="7" t="n"/>
      <c r="R485" s="9" t="n"/>
      <c r="S485" s="10">
        <f>IF($C485="","",$I485*$R485)</f>
        <v/>
      </c>
      <c r="T485" s="10">
        <f>IF($C485="","",(IF($N485="Purchased",$H485,0)+$Q485))</f>
        <v/>
      </c>
      <c r="U485" s="10">
        <f>IF($C485="","",$S485-$T485)</f>
        <v/>
      </c>
      <c r="V485" s="11">
        <f>IF(OR($C485="",$I485=0),"",CEILING($T485/$I485,1))</f>
        <v/>
      </c>
      <c r="W485" s="6" t="n"/>
      <c r="X485">
        <f>IF(C485="","",LOWER(SUBSTITUTE(SUBSTITUTE(C485," ","-"),"'",""))&amp;".jpg")</f>
        <v/>
      </c>
      <c r="Y485">
        <f>IF(X485="","","/inventory/"&amp;X485)</f>
        <v/>
      </c>
      <c r="Z485">
        <f>IF(O485="Available","available",IF(OR(O485="Rented",O485="Cleaning",O485="Repair"),"unavailable",IF(O485="Retired","unavailable","")))</f>
        <v/>
      </c>
    </row>
    <row r="486" ht="150" customHeight="1">
      <c r="A486" t="inlineStr">
        <is>
          <t>W485</t>
        </is>
      </c>
      <c r="B486" s="6" t="n"/>
      <c r="C486" s="21" t="n"/>
      <c r="D486" s="25" t="n"/>
      <c r="E486" s="6" t="n"/>
      <c r="F486" s="19">
        <f>IF(E486="","",_xlfn.IMAGE(E486))</f>
        <v/>
      </c>
      <c r="G486" s="17" t="n"/>
      <c r="H486" s="39" t="n"/>
      <c r="I486" s="7" t="n"/>
      <c r="J486" s="25" t="n"/>
      <c r="K486" s="28" t="n"/>
      <c r="L486" s="6" t="n"/>
      <c r="M486" s="6" t="n"/>
      <c r="N486" s="6" t="n"/>
      <c r="O486" s="6" t="n"/>
      <c r="P486" s="8" t="n"/>
      <c r="Q486" s="7" t="n"/>
      <c r="R486" s="9" t="n"/>
      <c r="S486" s="10">
        <f>IF($C486="","",$I486*$R486)</f>
        <v/>
      </c>
      <c r="T486" s="10">
        <f>IF($C486="","",(IF($N486="Purchased",$H486,0)+$Q486))</f>
        <v/>
      </c>
      <c r="U486" s="10">
        <f>IF($C486="","",$S486-$T486)</f>
        <v/>
      </c>
      <c r="V486" s="11">
        <f>IF(OR($C486="",$I486=0),"",CEILING($T486/$I486,1))</f>
        <v/>
      </c>
      <c r="W486" s="6" t="n"/>
      <c r="X486">
        <f>IF(C486="","",LOWER(SUBSTITUTE(SUBSTITUTE(C486," ","-"),"'",""))&amp;".jpg")</f>
        <v/>
      </c>
      <c r="Y486">
        <f>IF(X486="","","/inventory/"&amp;X486)</f>
        <v/>
      </c>
      <c r="Z486">
        <f>IF(O486="Available","available",IF(OR(O486="Rented",O486="Cleaning",O486="Repair"),"unavailable",IF(O486="Retired","unavailable","")))</f>
        <v/>
      </c>
    </row>
    <row r="487" ht="150" customHeight="1">
      <c r="A487" t="inlineStr">
        <is>
          <t>W486</t>
        </is>
      </c>
      <c r="B487" s="6" t="n"/>
      <c r="C487" s="21" t="n"/>
      <c r="D487" s="25" t="n"/>
      <c r="E487" s="6" t="n"/>
      <c r="F487" s="19">
        <f>IF(E487="","",_xlfn.IMAGE(E487))</f>
        <v/>
      </c>
      <c r="G487" s="17" t="n"/>
      <c r="H487" s="39" t="n"/>
      <c r="I487" s="7" t="n"/>
      <c r="J487" s="25" t="n"/>
      <c r="K487" s="28" t="n"/>
      <c r="L487" s="6" t="n"/>
      <c r="M487" s="6" t="n"/>
      <c r="N487" s="6" t="n"/>
      <c r="O487" s="6" t="n"/>
      <c r="P487" s="8" t="n"/>
      <c r="Q487" s="7" t="n"/>
      <c r="R487" s="9" t="n"/>
      <c r="S487" s="10">
        <f>IF($C487="","",$I487*$R487)</f>
        <v/>
      </c>
      <c r="T487" s="10">
        <f>IF($C487="","",(IF($N487="Purchased",$H487,0)+$Q487))</f>
        <v/>
      </c>
      <c r="U487" s="10">
        <f>IF($C487="","",$S487-$T487)</f>
        <v/>
      </c>
      <c r="V487" s="11">
        <f>IF(OR($C487="",$I487=0),"",CEILING($T487/$I487,1))</f>
        <v/>
      </c>
      <c r="W487" s="6" t="n"/>
      <c r="X487">
        <f>IF(C487="","",LOWER(SUBSTITUTE(SUBSTITUTE(C487," ","-"),"'",""))&amp;".jpg")</f>
        <v/>
      </c>
      <c r="Y487">
        <f>IF(X487="","","/inventory/"&amp;X487)</f>
        <v/>
      </c>
      <c r="Z487">
        <f>IF(O487="Available","available",IF(OR(O487="Rented",O487="Cleaning",O487="Repair"),"unavailable",IF(O487="Retired","unavailable","")))</f>
        <v/>
      </c>
    </row>
    <row r="488" ht="150" customHeight="1">
      <c r="A488" t="inlineStr">
        <is>
          <t>W487</t>
        </is>
      </c>
      <c r="B488" s="6" t="n"/>
      <c r="C488" s="21" t="n"/>
      <c r="D488" s="25" t="n"/>
      <c r="E488" s="6" t="n"/>
      <c r="F488" s="19">
        <f>IF(E488="","",_xlfn.IMAGE(E488))</f>
        <v/>
      </c>
      <c r="G488" s="17" t="n"/>
      <c r="H488" s="39" t="n"/>
      <c r="I488" s="7" t="n"/>
      <c r="J488" s="25" t="n"/>
      <c r="K488" s="28" t="n"/>
      <c r="L488" s="6" t="n"/>
      <c r="M488" s="6" t="n"/>
      <c r="N488" s="6" t="n"/>
      <c r="O488" s="6" t="n"/>
      <c r="P488" s="8" t="n"/>
      <c r="Q488" s="7" t="n"/>
      <c r="R488" s="9" t="n"/>
      <c r="S488" s="10">
        <f>IF($C488="","",$I488*$R488)</f>
        <v/>
      </c>
      <c r="T488" s="10">
        <f>IF($C488="","",(IF($N488="Purchased",$H488,0)+$Q488))</f>
        <v/>
      </c>
      <c r="U488" s="10">
        <f>IF($C488="","",$S488-$T488)</f>
        <v/>
      </c>
      <c r="V488" s="11">
        <f>IF(OR($C488="",$I488=0),"",CEILING($T488/$I488,1))</f>
        <v/>
      </c>
      <c r="W488" s="6" t="n"/>
      <c r="X488">
        <f>IF(C488="","",LOWER(SUBSTITUTE(SUBSTITUTE(C488," ","-"),"'",""))&amp;".jpg")</f>
        <v/>
      </c>
      <c r="Y488">
        <f>IF(X488="","","/inventory/"&amp;X488)</f>
        <v/>
      </c>
      <c r="Z488">
        <f>IF(O488="Available","available",IF(OR(O488="Rented",O488="Cleaning",O488="Repair"),"unavailable",IF(O488="Retired","unavailable","")))</f>
        <v/>
      </c>
    </row>
    <row r="489" ht="150" customHeight="1">
      <c r="A489" t="inlineStr">
        <is>
          <t>W488</t>
        </is>
      </c>
      <c r="B489" s="6" t="n"/>
      <c r="C489" s="21" t="n"/>
      <c r="D489" s="25" t="n"/>
      <c r="E489" s="6" t="n"/>
      <c r="F489" s="19">
        <f>IF(E489="","",_xlfn.IMAGE(E489))</f>
        <v/>
      </c>
      <c r="G489" s="17" t="n"/>
      <c r="H489" s="39" t="n"/>
      <c r="I489" s="7" t="n"/>
      <c r="J489" s="25" t="n"/>
      <c r="K489" s="28" t="n"/>
      <c r="L489" s="6" t="n"/>
      <c r="M489" s="6" t="n"/>
      <c r="N489" s="6" t="n"/>
      <c r="O489" s="6" t="n"/>
      <c r="P489" s="8" t="n"/>
      <c r="Q489" s="7" t="n"/>
      <c r="R489" s="9" t="n"/>
      <c r="S489" s="10">
        <f>IF($C489="","",$I489*$R489)</f>
        <v/>
      </c>
      <c r="T489" s="10">
        <f>IF($C489="","",(IF($N489="Purchased",$H489,0)+$Q489))</f>
        <v/>
      </c>
      <c r="U489" s="10">
        <f>IF($C489="","",$S489-$T489)</f>
        <v/>
      </c>
      <c r="V489" s="11">
        <f>IF(OR($C489="",$I489=0),"",CEILING($T489/$I489,1))</f>
        <v/>
      </c>
      <c r="W489" s="6" t="n"/>
      <c r="X489">
        <f>IF(C489="","",LOWER(SUBSTITUTE(SUBSTITUTE(C489," ","-"),"'",""))&amp;".jpg")</f>
        <v/>
      </c>
      <c r="Y489">
        <f>IF(X489="","","/inventory/"&amp;X489)</f>
        <v/>
      </c>
      <c r="Z489">
        <f>IF(O489="Available","available",IF(OR(O489="Rented",O489="Cleaning",O489="Repair"),"unavailable",IF(O489="Retired","unavailable","")))</f>
        <v/>
      </c>
    </row>
    <row r="490" ht="150" customHeight="1">
      <c r="A490" t="inlineStr">
        <is>
          <t>W489</t>
        </is>
      </c>
      <c r="B490" s="6" t="n"/>
      <c r="C490" s="21" t="n"/>
      <c r="D490" s="25" t="n"/>
      <c r="E490" s="6" t="n"/>
      <c r="F490" s="19">
        <f>IF(E490="","",_xlfn.IMAGE(E490))</f>
        <v/>
      </c>
      <c r="G490" s="17" t="n"/>
      <c r="H490" s="39" t="n"/>
      <c r="I490" s="7" t="n"/>
      <c r="J490" s="25" t="n"/>
      <c r="K490" s="28" t="n"/>
      <c r="L490" s="6" t="n"/>
      <c r="M490" s="6" t="n"/>
      <c r="N490" s="6" t="n"/>
      <c r="O490" s="6" t="n"/>
      <c r="P490" s="8" t="n"/>
      <c r="Q490" s="7" t="n"/>
      <c r="R490" s="9" t="n"/>
      <c r="S490" s="10">
        <f>IF($C490="","",$I490*$R490)</f>
        <v/>
      </c>
      <c r="T490" s="10">
        <f>IF($C490="","",(IF($N490="Purchased",$H490,0)+$Q490))</f>
        <v/>
      </c>
      <c r="U490" s="10">
        <f>IF($C490="","",$S490-$T490)</f>
        <v/>
      </c>
      <c r="V490" s="11">
        <f>IF(OR($C490="",$I490=0),"",CEILING($T490/$I490,1))</f>
        <v/>
      </c>
      <c r="W490" s="6" t="n"/>
      <c r="X490">
        <f>IF(C490="","",LOWER(SUBSTITUTE(SUBSTITUTE(C490," ","-"),"'",""))&amp;".jpg")</f>
        <v/>
      </c>
      <c r="Y490">
        <f>IF(X490="","","/inventory/"&amp;X490)</f>
        <v/>
      </c>
      <c r="Z490">
        <f>IF(O490="Available","available",IF(OR(O490="Rented",O490="Cleaning",O490="Repair"),"unavailable",IF(O490="Retired","unavailable","")))</f>
        <v/>
      </c>
    </row>
    <row r="491" ht="150" customHeight="1">
      <c r="A491" t="inlineStr">
        <is>
          <t>W490</t>
        </is>
      </c>
      <c r="B491" s="6" t="n"/>
      <c r="C491" s="21" t="n"/>
      <c r="D491" s="25" t="n"/>
      <c r="E491" s="6" t="n"/>
      <c r="F491" s="19">
        <f>IF(E491="","",_xlfn.IMAGE(E491))</f>
        <v/>
      </c>
      <c r="G491" s="17" t="n"/>
      <c r="H491" s="39" t="n"/>
      <c r="I491" s="7" t="n"/>
      <c r="J491" s="25" t="n"/>
      <c r="K491" s="28" t="n"/>
      <c r="L491" s="6" t="n"/>
      <c r="M491" s="6" t="n"/>
      <c r="N491" s="6" t="n"/>
      <c r="O491" s="6" t="n"/>
      <c r="P491" s="8" t="n"/>
      <c r="Q491" s="7" t="n"/>
      <c r="R491" s="9" t="n"/>
      <c r="S491" s="10">
        <f>IF($C491="","",$I491*$R491)</f>
        <v/>
      </c>
      <c r="T491" s="10">
        <f>IF($C491="","",(IF($N491="Purchased",$H491,0)+$Q491))</f>
        <v/>
      </c>
      <c r="U491" s="10">
        <f>IF($C491="","",$S491-$T491)</f>
        <v/>
      </c>
      <c r="V491" s="11">
        <f>IF(OR($C491="",$I491=0),"",CEILING($T491/$I491,1))</f>
        <v/>
      </c>
      <c r="W491" s="6" t="n"/>
      <c r="X491">
        <f>IF(C491="","",LOWER(SUBSTITUTE(SUBSTITUTE(C491," ","-"),"'",""))&amp;".jpg")</f>
        <v/>
      </c>
      <c r="Y491">
        <f>IF(X491="","","/inventory/"&amp;X491)</f>
        <v/>
      </c>
      <c r="Z491">
        <f>IF(O491="Available","available",IF(OR(O491="Rented",O491="Cleaning",O491="Repair"),"unavailable",IF(O491="Retired","unavailable","")))</f>
        <v/>
      </c>
    </row>
    <row r="492" ht="150" customHeight="1">
      <c r="A492" t="inlineStr">
        <is>
          <t>W491</t>
        </is>
      </c>
      <c r="B492" s="6" t="n"/>
      <c r="C492" s="21" t="n"/>
      <c r="D492" s="25" t="n"/>
      <c r="E492" s="6" t="n"/>
      <c r="F492" s="19">
        <f>IF(E492="","",_xlfn.IMAGE(E492))</f>
        <v/>
      </c>
      <c r="G492" s="17" t="n"/>
      <c r="H492" s="39" t="n"/>
      <c r="I492" s="7" t="n"/>
      <c r="J492" s="25" t="n"/>
      <c r="K492" s="28" t="n"/>
      <c r="L492" s="6" t="n"/>
      <c r="M492" s="6" t="n"/>
      <c r="N492" s="6" t="n"/>
      <c r="O492" s="6" t="n"/>
      <c r="P492" s="8" t="n"/>
      <c r="Q492" s="7" t="n"/>
      <c r="R492" s="9" t="n"/>
      <c r="S492" s="10">
        <f>IF($C492="","",$I492*$R492)</f>
        <v/>
      </c>
      <c r="T492" s="10">
        <f>IF($C492="","",(IF($N492="Purchased",$H492,0)+$Q492))</f>
        <v/>
      </c>
      <c r="U492" s="10">
        <f>IF($C492="","",$S492-$T492)</f>
        <v/>
      </c>
      <c r="V492" s="11">
        <f>IF(OR($C492="",$I492=0),"",CEILING($T492/$I492,1))</f>
        <v/>
      </c>
      <c r="W492" s="6" t="n"/>
      <c r="X492">
        <f>IF(C492="","",LOWER(SUBSTITUTE(SUBSTITUTE(C492," ","-"),"'",""))&amp;".jpg")</f>
        <v/>
      </c>
      <c r="Y492">
        <f>IF(X492="","","/inventory/"&amp;X492)</f>
        <v/>
      </c>
      <c r="Z492">
        <f>IF(O492="Available","available",IF(OR(O492="Rented",O492="Cleaning",O492="Repair"),"unavailable",IF(O492="Retired","unavailable","")))</f>
        <v/>
      </c>
    </row>
    <row r="493" ht="150" customHeight="1">
      <c r="A493" t="inlineStr">
        <is>
          <t>W492</t>
        </is>
      </c>
      <c r="B493" s="6" t="n"/>
      <c r="C493" s="21" t="n"/>
      <c r="D493" s="25" t="n"/>
      <c r="E493" s="6" t="n"/>
      <c r="F493" s="19">
        <f>IF(E493="","",_xlfn.IMAGE(E493))</f>
        <v/>
      </c>
      <c r="G493" s="17" t="n"/>
      <c r="H493" s="39" t="n"/>
      <c r="I493" s="7" t="n"/>
      <c r="J493" s="25" t="n"/>
      <c r="K493" s="28" t="n"/>
      <c r="L493" s="6" t="n"/>
      <c r="M493" s="6" t="n"/>
      <c r="N493" s="6" t="n"/>
      <c r="O493" s="6" t="n"/>
      <c r="P493" s="8" t="n"/>
      <c r="Q493" s="7" t="n"/>
      <c r="R493" s="9" t="n"/>
      <c r="S493" s="10">
        <f>IF($C493="","",$I493*$R493)</f>
        <v/>
      </c>
      <c r="T493" s="10">
        <f>IF($C493="","",(IF($N493="Purchased",$H493,0)+$Q493))</f>
        <v/>
      </c>
      <c r="U493" s="10">
        <f>IF($C493="","",$S493-$T493)</f>
        <v/>
      </c>
      <c r="V493" s="11">
        <f>IF(OR($C493="",$I493=0),"",CEILING($T493/$I493,1))</f>
        <v/>
      </c>
      <c r="W493" s="6" t="n"/>
      <c r="X493">
        <f>IF(C493="","",LOWER(SUBSTITUTE(SUBSTITUTE(C493," ","-"),"'",""))&amp;".jpg")</f>
        <v/>
      </c>
      <c r="Y493">
        <f>IF(X493="","","/inventory/"&amp;X493)</f>
        <v/>
      </c>
      <c r="Z493">
        <f>IF(O493="Available","available",IF(OR(O493="Rented",O493="Cleaning",O493="Repair"),"unavailable",IF(O493="Retired","unavailable","")))</f>
        <v/>
      </c>
    </row>
    <row r="494" ht="150" customHeight="1">
      <c r="A494" t="inlineStr">
        <is>
          <t>W493</t>
        </is>
      </c>
      <c r="B494" s="6" t="n"/>
      <c r="C494" s="21" t="n"/>
      <c r="D494" s="25" t="n"/>
      <c r="E494" s="6" t="n"/>
      <c r="F494" s="19">
        <f>IF(E494="","",_xlfn.IMAGE(E494))</f>
        <v/>
      </c>
      <c r="G494" s="17" t="n"/>
      <c r="H494" s="39" t="n"/>
      <c r="I494" s="7" t="n"/>
      <c r="J494" s="25" t="n"/>
      <c r="K494" s="28" t="n"/>
      <c r="L494" s="6" t="n"/>
      <c r="M494" s="6" t="n"/>
      <c r="N494" s="6" t="n"/>
      <c r="O494" s="6" t="n"/>
      <c r="P494" s="8" t="n"/>
      <c r="Q494" s="7" t="n"/>
      <c r="R494" s="9" t="n"/>
      <c r="S494" s="10">
        <f>IF($C494="","",$I494*$R494)</f>
        <v/>
      </c>
      <c r="T494" s="10">
        <f>IF($C494="","",(IF($N494="Purchased",$H494,0)+$Q494))</f>
        <v/>
      </c>
      <c r="U494" s="10">
        <f>IF($C494="","",$S494-$T494)</f>
        <v/>
      </c>
      <c r="V494" s="11">
        <f>IF(OR($C494="",$I494=0),"",CEILING($T494/$I494,1))</f>
        <v/>
      </c>
      <c r="W494" s="6" t="n"/>
      <c r="X494">
        <f>IF(C494="","",LOWER(SUBSTITUTE(SUBSTITUTE(C494," ","-"),"'",""))&amp;".jpg")</f>
        <v/>
      </c>
      <c r="Y494">
        <f>IF(X494="","","/inventory/"&amp;X494)</f>
        <v/>
      </c>
      <c r="Z494">
        <f>IF(O494="Available","available",IF(OR(O494="Rented",O494="Cleaning",O494="Repair"),"unavailable",IF(O494="Retired","unavailable","")))</f>
        <v/>
      </c>
    </row>
    <row r="495" ht="150" customHeight="1">
      <c r="A495" t="inlineStr">
        <is>
          <t>W494</t>
        </is>
      </c>
      <c r="B495" s="6" t="n"/>
      <c r="C495" s="21" t="n"/>
      <c r="D495" s="25" t="n"/>
      <c r="E495" s="6" t="n"/>
      <c r="F495" s="19">
        <f>IF(E495="","",_xlfn.IMAGE(E495))</f>
        <v/>
      </c>
      <c r="G495" s="17" t="n"/>
      <c r="H495" s="39" t="n"/>
      <c r="I495" s="7" t="n"/>
      <c r="J495" s="25" t="n"/>
      <c r="K495" s="28" t="n"/>
      <c r="L495" s="6" t="n"/>
      <c r="M495" s="6" t="n"/>
      <c r="N495" s="6" t="n"/>
      <c r="O495" s="6" t="n"/>
      <c r="P495" s="8" t="n"/>
      <c r="Q495" s="7" t="n"/>
      <c r="R495" s="9" t="n"/>
      <c r="S495" s="10">
        <f>IF($C495="","",$I495*$R495)</f>
        <v/>
      </c>
      <c r="T495" s="10">
        <f>IF($C495="","",(IF($N495="Purchased",$H495,0)+$Q495))</f>
        <v/>
      </c>
      <c r="U495" s="10">
        <f>IF($C495="","",$S495-$T495)</f>
        <v/>
      </c>
      <c r="V495" s="11">
        <f>IF(OR($C495="",$I495=0),"",CEILING($T495/$I495,1))</f>
        <v/>
      </c>
      <c r="W495" s="6" t="n"/>
      <c r="X495">
        <f>IF(C495="","",LOWER(SUBSTITUTE(SUBSTITUTE(C495," ","-"),"'",""))&amp;".jpg")</f>
        <v/>
      </c>
      <c r="Y495">
        <f>IF(X495="","","/inventory/"&amp;X495)</f>
        <v/>
      </c>
      <c r="Z495">
        <f>IF(O495="Available","available",IF(OR(O495="Rented",O495="Cleaning",O495="Repair"),"unavailable",IF(O495="Retired","unavailable","")))</f>
        <v/>
      </c>
    </row>
    <row r="496" ht="150" customHeight="1">
      <c r="A496" t="inlineStr">
        <is>
          <t>W495</t>
        </is>
      </c>
      <c r="B496" s="6" t="n"/>
      <c r="C496" s="21" t="n"/>
      <c r="D496" s="25" t="n"/>
      <c r="E496" s="6" t="n"/>
      <c r="F496" s="19">
        <f>IF(E496="","",_xlfn.IMAGE(E496))</f>
        <v/>
      </c>
      <c r="G496" s="17" t="n"/>
      <c r="H496" s="39" t="n"/>
      <c r="I496" s="7" t="n"/>
      <c r="J496" s="25" t="n"/>
      <c r="K496" s="28" t="n"/>
      <c r="L496" s="6" t="n"/>
      <c r="M496" s="6" t="n"/>
      <c r="N496" s="6" t="n"/>
      <c r="O496" s="6" t="n"/>
      <c r="P496" s="8" t="n"/>
      <c r="Q496" s="7" t="n"/>
      <c r="R496" s="9" t="n"/>
      <c r="S496" s="10">
        <f>IF($C496="","",$I496*$R496)</f>
        <v/>
      </c>
      <c r="T496" s="10">
        <f>IF($C496="","",(IF($N496="Purchased",$H496,0)+$Q496))</f>
        <v/>
      </c>
      <c r="U496" s="10">
        <f>IF($C496="","",$S496-$T496)</f>
        <v/>
      </c>
      <c r="V496" s="11">
        <f>IF(OR($C496="",$I496=0),"",CEILING($T496/$I496,1))</f>
        <v/>
      </c>
      <c r="W496" s="6" t="n"/>
      <c r="X496">
        <f>IF(C496="","",LOWER(SUBSTITUTE(SUBSTITUTE(C496," ","-"),"'",""))&amp;".jpg")</f>
        <v/>
      </c>
      <c r="Y496">
        <f>IF(X496="","","/inventory/"&amp;X496)</f>
        <v/>
      </c>
      <c r="Z496">
        <f>IF(O496="Available","available",IF(OR(O496="Rented",O496="Cleaning",O496="Repair"),"unavailable",IF(O496="Retired","unavailable","")))</f>
        <v/>
      </c>
    </row>
    <row r="497" ht="150" customHeight="1">
      <c r="A497" t="inlineStr">
        <is>
          <t>W496</t>
        </is>
      </c>
      <c r="B497" s="6" t="n"/>
      <c r="C497" s="21" t="n"/>
      <c r="D497" s="25" t="n"/>
      <c r="E497" s="6" t="n"/>
      <c r="F497" s="19">
        <f>IF(E497="","",_xlfn.IMAGE(E497))</f>
        <v/>
      </c>
      <c r="G497" s="17" t="n"/>
      <c r="H497" s="39" t="n"/>
      <c r="I497" s="7" t="n"/>
      <c r="J497" s="25" t="n"/>
      <c r="K497" s="28" t="n"/>
      <c r="L497" s="6" t="n"/>
      <c r="M497" s="6" t="n"/>
      <c r="N497" s="6" t="n"/>
      <c r="O497" s="6" t="n"/>
      <c r="P497" s="8" t="n"/>
      <c r="Q497" s="7" t="n"/>
      <c r="R497" s="9" t="n"/>
      <c r="S497" s="10">
        <f>IF($C497="","",$I497*$R497)</f>
        <v/>
      </c>
      <c r="T497" s="10">
        <f>IF($C497="","",(IF($N497="Purchased",$H497,0)+$Q497))</f>
        <v/>
      </c>
      <c r="U497" s="10">
        <f>IF($C497="","",$S497-$T497)</f>
        <v/>
      </c>
      <c r="V497" s="11">
        <f>IF(OR($C497="",$I497=0),"",CEILING($T497/$I497,1))</f>
        <v/>
      </c>
      <c r="W497" s="6" t="n"/>
      <c r="X497">
        <f>IF(C497="","",LOWER(SUBSTITUTE(SUBSTITUTE(C497," ","-"),"'",""))&amp;".jpg")</f>
        <v/>
      </c>
      <c r="Y497">
        <f>IF(X497="","","/inventory/"&amp;X497)</f>
        <v/>
      </c>
      <c r="Z497">
        <f>IF(O497="Available","available",IF(OR(O497="Rented",O497="Cleaning",O497="Repair"),"unavailable",IF(O497="Retired","unavailable","")))</f>
        <v/>
      </c>
    </row>
    <row r="498" ht="150" customHeight="1">
      <c r="A498" t="inlineStr">
        <is>
          <t>W497</t>
        </is>
      </c>
      <c r="B498" s="6" t="n"/>
      <c r="C498" s="21" t="n"/>
      <c r="D498" s="25" t="n"/>
      <c r="E498" s="6" t="n"/>
      <c r="F498" s="19">
        <f>IF(E498="","",_xlfn.IMAGE(E498))</f>
        <v/>
      </c>
      <c r="G498" s="17" t="n"/>
      <c r="H498" s="39" t="n"/>
      <c r="I498" s="7" t="n"/>
      <c r="J498" s="25" t="n"/>
      <c r="K498" s="28" t="n"/>
      <c r="L498" s="6" t="n"/>
      <c r="M498" s="6" t="n"/>
      <c r="N498" s="6" t="n"/>
      <c r="O498" s="6" t="n"/>
      <c r="P498" s="8" t="n"/>
      <c r="Q498" s="7" t="n"/>
      <c r="R498" s="9" t="n"/>
      <c r="S498" s="10">
        <f>IF($C498="","",$I498*$R498)</f>
        <v/>
      </c>
      <c r="T498" s="10">
        <f>IF($C498="","",(IF($N498="Purchased",$H498,0)+$Q498))</f>
        <v/>
      </c>
      <c r="U498" s="10">
        <f>IF($C498="","",$S498-$T498)</f>
        <v/>
      </c>
      <c r="V498" s="11">
        <f>IF(OR($C498="",$I498=0),"",CEILING($T498/$I498,1))</f>
        <v/>
      </c>
      <c r="W498" s="6" t="n"/>
      <c r="X498">
        <f>IF(C498="","",LOWER(SUBSTITUTE(SUBSTITUTE(C498," ","-"),"'",""))&amp;".jpg")</f>
        <v/>
      </c>
      <c r="Y498">
        <f>IF(X498="","","/inventory/"&amp;X498)</f>
        <v/>
      </c>
      <c r="Z498">
        <f>IF(O498="Available","available",IF(OR(O498="Rented",O498="Cleaning",O498="Repair"),"unavailable",IF(O498="Retired","unavailable","")))</f>
        <v/>
      </c>
    </row>
    <row r="499" ht="150" customHeight="1">
      <c r="A499" t="inlineStr">
        <is>
          <t>W498</t>
        </is>
      </c>
      <c r="B499" s="6" t="n"/>
      <c r="C499" s="21" t="n"/>
      <c r="D499" s="25" t="n"/>
      <c r="E499" s="6" t="n"/>
      <c r="F499" s="19">
        <f>IF(E499="","",_xlfn.IMAGE(E499))</f>
        <v/>
      </c>
      <c r="G499" s="17" t="n"/>
      <c r="H499" s="39" t="n"/>
      <c r="I499" s="7" t="n"/>
      <c r="J499" s="25" t="n"/>
      <c r="K499" s="28" t="n"/>
      <c r="L499" s="6" t="n"/>
      <c r="M499" s="6" t="n"/>
      <c r="N499" s="6" t="n"/>
      <c r="O499" s="6" t="n"/>
      <c r="P499" s="8" t="n"/>
      <c r="Q499" s="7" t="n"/>
      <c r="R499" s="9" t="n"/>
      <c r="S499" s="10">
        <f>IF($C499="","",$I499*$R499)</f>
        <v/>
      </c>
      <c r="T499" s="10">
        <f>IF($C499="","",(IF($N499="Purchased",$H499,0)+$Q499))</f>
        <v/>
      </c>
      <c r="U499" s="10">
        <f>IF($C499="","",$S499-$T499)</f>
        <v/>
      </c>
      <c r="V499" s="11">
        <f>IF(OR($C499="",$I499=0),"",CEILING($T499/$I499,1))</f>
        <v/>
      </c>
      <c r="W499" s="6" t="n"/>
      <c r="X499">
        <f>IF(C499="","",LOWER(SUBSTITUTE(SUBSTITUTE(C499," ","-"),"'",""))&amp;".jpg")</f>
        <v/>
      </c>
      <c r="Y499">
        <f>IF(X499="","","/inventory/"&amp;X499)</f>
        <v/>
      </c>
      <c r="Z499">
        <f>IF(O499="Available","available",IF(OR(O499="Rented",O499="Cleaning",O499="Repair"),"unavailable",IF(O499="Retired","unavailable","")))</f>
        <v/>
      </c>
    </row>
    <row r="500" ht="150" customHeight="1">
      <c r="A500" t="inlineStr">
        <is>
          <t>W499</t>
        </is>
      </c>
      <c r="B500" s="6" t="n"/>
      <c r="C500" s="21" t="n"/>
      <c r="D500" s="25" t="n"/>
      <c r="E500" s="6" t="n"/>
      <c r="F500" s="19">
        <f>IF(E500="","",_xlfn.IMAGE(E500))</f>
        <v/>
      </c>
      <c r="G500" s="17" t="n"/>
      <c r="H500" s="39" t="n"/>
      <c r="I500" s="7" t="n"/>
      <c r="J500" s="25" t="n"/>
      <c r="K500" s="28" t="n"/>
      <c r="L500" s="6" t="n"/>
      <c r="M500" s="6" t="n"/>
      <c r="N500" s="6" t="n"/>
      <c r="O500" s="6" t="n"/>
      <c r="P500" s="8" t="n"/>
      <c r="Q500" s="7" t="n"/>
      <c r="R500" s="9" t="n"/>
      <c r="S500" s="10">
        <f>IF($C500="","",$I500*$R500)</f>
        <v/>
      </c>
      <c r="T500" s="10">
        <f>IF($C500="","",(IF($N500="Purchased",$H500,0)+$Q500))</f>
        <v/>
      </c>
      <c r="U500" s="10">
        <f>IF($C500="","",$S500-$T500)</f>
        <v/>
      </c>
      <c r="V500" s="11">
        <f>IF(OR($C500="",$I500=0),"",CEILING($T500/$I500,1))</f>
        <v/>
      </c>
      <c r="W500" s="6" t="n"/>
      <c r="X500">
        <f>IF(C500="","",LOWER(SUBSTITUTE(SUBSTITUTE(C500," ","-"),"'",""))&amp;".jpg")</f>
        <v/>
      </c>
      <c r="Y500">
        <f>IF(X500="","","/inventory/"&amp;X500)</f>
        <v/>
      </c>
      <c r="Z500">
        <f>IF(O500="Available","available",IF(OR(O500="Rented",O500="Cleaning",O500="Repair"),"unavailable",IF(O500="Retired","unavailable","")))</f>
        <v/>
      </c>
    </row>
    <row r="501" ht="150" customHeight="1"/>
  </sheetData>
  <autoFilter ref="A1:W500"/>
  <dataValidations count="16">
    <dataValidation sqref="D2:D10 D12:D500" showDropDown="0" showInputMessage="0" showErrorMessage="0" allowBlank="1" type="list">
      <formula1>CategoryList</formula1>
    </dataValidation>
    <dataValidation sqref="J2:J500" showDropDown="0" showInputMessage="0" showErrorMessage="0" allowBlank="1" type="list">
      <formula1>ConditionList</formula1>
    </dataValidation>
    <dataValidation sqref="K2:K500" showDropDown="0" showInputMessage="0" showErrorMessage="0" allowBlank="1" type="list">
      <formula1>SizeList</formula1>
    </dataValidation>
    <dataValidation sqref="L2:L500" showDropDown="0" showInputMessage="0" showErrorMessage="0" allowBlank="1" type="list">
      <formula1>ColorList</formula1>
    </dataValidation>
    <dataValidation sqref="O2:O500" showDropDown="0" showInputMessage="0" showErrorMessage="0" allowBlank="1" type="list">
      <formula1>ItemStatusList</formula1>
    </dataValidation>
    <dataValidation sqref="N2:N500" showDropDown="0" showInputMessage="0" showErrorMessage="0" allowBlank="1" type="list">
      <formula1>PurchaseStatusList</formula1>
    </dataValidation>
    <dataValidation sqref="M2:M500" showDropDown="0" showInputMessage="0" showErrorMessage="0" allowBlank="1" type="list">
      <formula1>BrandList</formula1>
    </dataValidation>
    <dataValidation sqref="D11" showDropDown="0" showInputMessage="1" showErrorMessage="1" allowBlank="1" type="list">
      <formula1>CategoryList</formula1>
    </dataValidation>
    <dataValidation sqref="B2:B500" showDropDown="0" showInputMessage="0" showErrorMessage="0" allowBlank="1" type="list">
      <formula1>=Lists!$A$2:$A$17</formula1>
    </dataValidation>
    <dataValidation sqref="D2:D500" showDropDown="0" showInputMessage="0" showErrorMessage="0" allowBlank="1" type="list">
      <formula1>=Lists!$B$2:$B$40</formula1>
    </dataValidation>
    <dataValidation sqref="J2:J500" showDropDown="0" showInputMessage="0" showErrorMessage="0" allowBlank="1" type="list">
      <formula1>=Lists!$C$2:$C$6</formula1>
    </dataValidation>
    <dataValidation sqref="K2:K500" showDropDown="0" showInputMessage="0" showErrorMessage="0" allowBlank="1" type="list">
      <formula1>=Lists!$D$2:$D$88</formula1>
    </dataValidation>
    <dataValidation sqref="L2:L500" showDropDown="0" showInputMessage="0" showErrorMessage="0" allowBlank="1" type="list">
      <formula1>=Lists!$E$2:$E$39</formula1>
    </dataValidation>
    <dataValidation sqref="M2:M500" showDropDown="0" showInputMessage="0" showErrorMessage="0" allowBlank="1" type="list">
      <formula1>=Lists!$H$2:$H$51</formula1>
    </dataValidation>
    <dataValidation sqref="N2:N500" showDropDown="0" showInputMessage="0" showErrorMessage="0" allowBlank="1" type="list">
      <formula1>=Lists!$G$2:$G$4</formula1>
    </dataValidation>
    <dataValidation sqref="O2:O500" showDropDown="0" showInputMessage="0" showErrorMessage="0" allowBlank="1" type="list">
      <formula1>=Lists!$F$2:$F$6</formula1>
    </dataValidation>
  </dataValidation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G10" display="https://peteroliveira.com/products/men-s-arden-cotton-linen-lapel-shirt?variant=51571634176338&amp;tw_source=google&amp;tw_adid=&amp;tw_campaign=23006997322&amp;tw_kwdid=&amp;gad_source=1&amp;gad_campaignid=22996803021&amp;gbraid=0AAAABBTaU6vUB-5ShbwzsU6umzNJDSs6O&amp;gclid=CjwKCAiAmKnKBhBrEiwAaqAnZ0oaQuhX9Jj28DOquPuDEjwQhLIqHeoUotKJNHBH3c0Khhj27OT9exoCBgMQAvD_BwE" r:id="rId8"/>
    <hyperlink xmlns:r="http://schemas.openxmlformats.org/officeDocument/2006/relationships" ref="G11" display="https://tailoredathlete.com/products/linen-blend-cuban-collar-shirt-in-stone?variant=45881600114909&amp;country=US&amp;currency=USD&amp;utm_medium=product_sync&amp;utm_source=google&amp;utm_content=sag_organic&amp;utm_campaign=sag_organic&amp;tw_source=google&amp;tw_adid=&amp;tw_campaign=22715163839&amp;tw_kwdid=&amp;gad_source=1&amp;gad_campaignid=22715165474&amp;gbraid=0AAAAADqbZP8jc4hm7Ps2UbIj3QtqSmML_&amp;gclid=CjwKCAiAmKnKBhBrEiwAaqAnZ-5aLZqkHsTlfAB-DH6lZxaKHo9cevRLaoBLyJwwfty3CgIyz1P_9xoCdOcQAvD_BwE" r:id="rId9"/>
    <hyperlink xmlns:r="http://schemas.openxmlformats.org/officeDocument/2006/relationships" ref="E15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8" customWidth="1" min="4" max="4"/>
    <col width="14" customWidth="1" min="5" max="5"/>
    <col width="10" customWidth="1" min="6" max="6"/>
    <col width="12" customWidth="1" min="7" max="7"/>
    <col width="34" customWidth="1" min="8" max="8"/>
    <col width="20" customWidth="1" min="9" max="9"/>
    <col width="20" customWidth="1" min="10" max="10"/>
  </cols>
  <sheetData>
    <row r="1">
      <c r="A1" s="4" t="inlineStr">
        <is>
          <t>id</t>
        </is>
      </c>
      <c r="B1" s="4" t="inlineStr">
        <is>
          <t>wardrobe</t>
        </is>
      </c>
      <c r="C1" s="4" t="inlineStr">
        <is>
          <t>name</t>
        </is>
      </c>
      <c r="D1" s="4" t="inlineStr">
        <is>
          <t>category</t>
        </is>
      </c>
      <c r="E1" s="4" t="inlineStr">
        <is>
          <t>sizes</t>
        </is>
      </c>
      <c r="F1" s="4" t="inlineStr">
        <is>
          <t>price</t>
        </is>
      </c>
      <c r="G1" s="4" t="inlineStr">
        <is>
          <t>status</t>
        </is>
      </c>
      <c r="H1" s="4" t="inlineStr">
        <is>
          <t>image</t>
        </is>
      </c>
      <c r="I1" s="4" t="inlineStr">
        <is>
          <t>notes</t>
        </is>
      </c>
      <c r="J1" s="4" t="inlineStr">
        <is>
          <t>tags</t>
        </is>
      </c>
    </row>
    <row r="2">
      <c r="A2">
        <f>IF(Inventory!A2="","",Inventory!A2)</f>
        <v/>
      </c>
      <c r="B2">
        <f>IF(Inventory!A2="","",Inventory!B2)</f>
        <v/>
      </c>
      <c r="C2">
        <f>IF(Inventory!A2="","",Inventory!C2)</f>
        <v/>
      </c>
      <c r="D2">
        <f>IF(Inventory!A2="","",Inventory!D2)</f>
        <v/>
      </c>
      <c r="E2">
        <f>IF(Inventory!A2="","",Inventory!K2)</f>
        <v/>
      </c>
      <c r="F2">
        <f>IF(Inventory!A2="","",Inventory!I2)</f>
        <v/>
      </c>
      <c r="G2">
        <f>IF(Inventory!A2="","",Inventory!Z2)</f>
        <v/>
      </c>
      <c r="H2">
        <f>IF(Inventory!A2="","",Inventory!Y2)</f>
        <v/>
      </c>
      <c r="I2">
        <f>IF(Inventory!A2="","",Inventory!W2)</f>
        <v/>
      </c>
      <c r="J2">
        <f>IF(Inventory!A2="","",Inventory!AA2)</f>
        <v/>
      </c>
    </row>
    <row r="3">
      <c r="A3">
        <f>IF(Inventory!A3="","",Inventory!A3)</f>
        <v/>
      </c>
      <c r="B3">
        <f>IF(Inventory!A3="","",Inventory!B3)</f>
        <v/>
      </c>
      <c r="C3">
        <f>IF(Inventory!A3="","",Inventory!C3)</f>
        <v/>
      </c>
      <c r="D3">
        <f>IF(Inventory!A3="","",Inventory!D3)</f>
        <v/>
      </c>
      <c r="E3">
        <f>IF(Inventory!A3="","",Inventory!K3)</f>
        <v/>
      </c>
      <c r="F3">
        <f>IF(Inventory!A3="","",Inventory!I3)</f>
        <v/>
      </c>
      <c r="G3">
        <f>IF(Inventory!A3="","",Inventory!Z3)</f>
        <v/>
      </c>
      <c r="H3">
        <f>IF(Inventory!A3="","",Inventory!Y3)</f>
        <v/>
      </c>
      <c r="I3">
        <f>IF(Inventory!A3="","",Inventory!W3)</f>
        <v/>
      </c>
      <c r="J3">
        <f>IF(Inventory!A3="","",Inventory!AA3)</f>
        <v/>
      </c>
    </row>
    <row r="4">
      <c r="A4">
        <f>IF(Inventory!A4="","",Inventory!A4)</f>
        <v/>
      </c>
      <c r="B4">
        <f>IF(Inventory!A4="","",Inventory!B4)</f>
        <v/>
      </c>
      <c r="C4">
        <f>IF(Inventory!A4="","",Inventory!C4)</f>
        <v/>
      </c>
      <c r="D4">
        <f>IF(Inventory!A4="","",Inventory!D4)</f>
        <v/>
      </c>
      <c r="E4">
        <f>IF(Inventory!A4="","",Inventory!K4)</f>
        <v/>
      </c>
      <c r="F4">
        <f>IF(Inventory!A4="","",Inventory!I4)</f>
        <v/>
      </c>
      <c r="G4">
        <f>IF(Inventory!A4="","",Inventory!Z4)</f>
        <v/>
      </c>
      <c r="H4">
        <f>IF(Inventory!A4="","",Inventory!Y4)</f>
        <v/>
      </c>
      <c r="I4">
        <f>IF(Inventory!A4="","",Inventory!W4)</f>
        <v/>
      </c>
      <c r="J4">
        <f>IF(Inventory!A4="","",Inventory!AA4)</f>
        <v/>
      </c>
    </row>
    <row r="5">
      <c r="A5">
        <f>IF(Inventory!A5="","",Inventory!A5)</f>
        <v/>
      </c>
      <c r="B5">
        <f>IF(Inventory!A5="","",Inventory!B5)</f>
        <v/>
      </c>
      <c r="C5">
        <f>IF(Inventory!A5="","",Inventory!C5)</f>
        <v/>
      </c>
      <c r="D5">
        <f>IF(Inventory!A5="","",Inventory!D5)</f>
        <v/>
      </c>
      <c r="E5">
        <f>IF(Inventory!A5="","",Inventory!K5)</f>
        <v/>
      </c>
      <c r="F5">
        <f>IF(Inventory!A5="","",Inventory!I5)</f>
        <v/>
      </c>
      <c r="G5">
        <f>IF(Inventory!A5="","",Inventory!Z5)</f>
        <v/>
      </c>
      <c r="H5">
        <f>IF(Inventory!A5="","",Inventory!Y5)</f>
        <v/>
      </c>
      <c r="I5">
        <f>IF(Inventory!A5="","",Inventory!W5)</f>
        <v/>
      </c>
      <c r="J5">
        <f>IF(Inventory!A5="","",Inventory!AA5)</f>
        <v/>
      </c>
    </row>
    <row r="6">
      <c r="A6">
        <f>IF(Inventory!A6="","",Inventory!A6)</f>
        <v/>
      </c>
      <c r="B6">
        <f>IF(Inventory!A6="","",Inventory!B6)</f>
        <v/>
      </c>
      <c r="C6">
        <f>IF(Inventory!A6="","",Inventory!C6)</f>
        <v/>
      </c>
      <c r="D6">
        <f>IF(Inventory!A6="","",Inventory!D6)</f>
        <v/>
      </c>
      <c r="E6">
        <f>IF(Inventory!A6="","",Inventory!K6)</f>
        <v/>
      </c>
      <c r="F6">
        <f>IF(Inventory!A6="","",Inventory!I6)</f>
        <v/>
      </c>
      <c r="G6">
        <f>IF(Inventory!A6="","",Inventory!Z6)</f>
        <v/>
      </c>
      <c r="H6">
        <f>IF(Inventory!A6="","",Inventory!Y6)</f>
        <v/>
      </c>
      <c r="I6">
        <f>IF(Inventory!A6="","",Inventory!W6)</f>
        <v/>
      </c>
      <c r="J6">
        <f>IF(Inventory!A6="","",Inventory!AA6)</f>
        <v/>
      </c>
    </row>
    <row r="7">
      <c r="A7">
        <f>IF(Inventory!A7="","",Inventory!A7)</f>
        <v/>
      </c>
      <c r="B7">
        <f>IF(Inventory!A7="","",Inventory!B7)</f>
        <v/>
      </c>
      <c r="C7">
        <f>IF(Inventory!A7="","",Inventory!C7)</f>
        <v/>
      </c>
      <c r="D7">
        <f>IF(Inventory!A7="","",Inventory!D7)</f>
        <v/>
      </c>
      <c r="E7">
        <f>IF(Inventory!A7="","",Inventory!K7)</f>
        <v/>
      </c>
      <c r="F7">
        <f>IF(Inventory!A7="","",Inventory!I7)</f>
        <v/>
      </c>
      <c r="G7">
        <f>IF(Inventory!A7="","",Inventory!Z7)</f>
        <v/>
      </c>
      <c r="H7">
        <f>IF(Inventory!A7="","",Inventory!Y7)</f>
        <v/>
      </c>
      <c r="I7">
        <f>IF(Inventory!A7="","",Inventory!W7)</f>
        <v/>
      </c>
      <c r="J7">
        <f>IF(Inventory!A7="","",Inventory!AA7)</f>
        <v/>
      </c>
    </row>
    <row r="8">
      <c r="A8">
        <f>IF(Inventory!A8="","",Inventory!A8)</f>
        <v/>
      </c>
      <c r="B8">
        <f>IF(Inventory!A8="","",Inventory!B8)</f>
        <v/>
      </c>
      <c r="C8">
        <f>IF(Inventory!A8="","",Inventory!C8)</f>
        <v/>
      </c>
      <c r="D8">
        <f>IF(Inventory!A8="","",Inventory!D8)</f>
        <v/>
      </c>
      <c r="E8">
        <f>IF(Inventory!A8="","",Inventory!K8)</f>
        <v/>
      </c>
      <c r="F8">
        <f>IF(Inventory!A8="","",Inventory!I8)</f>
        <v/>
      </c>
      <c r="G8">
        <f>IF(Inventory!A8="","",Inventory!Z8)</f>
        <v/>
      </c>
      <c r="H8">
        <f>IF(Inventory!A8="","",Inventory!Y8)</f>
        <v/>
      </c>
      <c r="I8">
        <f>IF(Inventory!A8="","",Inventory!W8)</f>
        <v/>
      </c>
      <c r="J8">
        <f>IF(Inventory!A8="","",Inventory!AA8)</f>
        <v/>
      </c>
    </row>
    <row r="9">
      <c r="A9">
        <f>IF(Inventory!A9="","",Inventory!A9)</f>
        <v/>
      </c>
      <c r="B9">
        <f>IF(Inventory!A9="","",Inventory!B9)</f>
        <v/>
      </c>
      <c r="C9">
        <f>IF(Inventory!A9="","",Inventory!C9)</f>
        <v/>
      </c>
      <c r="D9">
        <f>IF(Inventory!A9="","",Inventory!D9)</f>
        <v/>
      </c>
      <c r="E9">
        <f>IF(Inventory!A9="","",Inventory!K9)</f>
        <v/>
      </c>
      <c r="F9">
        <f>IF(Inventory!A9="","",Inventory!I9)</f>
        <v/>
      </c>
      <c r="G9">
        <f>IF(Inventory!A9="","",Inventory!Z9)</f>
        <v/>
      </c>
      <c r="H9">
        <f>IF(Inventory!A9="","",Inventory!Y9)</f>
        <v/>
      </c>
      <c r="I9">
        <f>IF(Inventory!A9="","",Inventory!W9)</f>
        <v/>
      </c>
      <c r="J9">
        <f>IF(Inventory!A9="","",Inventory!AA9)</f>
        <v/>
      </c>
    </row>
    <row r="10">
      <c r="A10">
        <f>IF(Inventory!A10="","",Inventory!A10)</f>
        <v/>
      </c>
      <c r="B10">
        <f>IF(Inventory!A10="","",Inventory!B10)</f>
        <v/>
      </c>
      <c r="C10">
        <f>IF(Inventory!A10="","",Inventory!C10)</f>
        <v/>
      </c>
      <c r="D10">
        <f>IF(Inventory!A10="","",Inventory!D10)</f>
        <v/>
      </c>
      <c r="E10">
        <f>IF(Inventory!A10="","",Inventory!K10)</f>
        <v/>
      </c>
      <c r="F10">
        <f>IF(Inventory!A10="","",Inventory!I10)</f>
        <v/>
      </c>
      <c r="G10">
        <f>IF(Inventory!A10="","",Inventory!Z10)</f>
        <v/>
      </c>
      <c r="H10">
        <f>IF(Inventory!A10="","",Inventory!Y10)</f>
        <v/>
      </c>
      <c r="I10">
        <f>IF(Inventory!A10="","",Inventory!W10)</f>
        <v/>
      </c>
      <c r="J10">
        <f>IF(Inventory!A10="","",Inventory!AA10)</f>
        <v/>
      </c>
    </row>
    <row r="11">
      <c r="A11">
        <f>IF(Inventory!A11="","",Inventory!A11)</f>
        <v/>
      </c>
      <c r="B11">
        <f>IF(Inventory!A11="","",Inventory!B11)</f>
        <v/>
      </c>
      <c r="C11">
        <f>IF(Inventory!A11="","",Inventory!C11)</f>
        <v/>
      </c>
      <c r="D11">
        <f>IF(Inventory!A11="","",Inventory!D11)</f>
        <v/>
      </c>
      <c r="E11">
        <f>IF(Inventory!A11="","",Inventory!K11)</f>
        <v/>
      </c>
      <c r="F11">
        <f>IF(Inventory!A11="","",Inventory!I11)</f>
        <v/>
      </c>
      <c r="G11">
        <f>IF(Inventory!A11="","",Inventory!Z11)</f>
        <v/>
      </c>
      <c r="H11">
        <f>IF(Inventory!A11="","",Inventory!Y11)</f>
        <v/>
      </c>
      <c r="I11">
        <f>IF(Inventory!A11="","",Inventory!W11)</f>
        <v/>
      </c>
      <c r="J11">
        <f>IF(Inventory!A11="","",Inventory!AA11)</f>
        <v/>
      </c>
    </row>
    <row r="12">
      <c r="A12">
        <f>IF(Inventory!A12="","",Inventory!A12)</f>
        <v/>
      </c>
      <c r="B12">
        <f>IF(Inventory!A12="","",Inventory!B12)</f>
        <v/>
      </c>
      <c r="C12">
        <f>IF(Inventory!A12="","",Inventory!C12)</f>
        <v/>
      </c>
      <c r="D12">
        <f>IF(Inventory!A12="","",Inventory!D12)</f>
        <v/>
      </c>
      <c r="E12">
        <f>IF(Inventory!A12="","",Inventory!K12)</f>
        <v/>
      </c>
      <c r="F12">
        <f>IF(Inventory!A12="","",Inventory!I12)</f>
        <v/>
      </c>
      <c r="G12">
        <f>IF(Inventory!A12="","",Inventory!Z12)</f>
        <v/>
      </c>
      <c r="H12">
        <f>IF(Inventory!A12="","",Inventory!Y12)</f>
        <v/>
      </c>
      <c r="I12">
        <f>IF(Inventory!A12="","",Inventory!W12)</f>
        <v/>
      </c>
      <c r="J12">
        <f>IF(Inventory!A12="","",Inventory!AA12)</f>
        <v/>
      </c>
    </row>
    <row r="13">
      <c r="A13">
        <f>IF(Inventory!A13="","",Inventory!A13)</f>
        <v/>
      </c>
      <c r="B13">
        <f>IF(Inventory!A13="","",Inventory!B13)</f>
        <v/>
      </c>
      <c r="C13">
        <f>IF(Inventory!A13="","",Inventory!C13)</f>
        <v/>
      </c>
      <c r="D13">
        <f>IF(Inventory!A13="","",Inventory!D13)</f>
        <v/>
      </c>
      <c r="E13">
        <f>IF(Inventory!A13="","",Inventory!K13)</f>
        <v/>
      </c>
      <c r="F13">
        <f>IF(Inventory!A13="","",Inventory!I13)</f>
        <v/>
      </c>
      <c r="G13">
        <f>IF(Inventory!A13="","",Inventory!Z13)</f>
        <v/>
      </c>
      <c r="H13">
        <f>IF(Inventory!A13="","",Inventory!Y13)</f>
        <v/>
      </c>
      <c r="I13">
        <f>IF(Inventory!A13="","",Inventory!W13)</f>
        <v/>
      </c>
      <c r="J13">
        <f>IF(Inventory!A13="","",Inventory!AA13)</f>
        <v/>
      </c>
    </row>
    <row r="14">
      <c r="A14">
        <f>IF(Inventory!A14="","",Inventory!A14)</f>
        <v/>
      </c>
      <c r="B14">
        <f>IF(Inventory!A14="","",Inventory!B14)</f>
        <v/>
      </c>
      <c r="C14">
        <f>IF(Inventory!A14="","",Inventory!C14)</f>
        <v/>
      </c>
      <c r="D14">
        <f>IF(Inventory!A14="","",Inventory!D14)</f>
        <v/>
      </c>
      <c r="E14">
        <f>IF(Inventory!A14="","",Inventory!K14)</f>
        <v/>
      </c>
      <c r="F14">
        <f>IF(Inventory!A14="","",Inventory!I14)</f>
        <v/>
      </c>
      <c r="G14">
        <f>IF(Inventory!A14="","",Inventory!Z14)</f>
        <v/>
      </c>
      <c r="H14">
        <f>IF(Inventory!A14="","",Inventory!Y14)</f>
        <v/>
      </c>
      <c r="I14">
        <f>IF(Inventory!A14="","",Inventory!W14)</f>
        <v/>
      </c>
      <c r="J14">
        <f>IF(Inventory!A14="","",Inventory!AA14)</f>
        <v/>
      </c>
    </row>
    <row r="15">
      <c r="A15">
        <f>IF(Inventory!A15="","",Inventory!A15)</f>
        <v/>
      </c>
      <c r="B15">
        <f>IF(Inventory!A15="","",Inventory!B15)</f>
        <v/>
      </c>
      <c r="C15">
        <f>IF(Inventory!A15="","",Inventory!C15)</f>
        <v/>
      </c>
      <c r="D15">
        <f>IF(Inventory!A15="","",Inventory!D15)</f>
        <v/>
      </c>
      <c r="E15">
        <f>IF(Inventory!A15="","",Inventory!K15)</f>
        <v/>
      </c>
      <c r="F15">
        <f>IF(Inventory!A15="","",Inventory!I15)</f>
        <v/>
      </c>
      <c r="G15">
        <f>IF(Inventory!A15="","",Inventory!Z15)</f>
        <v/>
      </c>
      <c r="H15">
        <f>IF(Inventory!A15="","",Inventory!Y15)</f>
        <v/>
      </c>
      <c r="I15">
        <f>IF(Inventory!A15="","",Inventory!W15)</f>
        <v/>
      </c>
      <c r="J15">
        <f>IF(Inventory!A15="","",Inventory!AA15)</f>
        <v/>
      </c>
    </row>
    <row r="16">
      <c r="A16">
        <f>IF(Inventory!A16="","",Inventory!A16)</f>
        <v/>
      </c>
      <c r="B16">
        <f>IF(Inventory!A16="","",Inventory!B16)</f>
        <v/>
      </c>
      <c r="C16">
        <f>IF(Inventory!A16="","",Inventory!C16)</f>
        <v/>
      </c>
      <c r="D16">
        <f>IF(Inventory!A16="","",Inventory!D16)</f>
        <v/>
      </c>
      <c r="E16">
        <f>IF(Inventory!A16="","",Inventory!K16)</f>
        <v/>
      </c>
      <c r="F16">
        <f>IF(Inventory!A16="","",Inventory!I16)</f>
        <v/>
      </c>
      <c r="G16">
        <f>IF(Inventory!A16="","",Inventory!Z16)</f>
        <v/>
      </c>
      <c r="H16">
        <f>IF(Inventory!A16="","",Inventory!Y16)</f>
        <v/>
      </c>
      <c r="I16">
        <f>IF(Inventory!A16="","",Inventory!W16)</f>
        <v/>
      </c>
      <c r="J16">
        <f>IF(Inventory!A16="","",Inventory!AA16)</f>
        <v/>
      </c>
    </row>
    <row r="17">
      <c r="A17">
        <f>IF(Inventory!A17="","",Inventory!A17)</f>
        <v/>
      </c>
      <c r="B17">
        <f>IF(Inventory!A17="","",Inventory!B17)</f>
        <v/>
      </c>
      <c r="C17">
        <f>IF(Inventory!A17="","",Inventory!C17)</f>
        <v/>
      </c>
      <c r="D17">
        <f>IF(Inventory!A17="","",Inventory!D17)</f>
        <v/>
      </c>
      <c r="E17">
        <f>IF(Inventory!A17="","",Inventory!K17)</f>
        <v/>
      </c>
      <c r="F17">
        <f>IF(Inventory!A17="","",Inventory!I17)</f>
        <v/>
      </c>
      <c r="G17">
        <f>IF(Inventory!A17="","",Inventory!Z17)</f>
        <v/>
      </c>
      <c r="H17">
        <f>IF(Inventory!A17="","",Inventory!Y17)</f>
        <v/>
      </c>
      <c r="I17">
        <f>IF(Inventory!A17="","",Inventory!W17)</f>
        <v/>
      </c>
      <c r="J17">
        <f>IF(Inventory!A17="","",Inventory!AA17)</f>
        <v/>
      </c>
    </row>
    <row r="18">
      <c r="A18">
        <f>IF(Inventory!A18="","",Inventory!A18)</f>
        <v/>
      </c>
      <c r="B18">
        <f>IF(Inventory!A18="","",Inventory!B18)</f>
        <v/>
      </c>
      <c r="C18">
        <f>IF(Inventory!A18="","",Inventory!C18)</f>
        <v/>
      </c>
      <c r="D18">
        <f>IF(Inventory!A18="","",Inventory!D18)</f>
        <v/>
      </c>
      <c r="E18">
        <f>IF(Inventory!A18="","",Inventory!K18)</f>
        <v/>
      </c>
      <c r="F18">
        <f>IF(Inventory!A18="","",Inventory!I18)</f>
        <v/>
      </c>
      <c r="G18">
        <f>IF(Inventory!A18="","",Inventory!Z18)</f>
        <v/>
      </c>
      <c r="H18">
        <f>IF(Inventory!A18="","",Inventory!Y18)</f>
        <v/>
      </c>
      <c r="I18">
        <f>IF(Inventory!A18="","",Inventory!W18)</f>
        <v/>
      </c>
      <c r="J18">
        <f>IF(Inventory!A18="","",Inventory!AA18)</f>
        <v/>
      </c>
    </row>
    <row r="19">
      <c r="A19">
        <f>IF(Inventory!A19="","",Inventory!A19)</f>
        <v/>
      </c>
      <c r="B19">
        <f>IF(Inventory!A19="","",Inventory!B19)</f>
        <v/>
      </c>
      <c r="C19">
        <f>IF(Inventory!A19="","",Inventory!C19)</f>
        <v/>
      </c>
      <c r="D19">
        <f>IF(Inventory!A19="","",Inventory!D19)</f>
        <v/>
      </c>
      <c r="E19">
        <f>IF(Inventory!A19="","",Inventory!K19)</f>
        <v/>
      </c>
      <c r="F19">
        <f>IF(Inventory!A19="","",Inventory!I19)</f>
        <v/>
      </c>
      <c r="G19">
        <f>IF(Inventory!A19="","",Inventory!Z19)</f>
        <v/>
      </c>
      <c r="H19">
        <f>IF(Inventory!A19="","",Inventory!Y19)</f>
        <v/>
      </c>
      <c r="I19">
        <f>IF(Inventory!A19="","",Inventory!W19)</f>
        <v/>
      </c>
      <c r="J19">
        <f>IF(Inventory!A19="","",Inventory!AA19)</f>
        <v/>
      </c>
    </row>
    <row r="20">
      <c r="A20">
        <f>IF(Inventory!A20="","",Inventory!A20)</f>
        <v/>
      </c>
      <c r="B20">
        <f>IF(Inventory!A20="","",Inventory!B20)</f>
        <v/>
      </c>
      <c r="C20">
        <f>IF(Inventory!A20="","",Inventory!C20)</f>
        <v/>
      </c>
      <c r="D20">
        <f>IF(Inventory!A20="","",Inventory!D20)</f>
        <v/>
      </c>
      <c r="E20">
        <f>IF(Inventory!A20="","",Inventory!K20)</f>
        <v/>
      </c>
      <c r="F20">
        <f>IF(Inventory!A20="","",Inventory!I20)</f>
        <v/>
      </c>
      <c r="G20">
        <f>IF(Inventory!A20="","",Inventory!Z20)</f>
        <v/>
      </c>
      <c r="H20">
        <f>IF(Inventory!A20="","",Inventory!Y20)</f>
        <v/>
      </c>
      <c r="I20">
        <f>IF(Inventory!A20="","",Inventory!W20)</f>
        <v/>
      </c>
      <c r="J20">
        <f>IF(Inventory!A20="","",Inventory!AA20)</f>
        <v/>
      </c>
    </row>
    <row r="21">
      <c r="A21">
        <f>IF(Inventory!A21="","",Inventory!A21)</f>
        <v/>
      </c>
      <c r="B21">
        <f>IF(Inventory!A21="","",Inventory!B21)</f>
        <v/>
      </c>
      <c r="C21">
        <f>IF(Inventory!A21="","",Inventory!C21)</f>
        <v/>
      </c>
      <c r="D21">
        <f>IF(Inventory!A21="","",Inventory!D21)</f>
        <v/>
      </c>
      <c r="E21">
        <f>IF(Inventory!A21="","",Inventory!K21)</f>
        <v/>
      </c>
      <c r="F21">
        <f>IF(Inventory!A21="","",Inventory!I21)</f>
        <v/>
      </c>
      <c r="G21">
        <f>IF(Inventory!A21="","",Inventory!Z21)</f>
        <v/>
      </c>
      <c r="H21">
        <f>IF(Inventory!A21="","",Inventory!Y21)</f>
        <v/>
      </c>
      <c r="I21">
        <f>IF(Inventory!A21="","",Inventory!W21)</f>
        <v/>
      </c>
      <c r="J21">
        <f>IF(Inventory!A21="","",Inventory!AA21)</f>
        <v/>
      </c>
    </row>
    <row r="22">
      <c r="A22">
        <f>IF(Inventory!A22="","",Inventory!A22)</f>
        <v/>
      </c>
      <c r="B22">
        <f>IF(Inventory!A22="","",Inventory!B22)</f>
        <v/>
      </c>
      <c r="C22">
        <f>IF(Inventory!A22="","",Inventory!C22)</f>
        <v/>
      </c>
      <c r="D22">
        <f>IF(Inventory!A22="","",Inventory!D22)</f>
        <v/>
      </c>
      <c r="E22">
        <f>IF(Inventory!A22="","",Inventory!K22)</f>
        <v/>
      </c>
      <c r="F22">
        <f>IF(Inventory!A22="","",Inventory!I22)</f>
        <v/>
      </c>
      <c r="G22">
        <f>IF(Inventory!A22="","",Inventory!Z22)</f>
        <v/>
      </c>
      <c r="H22">
        <f>IF(Inventory!A22="","",Inventory!Y22)</f>
        <v/>
      </c>
      <c r="I22">
        <f>IF(Inventory!A22="","",Inventory!W22)</f>
        <v/>
      </c>
      <c r="J22">
        <f>IF(Inventory!A22="","",Inventory!AA22)</f>
        <v/>
      </c>
    </row>
    <row r="23">
      <c r="A23">
        <f>IF(Inventory!A23="","",Inventory!A23)</f>
        <v/>
      </c>
      <c r="B23">
        <f>IF(Inventory!A23="","",Inventory!B23)</f>
        <v/>
      </c>
      <c r="C23">
        <f>IF(Inventory!A23="","",Inventory!C23)</f>
        <v/>
      </c>
      <c r="D23">
        <f>IF(Inventory!A23="","",Inventory!D23)</f>
        <v/>
      </c>
      <c r="E23">
        <f>IF(Inventory!A23="","",Inventory!K23)</f>
        <v/>
      </c>
      <c r="F23">
        <f>IF(Inventory!A23="","",Inventory!I23)</f>
        <v/>
      </c>
      <c r="G23">
        <f>IF(Inventory!A23="","",Inventory!Z23)</f>
        <v/>
      </c>
      <c r="H23">
        <f>IF(Inventory!A23="","",Inventory!Y23)</f>
        <v/>
      </c>
      <c r="I23">
        <f>IF(Inventory!A23="","",Inventory!W23)</f>
        <v/>
      </c>
      <c r="J23">
        <f>IF(Inventory!A23="","",Inventory!AA23)</f>
        <v/>
      </c>
    </row>
    <row r="24">
      <c r="A24">
        <f>IF(Inventory!A24="","",Inventory!A24)</f>
        <v/>
      </c>
      <c r="B24">
        <f>IF(Inventory!A24="","",Inventory!B24)</f>
        <v/>
      </c>
      <c r="C24">
        <f>IF(Inventory!A24="","",Inventory!C24)</f>
        <v/>
      </c>
      <c r="D24">
        <f>IF(Inventory!A24="","",Inventory!D24)</f>
        <v/>
      </c>
      <c r="E24">
        <f>IF(Inventory!A24="","",Inventory!K24)</f>
        <v/>
      </c>
      <c r="F24">
        <f>IF(Inventory!A24="","",Inventory!I24)</f>
        <v/>
      </c>
      <c r="G24">
        <f>IF(Inventory!A24="","",Inventory!Z24)</f>
        <v/>
      </c>
      <c r="H24">
        <f>IF(Inventory!A24="","",Inventory!Y24)</f>
        <v/>
      </c>
      <c r="I24">
        <f>IF(Inventory!A24="","",Inventory!W24)</f>
        <v/>
      </c>
      <c r="J24">
        <f>IF(Inventory!A24="","",Inventory!AA24)</f>
        <v/>
      </c>
    </row>
    <row r="25">
      <c r="A25">
        <f>IF(Inventory!A25="","",Inventory!A25)</f>
        <v/>
      </c>
      <c r="B25">
        <f>IF(Inventory!A25="","",Inventory!B25)</f>
        <v/>
      </c>
      <c r="C25">
        <f>IF(Inventory!A25="","",Inventory!C25)</f>
        <v/>
      </c>
      <c r="D25">
        <f>IF(Inventory!A25="","",Inventory!D25)</f>
        <v/>
      </c>
      <c r="E25">
        <f>IF(Inventory!A25="","",Inventory!K25)</f>
        <v/>
      </c>
      <c r="F25">
        <f>IF(Inventory!A25="","",Inventory!I25)</f>
        <v/>
      </c>
      <c r="G25">
        <f>IF(Inventory!A25="","",Inventory!Z25)</f>
        <v/>
      </c>
      <c r="H25">
        <f>IF(Inventory!A25="","",Inventory!Y25)</f>
        <v/>
      </c>
      <c r="I25">
        <f>IF(Inventory!A25="","",Inventory!W25)</f>
        <v/>
      </c>
      <c r="J25">
        <f>IF(Inventory!A25="","",Inventory!AA25)</f>
        <v/>
      </c>
    </row>
    <row r="26">
      <c r="A26">
        <f>IF(Inventory!A26="","",Inventory!A26)</f>
        <v/>
      </c>
      <c r="B26">
        <f>IF(Inventory!A26="","",Inventory!B26)</f>
        <v/>
      </c>
      <c r="C26">
        <f>IF(Inventory!A26="","",Inventory!C26)</f>
        <v/>
      </c>
      <c r="D26">
        <f>IF(Inventory!A26="","",Inventory!D26)</f>
        <v/>
      </c>
      <c r="E26">
        <f>IF(Inventory!A26="","",Inventory!K26)</f>
        <v/>
      </c>
      <c r="F26">
        <f>IF(Inventory!A26="","",Inventory!I26)</f>
        <v/>
      </c>
      <c r="G26">
        <f>IF(Inventory!A26="","",Inventory!Z26)</f>
        <v/>
      </c>
      <c r="H26">
        <f>IF(Inventory!A26="","",Inventory!Y26)</f>
        <v/>
      </c>
      <c r="I26">
        <f>IF(Inventory!A26="","",Inventory!W26)</f>
        <v/>
      </c>
      <c r="J26">
        <f>IF(Inventory!A26="","",Inventory!AA26)</f>
        <v/>
      </c>
    </row>
    <row r="27">
      <c r="A27">
        <f>IF(Inventory!A27="","",Inventory!A27)</f>
        <v/>
      </c>
      <c r="B27">
        <f>IF(Inventory!A27="","",Inventory!B27)</f>
        <v/>
      </c>
      <c r="C27">
        <f>IF(Inventory!A27="","",Inventory!C27)</f>
        <v/>
      </c>
      <c r="D27">
        <f>IF(Inventory!A27="","",Inventory!D27)</f>
        <v/>
      </c>
      <c r="E27">
        <f>IF(Inventory!A27="","",Inventory!K27)</f>
        <v/>
      </c>
      <c r="F27">
        <f>IF(Inventory!A27="","",Inventory!I27)</f>
        <v/>
      </c>
      <c r="G27">
        <f>IF(Inventory!A27="","",Inventory!Z27)</f>
        <v/>
      </c>
      <c r="H27">
        <f>IF(Inventory!A27="","",Inventory!Y27)</f>
        <v/>
      </c>
      <c r="I27">
        <f>IF(Inventory!A27="","",Inventory!W27)</f>
        <v/>
      </c>
      <c r="J27">
        <f>IF(Inventory!A27="","",Inventory!AA27)</f>
        <v/>
      </c>
    </row>
    <row r="28">
      <c r="A28">
        <f>IF(Inventory!A28="","",Inventory!A28)</f>
        <v/>
      </c>
      <c r="B28">
        <f>IF(Inventory!A28="","",Inventory!B28)</f>
        <v/>
      </c>
      <c r="C28">
        <f>IF(Inventory!A28="","",Inventory!C28)</f>
        <v/>
      </c>
      <c r="D28">
        <f>IF(Inventory!A28="","",Inventory!D28)</f>
        <v/>
      </c>
      <c r="E28">
        <f>IF(Inventory!A28="","",Inventory!K28)</f>
        <v/>
      </c>
      <c r="F28">
        <f>IF(Inventory!A28="","",Inventory!I28)</f>
        <v/>
      </c>
      <c r="G28">
        <f>IF(Inventory!A28="","",Inventory!Z28)</f>
        <v/>
      </c>
      <c r="H28">
        <f>IF(Inventory!A28="","",Inventory!Y28)</f>
        <v/>
      </c>
      <c r="I28">
        <f>IF(Inventory!A28="","",Inventory!W28)</f>
        <v/>
      </c>
      <c r="J28">
        <f>IF(Inventory!A28="","",Inventory!AA28)</f>
        <v/>
      </c>
    </row>
    <row r="29">
      <c r="A29">
        <f>IF(Inventory!A29="","",Inventory!A29)</f>
        <v/>
      </c>
      <c r="B29">
        <f>IF(Inventory!A29="","",Inventory!B29)</f>
        <v/>
      </c>
      <c r="C29">
        <f>IF(Inventory!A29="","",Inventory!C29)</f>
        <v/>
      </c>
      <c r="D29">
        <f>IF(Inventory!A29="","",Inventory!D29)</f>
        <v/>
      </c>
      <c r="E29">
        <f>IF(Inventory!A29="","",Inventory!K29)</f>
        <v/>
      </c>
      <c r="F29">
        <f>IF(Inventory!A29="","",Inventory!I29)</f>
        <v/>
      </c>
      <c r="G29">
        <f>IF(Inventory!A29="","",Inventory!Z29)</f>
        <v/>
      </c>
      <c r="H29">
        <f>IF(Inventory!A29="","",Inventory!Y29)</f>
        <v/>
      </c>
      <c r="I29">
        <f>IF(Inventory!A29="","",Inventory!W29)</f>
        <v/>
      </c>
      <c r="J29">
        <f>IF(Inventory!A29="","",Inventory!AA29)</f>
        <v/>
      </c>
    </row>
    <row r="30">
      <c r="A30">
        <f>IF(Inventory!A30="","",Inventory!A30)</f>
        <v/>
      </c>
      <c r="B30">
        <f>IF(Inventory!A30="","",Inventory!B30)</f>
        <v/>
      </c>
      <c r="C30">
        <f>IF(Inventory!A30="","",Inventory!C30)</f>
        <v/>
      </c>
      <c r="D30">
        <f>IF(Inventory!A30="","",Inventory!D30)</f>
        <v/>
      </c>
      <c r="E30">
        <f>IF(Inventory!A30="","",Inventory!K30)</f>
        <v/>
      </c>
      <c r="F30">
        <f>IF(Inventory!A30="","",Inventory!I30)</f>
        <v/>
      </c>
      <c r="G30">
        <f>IF(Inventory!A30="","",Inventory!Z30)</f>
        <v/>
      </c>
      <c r="H30">
        <f>IF(Inventory!A30="","",Inventory!Y30)</f>
        <v/>
      </c>
      <c r="I30">
        <f>IF(Inventory!A30="","",Inventory!W30)</f>
        <v/>
      </c>
      <c r="J30">
        <f>IF(Inventory!A30="","",Inventory!AA30)</f>
        <v/>
      </c>
    </row>
    <row r="31">
      <c r="A31">
        <f>IF(Inventory!A31="","",Inventory!A31)</f>
        <v/>
      </c>
      <c r="B31">
        <f>IF(Inventory!A31="","",Inventory!B31)</f>
        <v/>
      </c>
      <c r="C31">
        <f>IF(Inventory!A31="","",Inventory!C31)</f>
        <v/>
      </c>
      <c r="D31">
        <f>IF(Inventory!A31="","",Inventory!D31)</f>
        <v/>
      </c>
      <c r="E31">
        <f>IF(Inventory!A31="","",Inventory!K31)</f>
        <v/>
      </c>
      <c r="F31">
        <f>IF(Inventory!A31="","",Inventory!I31)</f>
        <v/>
      </c>
      <c r="G31">
        <f>IF(Inventory!A31="","",Inventory!Z31)</f>
        <v/>
      </c>
      <c r="H31">
        <f>IF(Inventory!A31="","",Inventory!Y31)</f>
        <v/>
      </c>
      <c r="I31">
        <f>IF(Inventory!A31="","",Inventory!W31)</f>
        <v/>
      </c>
      <c r="J31">
        <f>IF(Inventory!A31="","",Inventory!AA31)</f>
        <v/>
      </c>
    </row>
    <row r="32">
      <c r="A32">
        <f>IF(Inventory!A32="","",Inventory!A32)</f>
        <v/>
      </c>
      <c r="B32">
        <f>IF(Inventory!A32="","",Inventory!B32)</f>
        <v/>
      </c>
      <c r="C32">
        <f>IF(Inventory!A32="","",Inventory!C32)</f>
        <v/>
      </c>
      <c r="D32">
        <f>IF(Inventory!A32="","",Inventory!D32)</f>
        <v/>
      </c>
      <c r="E32">
        <f>IF(Inventory!A32="","",Inventory!K32)</f>
        <v/>
      </c>
      <c r="F32">
        <f>IF(Inventory!A32="","",Inventory!I32)</f>
        <v/>
      </c>
      <c r="G32">
        <f>IF(Inventory!A32="","",Inventory!Z32)</f>
        <v/>
      </c>
      <c r="H32">
        <f>IF(Inventory!A32="","",Inventory!Y32)</f>
        <v/>
      </c>
      <c r="I32">
        <f>IF(Inventory!A32="","",Inventory!W32)</f>
        <v/>
      </c>
      <c r="J32">
        <f>IF(Inventory!A32="","",Inventory!AA32)</f>
        <v/>
      </c>
    </row>
    <row r="33">
      <c r="A33">
        <f>IF(Inventory!A33="","",Inventory!A33)</f>
        <v/>
      </c>
      <c r="B33">
        <f>IF(Inventory!A33="","",Inventory!B33)</f>
        <v/>
      </c>
      <c r="C33">
        <f>IF(Inventory!A33="","",Inventory!C33)</f>
        <v/>
      </c>
      <c r="D33">
        <f>IF(Inventory!A33="","",Inventory!D33)</f>
        <v/>
      </c>
      <c r="E33">
        <f>IF(Inventory!A33="","",Inventory!K33)</f>
        <v/>
      </c>
      <c r="F33">
        <f>IF(Inventory!A33="","",Inventory!I33)</f>
        <v/>
      </c>
      <c r="G33">
        <f>IF(Inventory!A33="","",Inventory!Z33)</f>
        <v/>
      </c>
      <c r="H33">
        <f>IF(Inventory!A33="","",Inventory!Y33)</f>
        <v/>
      </c>
      <c r="I33">
        <f>IF(Inventory!A33="","",Inventory!W33)</f>
        <v/>
      </c>
      <c r="J33">
        <f>IF(Inventory!A33="","",Inventory!AA33)</f>
        <v/>
      </c>
    </row>
    <row r="34">
      <c r="A34">
        <f>IF(Inventory!A34="","",Inventory!A34)</f>
        <v/>
      </c>
      <c r="B34">
        <f>IF(Inventory!A34="","",Inventory!B34)</f>
        <v/>
      </c>
      <c r="C34">
        <f>IF(Inventory!A34="","",Inventory!C34)</f>
        <v/>
      </c>
      <c r="D34">
        <f>IF(Inventory!A34="","",Inventory!D34)</f>
        <v/>
      </c>
      <c r="E34">
        <f>IF(Inventory!A34="","",Inventory!K34)</f>
        <v/>
      </c>
      <c r="F34">
        <f>IF(Inventory!A34="","",Inventory!I34)</f>
        <v/>
      </c>
      <c r="G34">
        <f>IF(Inventory!A34="","",Inventory!Z34)</f>
        <v/>
      </c>
      <c r="H34">
        <f>IF(Inventory!A34="","",Inventory!Y34)</f>
        <v/>
      </c>
      <c r="I34">
        <f>IF(Inventory!A34="","",Inventory!W34)</f>
        <v/>
      </c>
      <c r="J34">
        <f>IF(Inventory!A34="","",Inventory!AA34)</f>
        <v/>
      </c>
    </row>
    <row r="35">
      <c r="A35">
        <f>IF(Inventory!A35="","",Inventory!A35)</f>
        <v/>
      </c>
      <c r="B35">
        <f>IF(Inventory!A35="","",Inventory!B35)</f>
        <v/>
      </c>
      <c r="C35">
        <f>IF(Inventory!A35="","",Inventory!C35)</f>
        <v/>
      </c>
      <c r="D35">
        <f>IF(Inventory!A35="","",Inventory!D35)</f>
        <v/>
      </c>
      <c r="E35">
        <f>IF(Inventory!A35="","",Inventory!K35)</f>
        <v/>
      </c>
      <c r="F35">
        <f>IF(Inventory!A35="","",Inventory!I35)</f>
        <v/>
      </c>
      <c r="G35">
        <f>IF(Inventory!A35="","",Inventory!Z35)</f>
        <v/>
      </c>
      <c r="H35">
        <f>IF(Inventory!A35="","",Inventory!Y35)</f>
        <v/>
      </c>
      <c r="I35">
        <f>IF(Inventory!A35="","",Inventory!W35)</f>
        <v/>
      </c>
      <c r="J35">
        <f>IF(Inventory!A35="","",Inventory!AA35)</f>
        <v/>
      </c>
    </row>
    <row r="36">
      <c r="A36">
        <f>IF(Inventory!A36="","",Inventory!A36)</f>
        <v/>
      </c>
      <c r="B36">
        <f>IF(Inventory!A36="","",Inventory!B36)</f>
        <v/>
      </c>
      <c r="C36">
        <f>IF(Inventory!A36="","",Inventory!C36)</f>
        <v/>
      </c>
      <c r="D36">
        <f>IF(Inventory!A36="","",Inventory!D36)</f>
        <v/>
      </c>
      <c r="E36">
        <f>IF(Inventory!A36="","",Inventory!K36)</f>
        <v/>
      </c>
      <c r="F36">
        <f>IF(Inventory!A36="","",Inventory!I36)</f>
        <v/>
      </c>
      <c r="G36">
        <f>IF(Inventory!A36="","",Inventory!Z36)</f>
        <v/>
      </c>
      <c r="H36">
        <f>IF(Inventory!A36="","",Inventory!Y36)</f>
        <v/>
      </c>
      <c r="I36">
        <f>IF(Inventory!A36="","",Inventory!W36)</f>
        <v/>
      </c>
      <c r="J36">
        <f>IF(Inventory!A36="","",Inventory!AA36)</f>
        <v/>
      </c>
    </row>
    <row r="37">
      <c r="A37">
        <f>IF(Inventory!A37="","",Inventory!A37)</f>
        <v/>
      </c>
      <c r="B37">
        <f>IF(Inventory!A37="","",Inventory!B37)</f>
        <v/>
      </c>
      <c r="C37">
        <f>IF(Inventory!A37="","",Inventory!C37)</f>
        <v/>
      </c>
      <c r="D37">
        <f>IF(Inventory!A37="","",Inventory!D37)</f>
        <v/>
      </c>
      <c r="E37">
        <f>IF(Inventory!A37="","",Inventory!K37)</f>
        <v/>
      </c>
      <c r="F37">
        <f>IF(Inventory!A37="","",Inventory!I37)</f>
        <v/>
      </c>
      <c r="G37">
        <f>IF(Inventory!A37="","",Inventory!Z37)</f>
        <v/>
      </c>
      <c r="H37">
        <f>IF(Inventory!A37="","",Inventory!Y37)</f>
        <v/>
      </c>
      <c r="I37">
        <f>IF(Inventory!A37="","",Inventory!W37)</f>
        <v/>
      </c>
      <c r="J37">
        <f>IF(Inventory!A37="","",Inventory!AA37)</f>
        <v/>
      </c>
    </row>
    <row r="38">
      <c r="A38">
        <f>IF(Inventory!A38="","",Inventory!A38)</f>
        <v/>
      </c>
      <c r="B38">
        <f>IF(Inventory!A38="","",Inventory!B38)</f>
        <v/>
      </c>
      <c r="C38">
        <f>IF(Inventory!A38="","",Inventory!C38)</f>
        <v/>
      </c>
      <c r="D38">
        <f>IF(Inventory!A38="","",Inventory!D38)</f>
        <v/>
      </c>
      <c r="E38">
        <f>IF(Inventory!A38="","",Inventory!K38)</f>
        <v/>
      </c>
      <c r="F38">
        <f>IF(Inventory!A38="","",Inventory!I38)</f>
        <v/>
      </c>
      <c r="G38">
        <f>IF(Inventory!A38="","",Inventory!Z38)</f>
        <v/>
      </c>
      <c r="H38">
        <f>IF(Inventory!A38="","",Inventory!Y38)</f>
        <v/>
      </c>
      <c r="I38">
        <f>IF(Inventory!A38="","",Inventory!W38)</f>
        <v/>
      </c>
      <c r="J38">
        <f>IF(Inventory!A38="","",Inventory!AA38)</f>
        <v/>
      </c>
    </row>
    <row r="39">
      <c r="A39">
        <f>IF(Inventory!A39="","",Inventory!A39)</f>
        <v/>
      </c>
      <c r="B39">
        <f>IF(Inventory!A39="","",Inventory!B39)</f>
        <v/>
      </c>
      <c r="C39">
        <f>IF(Inventory!A39="","",Inventory!C39)</f>
        <v/>
      </c>
      <c r="D39">
        <f>IF(Inventory!A39="","",Inventory!D39)</f>
        <v/>
      </c>
      <c r="E39">
        <f>IF(Inventory!A39="","",Inventory!K39)</f>
        <v/>
      </c>
      <c r="F39">
        <f>IF(Inventory!A39="","",Inventory!I39)</f>
        <v/>
      </c>
      <c r="G39">
        <f>IF(Inventory!A39="","",Inventory!Z39)</f>
        <v/>
      </c>
      <c r="H39">
        <f>IF(Inventory!A39="","",Inventory!Y39)</f>
        <v/>
      </c>
      <c r="I39">
        <f>IF(Inventory!A39="","",Inventory!W39)</f>
        <v/>
      </c>
      <c r="J39">
        <f>IF(Inventory!A39="","",Inventory!AA39)</f>
        <v/>
      </c>
    </row>
    <row r="40">
      <c r="A40">
        <f>IF(Inventory!A40="","",Inventory!A40)</f>
        <v/>
      </c>
      <c r="B40">
        <f>IF(Inventory!A40="","",Inventory!B40)</f>
        <v/>
      </c>
      <c r="C40">
        <f>IF(Inventory!A40="","",Inventory!C40)</f>
        <v/>
      </c>
      <c r="D40">
        <f>IF(Inventory!A40="","",Inventory!D40)</f>
        <v/>
      </c>
      <c r="E40">
        <f>IF(Inventory!A40="","",Inventory!K40)</f>
        <v/>
      </c>
      <c r="F40">
        <f>IF(Inventory!A40="","",Inventory!I40)</f>
        <v/>
      </c>
      <c r="G40">
        <f>IF(Inventory!A40="","",Inventory!Z40)</f>
        <v/>
      </c>
      <c r="H40">
        <f>IF(Inventory!A40="","",Inventory!Y40)</f>
        <v/>
      </c>
      <c r="I40">
        <f>IF(Inventory!A40="","",Inventory!W40)</f>
        <v/>
      </c>
      <c r="J40">
        <f>IF(Inventory!A40="","",Inventory!AA40)</f>
        <v/>
      </c>
    </row>
    <row r="41">
      <c r="A41">
        <f>IF(Inventory!A41="","",Inventory!A41)</f>
        <v/>
      </c>
      <c r="B41">
        <f>IF(Inventory!A41="","",Inventory!B41)</f>
        <v/>
      </c>
      <c r="C41">
        <f>IF(Inventory!A41="","",Inventory!C41)</f>
        <v/>
      </c>
      <c r="D41">
        <f>IF(Inventory!A41="","",Inventory!D41)</f>
        <v/>
      </c>
      <c r="E41">
        <f>IF(Inventory!A41="","",Inventory!K41)</f>
        <v/>
      </c>
      <c r="F41">
        <f>IF(Inventory!A41="","",Inventory!I41)</f>
        <v/>
      </c>
      <c r="G41">
        <f>IF(Inventory!A41="","",Inventory!Z41)</f>
        <v/>
      </c>
      <c r="H41">
        <f>IF(Inventory!A41="","",Inventory!Y41)</f>
        <v/>
      </c>
      <c r="I41">
        <f>IF(Inventory!A41="","",Inventory!W41)</f>
        <v/>
      </c>
      <c r="J41">
        <f>IF(Inventory!A41="","",Inventory!AA41)</f>
        <v/>
      </c>
    </row>
    <row r="42">
      <c r="A42">
        <f>IF(Inventory!A42="","",Inventory!A42)</f>
        <v/>
      </c>
      <c r="B42">
        <f>IF(Inventory!A42="","",Inventory!B42)</f>
        <v/>
      </c>
      <c r="C42">
        <f>IF(Inventory!A42="","",Inventory!C42)</f>
        <v/>
      </c>
      <c r="D42">
        <f>IF(Inventory!A42="","",Inventory!D42)</f>
        <v/>
      </c>
      <c r="E42">
        <f>IF(Inventory!A42="","",Inventory!K42)</f>
        <v/>
      </c>
      <c r="F42">
        <f>IF(Inventory!A42="","",Inventory!I42)</f>
        <v/>
      </c>
      <c r="G42">
        <f>IF(Inventory!A42="","",Inventory!Z42)</f>
        <v/>
      </c>
      <c r="H42">
        <f>IF(Inventory!A42="","",Inventory!Y42)</f>
        <v/>
      </c>
      <c r="I42">
        <f>IF(Inventory!A42="","",Inventory!W42)</f>
        <v/>
      </c>
      <c r="J42">
        <f>IF(Inventory!A42="","",Inventory!AA42)</f>
        <v/>
      </c>
    </row>
    <row r="43">
      <c r="A43">
        <f>IF(Inventory!A43="","",Inventory!A43)</f>
        <v/>
      </c>
      <c r="B43">
        <f>IF(Inventory!A43="","",Inventory!B43)</f>
        <v/>
      </c>
      <c r="C43">
        <f>IF(Inventory!A43="","",Inventory!C43)</f>
        <v/>
      </c>
      <c r="D43">
        <f>IF(Inventory!A43="","",Inventory!D43)</f>
        <v/>
      </c>
      <c r="E43">
        <f>IF(Inventory!A43="","",Inventory!K43)</f>
        <v/>
      </c>
      <c r="F43">
        <f>IF(Inventory!A43="","",Inventory!I43)</f>
        <v/>
      </c>
      <c r="G43">
        <f>IF(Inventory!A43="","",Inventory!Z43)</f>
        <v/>
      </c>
      <c r="H43">
        <f>IF(Inventory!A43="","",Inventory!Y43)</f>
        <v/>
      </c>
      <c r="I43">
        <f>IF(Inventory!A43="","",Inventory!W43)</f>
        <v/>
      </c>
      <c r="J43">
        <f>IF(Inventory!A43="","",Inventory!AA43)</f>
        <v/>
      </c>
    </row>
    <row r="44">
      <c r="A44">
        <f>IF(Inventory!A44="","",Inventory!A44)</f>
        <v/>
      </c>
      <c r="B44">
        <f>IF(Inventory!A44="","",Inventory!B44)</f>
        <v/>
      </c>
      <c r="C44">
        <f>IF(Inventory!A44="","",Inventory!C44)</f>
        <v/>
      </c>
      <c r="D44">
        <f>IF(Inventory!A44="","",Inventory!D44)</f>
        <v/>
      </c>
      <c r="E44">
        <f>IF(Inventory!A44="","",Inventory!K44)</f>
        <v/>
      </c>
      <c r="F44">
        <f>IF(Inventory!A44="","",Inventory!I44)</f>
        <v/>
      </c>
      <c r="G44">
        <f>IF(Inventory!A44="","",Inventory!Z44)</f>
        <v/>
      </c>
      <c r="H44">
        <f>IF(Inventory!A44="","",Inventory!Y44)</f>
        <v/>
      </c>
      <c r="I44">
        <f>IF(Inventory!A44="","",Inventory!W44)</f>
        <v/>
      </c>
      <c r="J44">
        <f>IF(Inventory!A44="","",Inventory!AA44)</f>
        <v/>
      </c>
    </row>
    <row r="45">
      <c r="A45">
        <f>IF(Inventory!A45="","",Inventory!A45)</f>
        <v/>
      </c>
      <c r="B45">
        <f>IF(Inventory!A45="","",Inventory!B45)</f>
        <v/>
      </c>
      <c r="C45">
        <f>IF(Inventory!A45="","",Inventory!C45)</f>
        <v/>
      </c>
      <c r="D45">
        <f>IF(Inventory!A45="","",Inventory!D45)</f>
        <v/>
      </c>
      <c r="E45">
        <f>IF(Inventory!A45="","",Inventory!K45)</f>
        <v/>
      </c>
      <c r="F45">
        <f>IF(Inventory!A45="","",Inventory!I45)</f>
        <v/>
      </c>
      <c r="G45">
        <f>IF(Inventory!A45="","",Inventory!Z45)</f>
        <v/>
      </c>
      <c r="H45">
        <f>IF(Inventory!A45="","",Inventory!Y45)</f>
        <v/>
      </c>
      <c r="I45">
        <f>IF(Inventory!A45="","",Inventory!W45)</f>
        <v/>
      </c>
      <c r="J45">
        <f>IF(Inventory!A45="","",Inventory!AA45)</f>
        <v/>
      </c>
    </row>
    <row r="46">
      <c r="A46">
        <f>IF(Inventory!A46="","",Inventory!A46)</f>
        <v/>
      </c>
      <c r="B46">
        <f>IF(Inventory!A46="","",Inventory!B46)</f>
        <v/>
      </c>
      <c r="C46">
        <f>IF(Inventory!A46="","",Inventory!C46)</f>
        <v/>
      </c>
      <c r="D46">
        <f>IF(Inventory!A46="","",Inventory!D46)</f>
        <v/>
      </c>
      <c r="E46">
        <f>IF(Inventory!A46="","",Inventory!K46)</f>
        <v/>
      </c>
      <c r="F46">
        <f>IF(Inventory!A46="","",Inventory!I46)</f>
        <v/>
      </c>
      <c r="G46">
        <f>IF(Inventory!A46="","",Inventory!Z46)</f>
        <v/>
      </c>
      <c r="H46">
        <f>IF(Inventory!A46="","",Inventory!Y46)</f>
        <v/>
      </c>
      <c r="I46">
        <f>IF(Inventory!A46="","",Inventory!W46)</f>
        <v/>
      </c>
      <c r="J46">
        <f>IF(Inventory!A46="","",Inventory!AA46)</f>
        <v/>
      </c>
    </row>
    <row r="47">
      <c r="A47">
        <f>IF(Inventory!A47="","",Inventory!A47)</f>
        <v/>
      </c>
      <c r="B47">
        <f>IF(Inventory!A47="","",Inventory!B47)</f>
        <v/>
      </c>
      <c r="C47">
        <f>IF(Inventory!A47="","",Inventory!C47)</f>
        <v/>
      </c>
      <c r="D47">
        <f>IF(Inventory!A47="","",Inventory!D47)</f>
        <v/>
      </c>
      <c r="E47">
        <f>IF(Inventory!A47="","",Inventory!K47)</f>
        <v/>
      </c>
      <c r="F47">
        <f>IF(Inventory!A47="","",Inventory!I47)</f>
        <v/>
      </c>
      <c r="G47">
        <f>IF(Inventory!A47="","",Inventory!Z47)</f>
        <v/>
      </c>
      <c r="H47">
        <f>IF(Inventory!A47="","",Inventory!Y47)</f>
        <v/>
      </c>
      <c r="I47">
        <f>IF(Inventory!A47="","",Inventory!W47)</f>
        <v/>
      </c>
      <c r="J47">
        <f>IF(Inventory!A47="","",Inventory!AA47)</f>
        <v/>
      </c>
    </row>
    <row r="48">
      <c r="A48">
        <f>IF(Inventory!A48="","",Inventory!A48)</f>
        <v/>
      </c>
      <c r="B48">
        <f>IF(Inventory!A48="","",Inventory!B48)</f>
        <v/>
      </c>
      <c r="C48">
        <f>IF(Inventory!A48="","",Inventory!C48)</f>
        <v/>
      </c>
      <c r="D48">
        <f>IF(Inventory!A48="","",Inventory!D48)</f>
        <v/>
      </c>
      <c r="E48">
        <f>IF(Inventory!A48="","",Inventory!K48)</f>
        <v/>
      </c>
      <c r="F48">
        <f>IF(Inventory!A48="","",Inventory!I48)</f>
        <v/>
      </c>
      <c r="G48">
        <f>IF(Inventory!A48="","",Inventory!Z48)</f>
        <v/>
      </c>
      <c r="H48">
        <f>IF(Inventory!A48="","",Inventory!Y48)</f>
        <v/>
      </c>
      <c r="I48">
        <f>IF(Inventory!A48="","",Inventory!W48)</f>
        <v/>
      </c>
      <c r="J48">
        <f>IF(Inventory!A48="","",Inventory!AA48)</f>
        <v/>
      </c>
    </row>
    <row r="49">
      <c r="A49">
        <f>IF(Inventory!A49="","",Inventory!A49)</f>
        <v/>
      </c>
      <c r="B49">
        <f>IF(Inventory!A49="","",Inventory!B49)</f>
        <v/>
      </c>
      <c r="C49">
        <f>IF(Inventory!A49="","",Inventory!C49)</f>
        <v/>
      </c>
      <c r="D49">
        <f>IF(Inventory!A49="","",Inventory!D49)</f>
        <v/>
      </c>
      <c r="E49">
        <f>IF(Inventory!A49="","",Inventory!K49)</f>
        <v/>
      </c>
      <c r="F49">
        <f>IF(Inventory!A49="","",Inventory!I49)</f>
        <v/>
      </c>
      <c r="G49">
        <f>IF(Inventory!A49="","",Inventory!Z49)</f>
        <v/>
      </c>
      <c r="H49">
        <f>IF(Inventory!A49="","",Inventory!Y49)</f>
        <v/>
      </c>
      <c r="I49">
        <f>IF(Inventory!A49="","",Inventory!W49)</f>
        <v/>
      </c>
      <c r="J49">
        <f>IF(Inventory!A49="","",Inventory!AA49)</f>
        <v/>
      </c>
    </row>
    <row r="50">
      <c r="A50">
        <f>IF(Inventory!A50="","",Inventory!A50)</f>
        <v/>
      </c>
      <c r="B50">
        <f>IF(Inventory!A50="","",Inventory!B50)</f>
        <v/>
      </c>
      <c r="C50">
        <f>IF(Inventory!A50="","",Inventory!C50)</f>
        <v/>
      </c>
      <c r="D50">
        <f>IF(Inventory!A50="","",Inventory!D50)</f>
        <v/>
      </c>
      <c r="E50">
        <f>IF(Inventory!A50="","",Inventory!K50)</f>
        <v/>
      </c>
      <c r="F50">
        <f>IF(Inventory!A50="","",Inventory!I50)</f>
        <v/>
      </c>
      <c r="G50">
        <f>IF(Inventory!A50="","",Inventory!Z50)</f>
        <v/>
      </c>
      <c r="H50">
        <f>IF(Inventory!A50="","",Inventory!Y50)</f>
        <v/>
      </c>
      <c r="I50">
        <f>IF(Inventory!A50="","",Inventory!W50)</f>
        <v/>
      </c>
      <c r="J50">
        <f>IF(Inventory!A50="","",Inventory!AA50)</f>
        <v/>
      </c>
    </row>
    <row r="51">
      <c r="A51">
        <f>IF(Inventory!A51="","",Inventory!A51)</f>
        <v/>
      </c>
      <c r="B51">
        <f>IF(Inventory!A51="","",Inventory!B51)</f>
        <v/>
      </c>
      <c r="C51">
        <f>IF(Inventory!A51="","",Inventory!C51)</f>
        <v/>
      </c>
      <c r="D51">
        <f>IF(Inventory!A51="","",Inventory!D51)</f>
        <v/>
      </c>
      <c r="E51">
        <f>IF(Inventory!A51="","",Inventory!K51)</f>
        <v/>
      </c>
      <c r="F51">
        <f>IF(Inventory!A51="","",Inventory!I51)</f>
        <v/>
      </c>
      <c r="G51">
        <f>IF(Inventory!A51="","",Inventory!Z51)</f>
        <v/>
      </c>
      <c r="H51">
        <f>IF(Inventory!A51="","",Inventory!Y51)</f>
        <v/>
      </c>
      <c r="I51">
        <f>IF(Inventory!A51="","",Inventory!W51)</f>
        <v/>
      </c>
      <c r="J51">
        <f>IF(Inventory!A51="","",Inventory!AA51)</f>
        <v/>
      </c>
    </row>
    <row r="52">
      <c r="A52">
        <f>IF(Inventory!A52="","",Inventory!A52)</f>
        <v/>
      </c>
      <c r="B52">
        <f>IF(Inventory!A52="","",Inventory!B52)</f>
        <v/>
      </c>
      <c r="C52">
        <f>IF(Inventory!A52="","",Inventory!C52)</f>
        <v/>
      </c>
      <c r="D52">
        <f>IF(Inventory!A52="","",Inventory!D52)</f>
        <v/>
      </c>
      <c r="E52">
        <f>IF(Inventory!A52="","",Inventory!K52)</f>
        <v/>
      </c>
      <c r="F52">
        <f>IF(Inventory!A52="","",Inventory!I52)</f>
        <v/>
      </c>
      <c r="G52">
        <f>IF(Inventory!A52="","",Inventory!Z52)</f>
        <v/>
      </c>
      <c r="H52">
        <f>IF(Inventory!A52="","",Inventory!Y52)</f>
        <v/>
      </c>
      <c r="I52">
        <f>IF(Inventory!A52="","",Inventory!W52)</f>
        <v/>
      </c>
      <c r="J52">
        <f>IF(Inventory!A52="","",Inventory!AA52)</f>
        <v/>
      </c>
    </row>
    <row r="53">
      <c r="A53">
        <f>IF(Inventory!A53="","",Inventory!A53)</f>
        <v/>
      </c>
      <c r="B53">
        <f>IF(Inventory!A53="","",Inventory!B53)</f>
        <v/>
      </c>
      <c r="C53">
        <f>IF(Inventory!A53="","",Inventory!C53)</f>
        <v/>
      </c>
      <c r="D53">
        <f>IF(Inventory!A53="","",Inventory!D53)</f>
        <v/>
      </c>
      <c r="E53">
        <f>IF(Inventory!A53="","",Inventory!K53)</f>
        <v/>
      </c>
      <c r="F53">
        <f>IF(Inventory!A53="","",Inventory!I53)</f>
        <v/>
      </c>
      <c r="G53">
        <f>IF(Inventory!A53="","",Inventory!Z53)</f>
        <v/>
      </c>
      <c r="H53">
        <f>IF(Inventory!A53="","",Inventory!Y53)</f>
        <v/>
      </c>
      <c r="I53">
        <f>IF(Inventory!A53="","",Inventory!W53)</f>
        <v/>
      </c>
      <c r="J53">
        <f>IF(Inventory!A53="","",Inventory!AA53)</f>
        <v/>
      </c>
    </row>
    <row r="54">
      <c r="A54">
        <f>IF(Inventory!A54="","",Inventory!A54)</f>
        <v/>
      </c>
      <c r="B54">
        <f>IF(Inventory!A54="","",Inventory!B54)</f>
        <v/>
      </c>
      <c r="C54">
        <f>IF(Inventory!A54="","",Inventory!C54)</f>
        <v/>
      </c>
      <c r="D54">
        <f>IF(Inventory!A54="","",Inventory!D54)</f>
        <v/>
      </c>
      <c r="E54">
        <f>IF(Inventory!A54="","",Inventory!K54)</f>
        <v/>
      </c>
      <c r="F54">
        <f>IF(Inventory!A54="","",Inventory!I54)</f>
        <v/>
      </c>
      <c r="G54">
        <f>IF(Inventory!A54="","",Inventory!Z54)</f>
        <v/>
      </c>
      <c r="H54">
        <f>IF(Inventory!A54="","",Inventory!Y54)</f>
        <v/>
      </c>
      <c r="I54">
        <f>IF(Inventory!A54="","",Inventory!W54)</f>
        <v/>
      </c>
      <c r="J54">
        <f>IF(Inventory!A54="","",Inventory!AA54)</f>
        <v/>
      </c>
    </row>
    <row r="55">
      <c r="A55">
        <f>IF(Inventory!A55="","",Inventory!A55)</f>
        <v/>
      </c>
      <c r="B55">
        <f>IF(Inventory!A55="","",Inventory!B55)</f>
        <v/>
      </c>
      <c r="C55">
        <f>IF(Inventory!A55="","",Inventory!C55)</f>
        <v/>
      </c>
      <c r="D55">
        <f>IF(Inventory!A55="","",Inventory!D55)</f>
        <v/>
      </c>
      <c r="E55">
        <f>IF(Inventory!A55="","",Inventory!K55)</f>
        <v/>
      </c>
      <c r="F55">
        <f>IF(Inventory!A55="","",Inventory!I55)</f>
        <v/>
      </c>
      <c r="G55">
        <f>IF(Inventory!A55="","",Inventory!Z55)</f>
        <v/>
      </c>
      <c r="H55">
        <f>IF(Inventory!A55="","",Inventory!Y55)</f>
        <v/>
      </c>
      <c r="I55">
        <f>IF(Inventory!A55="","",Inventory!W55)</f>
        <v/>
      </c>
      <c r="J55">
        <f>IF(Inventory!A55="","",Inventory!AA55)</f>
        <v/>
      </c>
    </row>
    <row r="56">
      <c r="A56">
        <f>IF(Inventory!A56="","",Inventory!A56)</f>
        <v/>
      </c>
      <c r="B56">
        <f>IF(Inventory!A56="","",Inventory!B56)</f>
        <v/>
      </c>
      <c r="C56">
        <f>IF(Inventory!A56="","",Inventory!C56)</f>
        <v/>
      </c>
      <c r="D56">
        <f>IF(Inventory!A56="","",Inventory!D56)</f>
        <v/>
      </c>
      <c r="E56">
        <f>IF(Inventory!A56="","",Inventory!K56)</f>
        <v/>
      </c>
      <c r="F56">
        <f>IF(Inventory!A56="","",Inventory!I56)</f>
        <v/>
      </c>
      <c r="G56">
        <f>IF(Inventory!A56="","",Inventory!Z56)</f>
        <v/>
      </c>
      <c r="H56">
        <f>IF(Inventory!A56="","",Inventory!Y56)</f>
        <v/>
      </c>
      <c r="I56">
        <f>IF(Inventory!A56="","",Inventory!W56)</f>
        <v/>
      </c>
      <c r="J56">
        <f>IF(Inventory!A56="","",Inventory!AA56)</f>
        <v/>
      </c>
    </row>
    <row r="57">
      <c r="A57">
        <f>IF(Inventory!A57="","",Inventory!A57)</f>
        <v/>
      </c>
      <c r="B57">
        <f>IF(Inventory!A57="","",Inventory!B57)</f>
        <v/>
      </c>
      <c r="C57">
        <f>IF(Inventory!A57="","",Inventory!C57)</f>
        <v/>
      </c>
      <c r="D57">
        <f>IF(Inventory!A57="","",Inventory!D57)</f>
        <v/>
      </c>
      <c r="E57">
        <f>IF(Inventory!A57="","",Inventory!K57)</f>
        <v/>
      </c>
      <c r="F57">
        <f>IF(Inventory!A57="","",Inventory!I57)</f>
        <v/>
      </c>
      <c r="G57">
        <f>IF(Inventory!A57="","",Inventory!Z57)</f>
        <v/>
      </c>
      <c r="H57">
        <f>IF(Inventory!A57="","",Inventory!Y57)</f>
        <v/>
      </c>
      <c r="I57">
        <f>IF(Inventory!A57="","",Inventory!W57)</f>
        <v/>
      </c>
      <c r="J57">
        <f>IF(Inventory!A57="","",Inventory!AA57)</f>
        <v/>
      </c>
    </row>
    <row r="58">
      <c r="A58">
        <f>IF(Inventory!A58="","",Inventory!A58)</f>
        <v/>
      </c>
      <c r="B58">
        <f>IF(Inventory!A58="","",Inventory!B58)</f>
        <v/>
      </c>
      <c r="C58">
        <f>IF(Inventory!A58="","",Inventory!C58)</f>
        <v/>
      </c>
      <c r="D58">
        <f>IF(Inventory!A58="","",Inventory!D58)</f>
        <v/>
      </c>
      <c r="E58">
        <f>IF(Inventory!A58="","",Inventory!K58)</f>
        <v/>
      </c>
      <c r="F58">
        <f>IF(Inventory!A58="","",Inventory!I58)</f>
        <v/>
      </c>
      <c r="G58">
        <f>IF(Inventory!A58="","",Inventory!Z58)</f>
        <v/>
      </c>
      <c r="H58">
        <f>IF(Inventory!A58="","",Inventory!Y58)</f>
        <v/>
      </c>
      <c r="I58">
        <f>IF(Inventory!A58="","",Inventory!W58)</f>
        <v/>
      </c>
      <c r="J58">
        <f>IF(Inventory!A58="","",Inventory!AA58)</f>
        <v/>
      </c>
    </row>
    <row r="59">
      <c r="A59">
        <f>IF(Inventory!A59="","",Inventory!A59)</f>
        <v/>
      </c>
      <c r="B59">
        <f>IF(Inventory!A59="","",Inventory!B59)</f>
        <v/>
      </c>
      <c r="C59">
        <f>IF(Inventory!A59="","",Inventory!C59)</f>
        <v/>
      </c>
      <c r="D59">
        <f>IF(Inventory!A59="","",Inventory!D59)</f>
        <v/>
      </c>
      <c r="E59">
        <f>IF(Inventory!A59="","",Inventory!K59)</f>
        <v/>
      </c>
      <c r="F59">
        <f>IF(Inventory!A59="","",Inventory!I59)</f>
        <v/>
      </c>
      <c r="G59">
        <f>IF(Inventory!A59="","",Inventory!Z59)</f>
        <v/>
      </c>
      <c r="H59">
        <f>IF(Inventory!A59="","",Inventory!Y59)</f>
        <v/>
      </c>
      <c r="I59">
        <f>IF(Inventory!A59="","",Inventory!W59)</f>
        <v/>
      </c>
      <c r="J59">
        <f>IF(Inventory!A59="","",Inventory!AA59)</f>
        <v/>
      </c>
    </row>
    <row r="60">
      <c r="A60">
        <f>IF(Inventory!A60="","",Inventory!A60)</f>
        <v/>
      </c>
      <c r="B60">
        <f>IF(Inventory!A60="","",Inventory!B60)</f>
        <v/>
      </c>
      <c r="C60">
        <f>IF(Inventory!A60="","",Inventory!C60)</f>
        <v/>
      </c>
      <c r="D60">
        <f>IF(Inventory!A60="","",Inventory!D60)</f>
        <v/>
      </c>
      <c r="E60">
        <f>IF(Inventory!A60="","",Inventory!K60)</f>
        <v/>
      </c>
      <c r="F60">
        <f>IF(Inventory!A60="","",Inventory!I60)</f>
        <v/>
      </c>
      <c r="G60">
        <f>IF(Inventory!A60="","",Inventory!Z60)</f>
        <v/>
      </c>
      <c r="H60">
        <f>IF(Inventory!A60="","",Inventory!Y60)</f>
        <v/>
      </c>
      <c r="I60">
        <f>IF(Inventory!A60="","",Inventory!W60)</f>
        <v/>
      </c>
      <c r="J60">
        <f>IF(Inventory!A60="","",Inventory!AA60)</f>
        <v/>
      </c>
    </row>
    <row r="61">
      <c r="A61">
        <f>IF(Inventory!A61="","",Inventory!A61)</f>
        <v/>
      </c>
      <c r="B61">
        <f>IF(Inventory!A61="","",Inventory!B61)</f>
        <v/>
      </c>
      <c r="C61">
        <f>IF(Inventory!A61="","",Inventory!C61)</f>
        <v/>
      </c>
      <c r="D61">
        <f>IF(Inventory!A61="","",Inventory!D61)</f>
        <v/>
      </c>
      <c r="E61">
        <f>IF(Inventory!A61="","",Inventory!K61)</f>
        <v/>
      </c>
      <c r="F61">
        <f>IF(Inventory!A61="","",Inventory!I61)</f>
        <v/>
      </c>
      <c r="G61">
        <f>IF(Inventory!A61="","",Inventory!Z61)</f>
        <v/>
      </c>
      <c r="H61">
        <f>IF(Inventory!A61="","",Inventory!Y61)</f>
        <v/>
      </c>
      <c r="I61">
        <f>IF(Inventory!A61="","",Inventory!W61)</f>
        <v/>
      </c>
      <c r="J61">
        <f>IF(Inventory!A61="","",Inventory!AA61)</f>
        <v/>
      </c>
    </row>
    <row r="62">
      <c r="A62">
        <f>IF(Inventory!A62="","",Inventory!A62)</f>
        <v/>
      </c>
      <c r="B62">
        <f>IF(Inventory!A62="","",Inventory!B62)</f>
        <v/>
      </c>
      <c r="C62">
        <f>IF(Inventory!A62="","",Inventory!C62)</f>
        <v/>
      </c>
      <c r="D62">
        <f>IF(Inventory!A62="","",Inventory!D62)</f>
        <v/>
      </c>
      <c r="E62">
        <f>IF(Inventory!A62="","",Inventory!K62)</f>
        <v/>
      </c>
      <c r="F62">
        <f>IF(Inventory!A62="","",Inventory!I62)</f>
        <v/>
      </c>
      <c r="G62">
        <f>IF(Inventory!A62="","",Inventory!Z62)</f>
        <v/>
      </c>
      <c r="H62">
        <f>IF(Inventory!A62="","",Inventory!Y62)</f>
        <v/>
      </c>
      <c r="I62">
        <f>IF(Inventory!A62="","",Inventory!W62)</f>
        <v/>
      </c>
      <c r="J62">
        <f>IF(Inventory!A62="","",Inventory!AA62)</f>
        <v/>
      </c>
    </row>
    <row r="63">
      <c r="A63">
        <f>IF(Inventory!A63="","",Inventory!A63)</f>
        <v/>
      </c>
      <c r="B63">
        <f>IF(Inventory!A63="","",Inventory!B63)</f>
        <v/>
      </c>
      <c r="C63">
        <f>IF(Inventory!A63="","",Inventory!C63)</f>
        <v/>
      </c>
      <c r="D63">
        <f>IF(Inventory!A63="","",Inventory!D63)</f>
        <v/>
      </c>
      <c r="E63">
        <f>IF(Inventory!A63="","",Inventory!K63)</f>
        <v/>
      </c>
      <c r="F63">
        <f>IF(Inventory!A63="","",Inventory!I63)</f>
        <v/>
      </c>
      <c r="G63">
        <f>IF(Inventory!A63="","",Inventory!Z63)</f>
        <v/>
      </c>
      <c r="H63">
        <f>IF(Inventory!A63="","",Inventory!Y63)</f>
        <v/>
      </c>
      <c r="I63">
        <f>IF(Inventory!A63="","",Inventory!W63)</f>
        <v/>
      </c>
      <c r="J63">
        <f>IF(Inventory!A63="","",Inventory!AA63)</f>
        <v/>
      </c>
    </row>
    <row r="64">
      <c r="A64">
        <f>IF(Inventory!A64="","",Inventory!A64)</f>
        <v/>
      </c>
      <c r="B64">
        <f>IF(Inventory!A64="","",Inventory!B64)</f>
        <v/>
      </c>
      <c r="C64">
        <f>IF(Inventory!A64="","",Inventory!C64)</f>
        <v/>
      </c>
      <c r="D64">
        <f>IF(Inventory!A64="","",Inventory!D64)</f>
        <v/>
      </c>
      <c r="E64">
        <f>IF(Inventory!A64="","",Inventory!K64)</f>
        <v/>
      </c>
      <c r="F64">
        <f>IF(Inventory!A64="","",Inventory!I64)</f>
        <v/>
      </c>
      <c r="G64">
        <f>IF(Inventory!A64="","",Inventory!Z64)</f>
        <v/>
      </c>
      <c r="H64">
        <f>IF(Inventory!A64="","",Inventory!Y64)</f>
        <v/>
      </c>
      <c r="I64">
        <f>IF(Inventory!A64="","",Inventory!W64)</f>
        <v/>
      </c>
      <c r="J64">
        <f>IF(Inventory!A64="","",Inventory!AA64)</f>
        <v/>
      </c>
    </row>
    <row r="65">
      <c r="A65">
        <f>IF(Inventory!A65="","",Inventory!A65)</f>
        <v/>
      </c>
      <c r="B65">
        <f>IF(Inventory!A65="","",Inventory!B65)</f>
        <v/>
      </c>
      <c r="C65">
        <f>IF(Inventory!A65="","",Inventory!C65)</f>
        <v/>
      </c>
      <c r="D65">
        <f>IF(Inventory!A65="","",Inventory!D65)</f>
        <v/>
      </c>
      <c r="E65">
        <f>IF(Inventory!A65="","",Inventory!K65)</f>
        <v/>
      </c>
      <c r="F65">
        <f>IF(Inventory!A65="","",Inventory!I65)</f>
        <v/>
      </c>
      <c r="G65">
        <f>IF(Inventory!A65="","",Inventory!Z65)</f>
        <v/>
      </c>
      <c r="H65">
        <f>IF(Inventory!A65="","",Inventory!Y65)</f>
        <v/>
      </c>
      <c r="I65">
        <f>IF(Inventory!A65="","",Inventory!W65)</f>
        <v/>
      </c>
      <c r="J65">
        <f>IF(Inventory!A65="","",Inventory!AA65)</f>
        <v/>
      </c>
    </row>
    <row r="66">
      <c r="A66">
        <f>IF(Inventory!A66="","",Inventory!A66)</f>
        <v/>
      </c>
      <c r="B66">
        <f>IF(Inventory!A66="","",Inventory!B66)</f>
        <v/>
      </c>
      <c r="C66">
        <f>IF(Inventory!A66="","",Inventory!C66)</f>
        <v/>
      </c>
      <c r="D66">
        <f>IF(Inventory!A66="","",Inventory!D66)</f>
        <v/>
      </c>
      <c r="E66">
        <f>IF(Inventory!A66="","",Inventory!K66)</f>
        <v/>
      </c>
      <c r="F66">
        <f>IF(Inventory!A66="","",Inventory!I66)</f>
        <v/>
      </c>
      <c r="G66">
        <f>IF(Inventory!A66="","",Inventory!Z66)</f>
        <v/>
      </c>
      <c r="H66">
        <f>IF(Inventory!A66="","",Inventory!Y66)</f>
        <v/>
      </c>
      <c r="I66">
        <f>IF(Inventory!A66="","",Inventory!W66)</f>
        <v/>
      </c>
      <c r="J66">
        <f>IF(Inventory!A66="","",Inventory!AA66)</f>
        <v/>
      </c>
    </row>
    <row r="67">
      <c r="A67">
        <f>IF(Inventory!A67="","",Inventory!A67)</f>
        <v/>
      </c>
      <c r="B67">
        <f>IF(Inventory!A67="","",Inventory!B67)</f>
        <v/>
      </c>
      <c r="C67">
        <f>IF(Inventory!A67="","",Inventory!C67)</f>
        <v/>
      </c>
      <c r="D67">
        <f>IF(Inventory!A67="","",Inventory!D67)</f>
        <v/>
      </c>
      <c r="E67">
        <f>IF(Inventory!A67="","",Inventory!K67)</f>
        <v/>
      </c>
      <c r="F67">
        <f>IF(Inventory!A67="","",Inventory!I67)</f>
        <v/>
      </c>
      <c r="G67">
        <f>IF(Inventory!A67="","",Inventory!Z67)</f>
        <v/>
      </c>
      <c r="H67">
        <f>IF(Inventory!A67="","",Inventory!Y67)</f>
        <v/>
      </c>
      <c r="I67">
        <f>IF(Inventory!A67="","",Inventory!W67)</f>
        <v/>
      </c>
      <c r="J67">
        <f>IF(Inventory!A67="","",Inventory!AA67)</f>
        <v/>
      </c>
    </row>
    <row r="68">
      <c r="A68">
        <f>IF(Inventory!A68="","",Inventory!A68)</f>
        <v/>
      </c>
      <c r="B68">
        <f>IF(Inventory!A68="","",Inventory!B68)</f>
        <v/>
      </c>
      <c r="C68">
        <f>IF(Inventory!A68="","",Inventory!C68)</f>
        <v/>
      </c>
      <c r="D68">
        <f>IF(Inventory!A68="","",Inventory!D68)</f>
        <v/>
      </c>
      <c r="E68">
        <f>IF(Inventory!A68="","",Inventory!K68)</f>
        <v/>
      </c>
      <c r="F68">
        <f>IF(Inventory!A68="","",Inventory!I68)</f>
        <v/>
      </c>
      <c r="G68">
        <f>IF(Inventory!A68="","",Inventory!Z68)</f>
        <v/>
      </c>
      <c r="H68">
        <f>IF(Inventory!A68="","",Inventory!Y68)</f>
        <v/>
      </c>
      <c r="I68">
        <f>IF(Inventory!A68="","",Inventory!W68)</f>
        <v/>
      </c>
      <c r="J68">
        <f>IF(Inventory!A68="","",Inventory!AA68)</f>
        <v/>
      </c>
    </row>
    <row r="69">
      <c r="A69">
        <f>IF(Inventory!A69="","",Inventory!A69)</f>
        <v/>
      </c>
      <c r="B69">
        <f>IF(Inventory!A69="","",Inventory!B69)</f>
        <v/>
      </c>
      <c r="C69">
        <f>IF(Inventory!A69="","",Inventory!C69)</f>
        <v/>
      </c>
      <c r="D69">
        <f>IF(Inventory!A69="","",Inventory!D69)</f>
        <v/>
      </c>
      <c r="E69">
        <f>IF(Inventory!A69="","",Inventory!K69)</f>
        <v/>
      </c>
      <c r="F69">
        <f>IF(Inventory!A69="","",Inventory!I69)</f>
        <v/>
      </c>
      <c r="G69">
        <f>IF(Inventory!A69="","",Inventory!Z69)</f>
        <v/>
      </c>
      <c r="H69">
        <f>IF(Inventory!A69="","",Inventory!Y69)</f>
        <v/>
      </c>
      <c r="I69">
        <f>IF(Inventory!A69="","",Inventory!W69)</f>
        <v/>
      </c>
      <c r="J69">
        <f>IF(Inventory!A69="","",Inventory!AA69)</f>
        <v/>
      </c>
    </row>
    <row r="70">
      <c r="A70">
        <f>IF(Inventory!A70="","",Inventory!A70)</f>
        <v/>
      </c>
      <c r="B70">
        <f>IF(Inventory!A70="","",Inventory!B70)</f>
        <v/>
      </c>
      <c r="C70">
        <f>IF(Inventory!A70="","",Inventory!C70)</f>
        <v/>
      </c>
      <c r="D70">
        <f>IF(Inventory!A70="","",Inventory!D70)</f>
        <v/>
      </c>
      <c r="E70">
        <f>IF(Inventory!A70="","",Inventory!K70)</f>
        <v/>
      </c>
      <c r="F70">
        <f>IF(Inventory!A70="","",Inventory!I70)</f>
        <v/>
      </c>
      <c r="G70">
        <f>IF(Inventory!A70="","",Inventory!Z70)</f>
        <v/>
      </c>
      <c r="H70">
        <f>IF(Inventory!A70="","",Inventory!Y70)</f>
        <v/>
      </c>
      <c r="I70">
        <f>IF(Inventory!A70="","",Inventory!W70)</f>
        <v/>
      </c>
      <c r="J70">
        <f>IF(Inventory!A70="","",Inventory!AA70)</f>
        <v/>
      </c>
    </row>
    <row r="71">
      <c r="A71">
        <f>IF(Inventory!A71="","",Inventory!A71)</f>
        <v/>
      </c>
      <c r="B71">
        <f>IF(Inventory!A71="","",Inventory!B71)</f>
        <v/>
      </c>
      <c r="C71">
        <f>IF(Inventory!A71="","",Inventory!C71)</f>
        <v/>
      </c>
      <c r="D71">
        <f>IF(Inventory!A71="","",Inventory!D71)</f>
        <v/>
      </c>
      <c r="E71">
        <f>IF(Inventory!A71="","",Inventory!K71)</f>
        <v/>
      </c>
      <c r="F71">
        <f>IF(Inventory!A71="","",Inventory!I71)</f>
        <v/>
      </c>
      <c r="G71">
        <f>IF(Inventory!A71="","",Inventory!Z71)</f>
        <v/>
      </c>
      <c r="H71">
        <f>IF(Inventory!A71="","",Inventory!Y71)</f>
        <v/>
      </c>
      <c r="I71">
        <f>IF(Inventory!A71="","",Inventory!W71)</f>
        <v/>
      </c>
      <c r="J71">
        <f>IF(Inventory!A71="","",Inventory!AA71)</f>
        <v/>
      </c>
    </row>
    <row r="72">
      <c r="A72">
        <f>IF(Inventory!A72="","",Inventory!A72)</f>
        <v/>
      </c>
      <c r="B72">
        <f>IF(Inventory!A72="","",Inventory!B72)</f>
        <v/>
      </c>
      <c r="C72">
        <f>IF(Inventory!A72="","",Inventory!C72)</f>
        <v/>
      </c>
      <c r="D72">
        <f>IF(Inventory!A72="","",Inventory!D72)</f>
        <v/>
      </c>
      <c r="E72">
        <f>IF(Inventory!A72="","",Inventory!K72)</f>
        <v/>
      </c>
      <c r="F72">
        <f>IF(Inventory!A72="","",Inventory!I72)</f>
        <v/>
      </c>
      <c r="G72">
        <f>IF(Inventory!A72="","",Inventory!Z72)</f>
        <v/>
      </c>
      <c r="H72">
        <f>IF(Inventory!A72="","",Inventory!Y72)</f>
        <v/>
      </c>
      <c r="I72">
        <f>IF(Inventory!A72="","",Inventory!W72)</f>
        <v/>
      </c>
      <c r="J72">
        <f>IF(Inventory!A72="","",Inventory!AA72)</f>
        <v/>
      </c>
    </row>
    <row r="73">
      <c r="A73">
        <f>IF(Inventory!A73="","",Inventory!A73)</f>
        <v/>
      </c>
      <c r="B73">
        <f>IF(Inventory!A73="","",Inventory!B73)</f>
        <v/>
      </c>
      <c r="C73">
        <f>IF(Inventory!A73="","",Inventory!C73)</f>
        <v/>
      </c>
      <c r="D73">
        <f>IF(Inventory!A73="","",Inventory!D73)</f>
        <v/>
      </c>
      <c r="E73">
        <f>IF(Inventory!A73="","",Inventory!K73)</f>
        <v/>
      </c>
      <c r="F73">
        <f>IF(Inventory!A73="","",Inventory!I73)</f>
        <v/>
      </c>
      <c r="G73">
        <f>IF(Inventory!A73="","",Inventory!Z73)</f>
        <v/>
      </c>
      <c r="H73">
        <f>IF(Inventory!A73="","",Inventory!Y73)</f>
        <v/>
      </c>
      <c r="I73">
        <f>IF(Inventory!A73="","",Inventory!W73)</f>
        <v/>
      </c>
      <c r="J73">
        <f>IF(Inventory!A73="","",Inventory!AA73)</f>
        <v/>
      </c>
    </row>
    <row r="74">
      <c r="A74">
        <f>IF(Inventory!A74="","",Inventory!A74)</f>
        <v/>
      </c>
      <c r="B74">
        <f>IF(Inventory!A74="","",Inventory!B74)</f>
        <v/>
      </c>
      <c r="C74">
        <f>IF(Inventory!A74="","",Inventory!C74)</f>
        <v/>
      </c>
      <c r="D74">
        <f>IF(Inventory!A74="","",Inventory!D74)</f>
        <v/>
      </c>
      <c r="E74">
        <f>IF(Inventory!A74="","",Inventory!K74)</f>
        <v/>
      </c>
      <c r="F74">
        <f>IF(Inventory!A74="","",Inventory!I74)</f>
        <v/>
      </c>
      <c r="G74">
        <f>IF(Inventory!A74="","",Inventory!Z74)</f>
        <v/>
      </c>
      <c r="H74">
        <f>IF(Inventory!A74="","",Inventory!Y74)</f>
        <v/>
      </c>
      <c r="I74">
        <f>IF(Inventory!A74="","",Inventory!W74)</f>
        <v/>
      </c>
      <c r="J74">
        <f>IF(Inventory!A74="","",Inventory!AA74)</f>
        <v/>
      </c>
    </row>
    <row r="75">
      <c r="A75">
        <f>IF(Inventory!A75="","",Inventory!A75)</f>
        <v/>
      </c>
      <c r="B75">
        <f>IF(Inventory!A75="","",Inventory!B75)</f>
        <v/>
      </c>
      <c r="C75">
        <f>IF(Inventory!A75="","",Inventory!C75)</f>
        <v/>
      </c>
      <c r="D75">
        <f>IF(Inventory!A75="","",Inventory!D75)</f>
        <v/>
      </c>
      <c r="E75">
        <f>IF(Inventory!A75="","",Inventory!K75)</f>
        <v/>
      </c>
      <c r="F75">
        <f>IF(Inventory!A75="","",Inventory!I75)</f>
        <v/>
      </c>
      <c r="G75">
        <f>IF(Inventory!A75="","",Inventory!Z75)</f>
        <v/>
      </c>
      <c r="H75">
        <f>IF(Inventory!A75="","",Inventory!Y75)</f>
        <v/>
      </c>
      <c r="I75">
        <f>IF(Inventory!A75="","",Inventory!W75)</f>
        <v/>
      </c>
      <c r="J75">
        <f>IF(Inventory!A75="","",Inventory!AA75)</f>
        <v/>
      </c>
    </row>
    <row r="76">
      <c r="A76">
        <f>IF(Inventory!A76="","",Inventory!A76)</f>
        <v/>
      </c>
      <c r="B76">
        <f>IF(Inventory!A76="","",Inventory!B76)</f>
        <v/>
      </c>
      <c r="C76">
        <f>IF(Inventory!A76="","",Inventory!C76)</f>
        <v/>
      </c>
      <c r="D76">
        <f>IF(Inventory!A76="","",Inventory!D76)</f>
        <v/>
      </c>
      <c r="E76">
        <f>IF(Inventory!A76="","",Inventory!K76)</f>
        <v/>
      </c>
      <c r="F76">
        <f>IF(Inventory!A76="","",Inventory!I76)</f>
        <v/>
      </c>
      <c r="G76">
        <f>IF(Inventory!A76="","",Inventory!Z76)</f>
        <v/>
      </c>
      <c r="H76">
        <f>IF(Inventory!A76="","",Inventory!Y76)</f>
        <v/>
      </c>
      <c r="I76">
        <f>IF(Inventory!A76="","",Inventory!W76)</f>
        <v/>
      </c>
      <c r="J76">
        <f>IF(Inventory!A76="","",Inventory!AA76)</f>
        <v/>
      </c>
    </row>
    <row r="77">
      <c r="A77">
        <f>IF(Inventory!A77="","",Inventory!A77)</f>
        <v/>
      </c>
      <c r="B77">
        <f>IF(Inventory!A77="","",Inventory!B77)</f>
        <v/>
      </c>
      <c r="C77">
        <f>IF(Inventory!A77="","",Inventory!C77)</f>
        <v/>
      </c>
      <c r="D77">
        <f>IF(Inventory!A77="","",Inventory!D77)</f>
        <v/>
      </c>
      <c r="E77">
        <f>IF(Inventory!A77="","",Inventory!K77)</f>
        <v/>
      </c>
      <c r="F77">
        <f>IF(Inventory!A77="","",Inventory!I77)</f>
        <v/>
      </c>
      <c r="G77">
        <f>IF(Inventory!A77="","",Inventory!Z77)</f>
        <v/>
      </c>
      <c r="H77">
        <f>IF(Inventory!A77="","",Inventory!Y77)</f>
        <v/>
      </c>
      <c r="I77">
        <f>IF(Inventory!A77="","",Inventory!W77)</f>
        <v/>
      </c>
      <c r="J77">
        <f>IF(Inventory!A77="","",Inventory!AA77)</f>
        <v/>
      </c>
    </row>
    <row r="78">
      <c r="A78">
        <f>IF(Inventory!A78="","",Inventory!A78)</f>
        <v/>
      </c>
      <c r="B78">
        <f>IF(Inventory!A78="","",Inventory!B78)</f>
        <v/>
      </c>
      <c r="C78">
        <f>IF(Inventory!A78="","",Inventory!C78)</f>
        <v/>
      </c>
      <c r="D78">
        <f>IF(Inventory!A78="","",Inventory!D78)</f>
        <v/>
      </c>
      <c r="E78">
        <f>IF(Inventory!A78="","",Inventory!K78)</f>
        <v/>
      </c>
      <c r="F78">
        <f>IF(Inventory!A78="","",Inventory!I78)</f>
        <v/>
      </c>
      <c r="G78">
        <f>IF(Inventory!A78="","",Inventory!Z78)</f>
        <v/>
      </c>
      <c r="H78">
        <f>IF(Inventory!A78="","",Inventory!Y78)</f>
        <v/>
      </c>
      <c r="I78">
        <f>IF(Inventory!A78="","",Inventory!W78)</f>
        <v/>
      </c>
      <c r="J78">
        <f>IF(Inventory!A78="","",Inventory!AA78)</f>
        <v/>
      </c>
    </row>
    <row r="79">
      <c r="A79">
        <f>IF(Inventory!A79="","",Inventory!A79)</f>
        <v/>
      </c>
      <c r="B79">
        <f>IF(Inventory!A79="","",Inventory!B79)</f>
        <v/>
      </c>
      <c r="C79">
        <f>IF(Inventory!A79="","",Inventory!C79)</f>
        <v/>
      </c>
      <c r="D79">
        <f>IF(Inventory!A79="","",Inventory!D79)</f>
        <v/>
      </c>
      <c r="E79">
        <f>IF(Inventory!A79="","",Inventory!K79)</f>
        <v/>
      </c>
      <c r="F79">
        <f>IF(Inventory!A79="","",Inventory!I79)</f>
        <v/>
      </c>
      <c r="G79">
        <f>IF(Inventory!A79="","",Inventory!Z79)</f>
        <v/>
      </c>
      <c r="H79">
        <f>IF(Inventory!A79="","",Inventory!Y79)</f>
        <v/>
      </c>
      <c r="I79">
        <f>IF(Inventory!A79="","",Inventory!W79)</f>
        <v/>
      </c>
      <c r="J79">
        <f>IF(Inventory!A79="","",Inventory!AA79)</f>
        <v/>
      </c>
    </row>
    <row r="80">
      <c r="A80">
        <f>IF(Inventory!A80="","",Inventory!A80)</f>
        <v/>
      </c>
      <c r="B80">
        <f>IF(Inventory!A80="","",Inventory!B80)</f>
        <v/>
      </c>
      <c r="C80">
        <f>IF(Inventory!A80="","",Inventory!C80)</f>
        <v/>
      </c>
      <c r="D80">
        <f>IF(Inventory!A80="","",Inventory!D80)</f>
        <v/>
      </c>
      <c r="E80">
        <f>IF(Inventory!A80="","",Inventory!K80)</f>
        <v/>
      </c>
      <c r="F80">
        <f>IF(Inventory!A80="","",Inventory!I80)</f>
        <v/>
      </c>
      <c r="G80">
        <f>IF(Inventory!A80="","",Inventory!Z80)</f>
        <v/>
      </c>
      <c r="H80">
        <f>IF(Inventory!A80="","",Inventory!Y80)</f>
        <v/>
      </c>
      <c r="I80">
        <f>IF(Inventory!A80="","",Inventory!W80)</f>
        <v/>
      </c>
      <c r="J80">
        <f>IF(Inventory!A80="","",Inventory!AA80)</f>
        <v/>
      </c>
    </row>
    <row r="81">
      <c r="A81">
        <f>IF(Inventory!A81="","",Inventory!A81)</f>
        <v/>
      </c>
      <c r="B81">
        <f>IF(Inventory!A81="","",Inventory!B81)</f>
        <v/>
      </c>
      <c r="C81">
        <f>IF(Inventory!A81="","",Inventory!C81)</f>
        <v/>
      </c>
      <c r="D81">
        <f>IF(Inventory!A81="","",Inventory!D81)</f>
        <v/>
      </c>
      <c r="E81">
        <f>IF(Inventory!A81="","",Inventory!K81)</f>
        <v/>
      </c>
      <c r="F81">
        <f>IF(Inventory!A81="","",Inventory!I81)</f>
        <v/>
      </c>
      <c r="G81">
        <f>IF(Inventory!A81="","",Inventory!Z81)</f>
        <v/>
      </c>
      <c r="H81">
        <f>IF(Inventory!A81="","",Inventory!Y81)</f>
        <v/>
      </c>
      <c r="I81">
        <f>IF(Inventory!A81="","",Inventory!W81)</f>
        <v/>
      </c>
      <c r="J81">
        <f>IF(Inventory!A81="","",Inventory!AA81)</f>
        <v/>
      </c>
    </row>
    <row r="82">
      <c r="A82">
        <f>IF(Inventory!A82="","",Inventory!A82)</f>
        <v/>
      </c>
      <c r="B82">
        <f>IF(Inventory!A82="","",Inventory!B82)</f>
        <v/>
      </c>
      <c r="C82">
        <f>IF(Inventory!A82="","",Inventory!C82)</f>
        <v/>
      </c>
      <c r="D82">
        <f>IF(Inventory!A82="","",Inventory!D82)</f>
        <v/>
      </c>
      <c r="E82">
        <f>IF(Inventory!A82="","",Inventory!K82)</f>
        <v/>
      </c>
      <c r="F82">
        <f>IF(Inventory!A82="","",Inventory!I82)</f>
        <v/>
      </c>
      <c r="G82">
        <f>IF(Inventory!A82="","",Inventory!Z82)</f>
        <v/>
      </c>
      <c r="H82">
        <f>IF(Inventory!A82="","",Inventory!Y82)</f>
        <v/>
      </c>
      <c r="I82">
        <f>IF(Inventory!A82="","",Inventory!W82)</f>
        <v/>
      </c>
      <c r="J82">
        <f>IF(Inventory!A82="","",Inventory!AA82)</f>
        <v/>
      </c>
    </row>
    <row r="83">
      <c r="A83">
        <f>IF(Inventory!A83="","",Inventory!A83)</f>
        <v/>
      </c>
      <c r="B83">
        <f>IF(Inventory!A83="","",Inventory!B83)</f>
        <v/>
      </c>
      <c r="C83">
        <f>IF(Inventory!A83="","",Inventory!C83)</f>
        <v/>
      </c>
      <c r="D83">
        <f>IF(Inventory!A83="","",Inventory!D83)</f>
        <v/>
      </c>
      <c r="E83">
        <f>IF(Inventory!A83="","",Inventory!K83)</f>
        <v/>
      </c>
      <c r="F83">
        <f>IF(Inventory!A83="","",Inventory!I83)</f>
        <v/>
      </c>
      <c r="G83">
        <f>IF(Inventory!A83="","",Inventory!Z83)</f>
        <v/>
      </c>
      <c r="H83">
        <f>IF(Inventory!A83="","",Inventory!Y83)</f>
        <v/>
      </c>
      <c r="I83">
        <f>IF(Inventory!A83="","",Inventory!W83)</f>
        <v/>
      </c>
      <c r="J83">
        <f>IF(Inventory!A83="","",Inventory!AA83)</f>
        <v/>
      </c>
    </row>
    <row r="84">
      <c r="A84">
        <f>IF(Inventory!A84="","",Inventory!A84)</f>
        <v/>
      </c>
      <c r="B84">
        <f>IF(Inventory!A84="","",Inventory!B84)</f>
        <v/>
      </c>
      <c r="C84">
        <f>IF(Inventory!A84="","",Inventory!C84)</f>
        <v/>
      </c>
      <c r="D84">
        <f>IF(Inventory!A84="","",Inventory!D84)</f>
        <v/>
      </c>
      <c r="E84">
        <f>IF(Inventory!A84="","",Inventory!K84)</f>
        <v/>
      </c>
      <c r="F84">
        <f>IF(Inventory!A84="","",Inventory!I84)</f>
        <v/>
      </c>
      <c r="G84">
        <f>IF(Inventory!A84="","",Inventory!Z84)</f>
        <v/>
      </c>
      <c r="H84">
        <f>IF(Inventory!A84="","",Inventory!Y84)</f>
        <v/>
      </c>
      <c r="I84">
        <f>IF(Inventory!A84="","",Inventory!W84)</f>
        <v/>
      </c>
      <c r="J84">
        <f>IF(Inventory!A84="","",Inventory!AA84)</f>
        <v/>
      </c>
    </row>
    <row r="85">
      <c r="A85">
        <f>IF(Inventory!A85="","",Inventory!A85)</f>
        <v/>
      </c>
      <c r="B85">
        <f>IF(Inventory!A85="","",Inventory!B85)</f>
        <v/>
      </c>
      <c r="C85">
        <f>IF(Inventory!A85="","",Inventory!C85)</f>
        <v/>
      </c>
      <c r="D85">
        <f>IF(Inventory!A85="","",Inventory!D85)</f>
        <v/>
      </c>
      <c r="E85">
        <f>IF(Inventory!A85="","",Inventory!K85)</f>
        <v/>
      </c>
      <c r="F85">
        <f>IF(Inventory!A85="","",Inventory!I85)</f>
        <v/>
      </c>
      <c r="G85">
        <f>IF(Inventory!A85="","",Inventory!Z85)</f>
        <v/>
      </c>
      <c r="H85">
        <f>IF(Inventory!A85="","",Inventory!Y85)</f>
        <v/>
      </c>
      <c r="I85">
        <f>IF(Inventory!A85="","",Inventory!W85)</f>
        <v/>
      </c>
      <c r="J85">
        <f>IF(Inventory!A85="","",Inventory!AA85)</f>
        <v/>
      </c>
    </row>
    <row r="86">
      <c r="A86">
        <f>IF(Inventory!A86="","",Inventory!A86)</f>
        <v/>
      </c>
      <c r="B86">
        <f>IF(Inventory!A86="","",Inventory!B86)</f>
        <v/>
      </c>
      <c r="C86">
        <f>IF(Inventory!A86="","",Inventory!C86)</f>
        <v/>
      </c>
      <c r="D86">
        <f>IF(Inventory!A86="","",Inventory!D86)</f>
        <v/>
      </c>
      <c r="E86">
        <f>IF(Inventory!A86="","",Inventory!K86)</f>
        <v/>
      </c>
      <c r="F86">
        <f>IF(Inventory!A86="","",Inventory!I86)</f>
        <v/>
      </c>
      <c r="G86">
        <f>IF(Inventory!A86="","",Inventory!Z86)</f>
        <v/>
      </c>
      <c r="H86">
        <f>IF(Inventory!A86="","",Inventory!Y86)</f>
        <v/>
      </c>
      <c r="I86">
        <f>IF(Inventory!A86="","",Inventory!W86)</f>
        <v/>
      </c>
      <c r="J86">
        <f>IF(Inventory!A86="","",Inventory!AA86)</f>
        <v/>
      </c>
    </row>
    <row r="87">
      <c r="A87">
        <f>IF(Inventory!A87="","",Inventory!A87)</f>
        <v/>
      </c>
      <c r="B87">
        <f>IF(Inventory!A87="","",Inventory!B87)</f>
        <v/>
      </c>
      <c r="C87">
        <f>IF(Inventory!A87="","",Inventory!C87)</f>
        <v/>
      </c>
      <c r="D87">
        <f>IF(Inventory!A87="","",Inventory!D87)</f>
        <v/>
      </c>
      <c r="E87">
        <f>IF(Inventory!A87="","",Inventory!K87)</f>
        <v/>
      </c>
      <c r="F87">
        <f>IF(Inventory!A87="","",Inventory!I87)</f>
        <v/>
      </c>
      <c r="G87">
        <f>IF(Inventory!A87="","",Inventory!Z87)</f>
        <v/>
      </c>
      <c r="H87">
        <f>IF(Inventory!A87="","",Inventory!Y87)</f>
        <v/>
      </c>
      <c r="I87">
        <f>IF(Inventory!A87="","",Inventory!W87)</f>
        <v/>
      </c>
      <c r="J87">
        <f>IF(Inventory!A87="","",Inventory!AA87)</f>
        <v/>
      </c>
    </row>
    <row r="88">
      <c r="A88">
        <f>IF(Inventory!A88="","",Inventory!A88)</f>
        <v/>
      </c>
      <c r="B88">
        <f>IF(Inventory!A88="","",Inventory!B88)</f>
        <v/>
      </c>
      <c r="C88">
        <f>IF(Inventory!A88="","",Inventory!C88)</f>
        <v/>
      </c>
      <c r="D88">
        <f>IF(Inventory!A88="","",Inventory!D88)</f>
        <v/>
      </c>
      <c r="E88">
        <f>IF(Inventory!A88="","",Inventory!K88)</f>
        <v/>
      </c>
      <c r="F88">
        <f>IF(Inventory!A88="","",Inventory!I88)</f>
        <v/>
      </c>
      <c r="G88">
        <f>IF(Inventory!A88="","",Inventory!Z88)</f>
        <v/>
      </c>
      <c r="H88">
        <f>IF(Inventory!A88="","",Inventory!Y88)</f>
        <v/>
      </c>
      <c r="I88">
        <f>IF(Inventory!A88="","",Inventory!W88)</f>
        <v/>
      </c>
      <c r="J88">
        <f>IF(Inventory!A88="","",Inventory!AA88)</f>
        <v/>
      </c>
    </row>
    <row r="89">
      <c r="A89">
        <f>IF(Inventory!A89="","",Inventory!A89)</f>
        <v/>
      </c>
      <c r="B89">
        <f>IF(Inventory!A89="","",Inventory!B89)</f>
        <v/>
      </c>
      <c r="C89">
        <f>IF(Inventory!A89="","",Inventory!C89)</f>
        <v/>
      </c>
      <c r="D89">
        <f>IF(Inventory!A89="","",Inventory!D89)</f>
        <v/>
      </c>
      <c r="E89">
        <f>IF(Inventory!A89="","",Inventory!K89)</f>
        <v/>
      </c>
      <c r="F89">
        <f>IF(Inventory!A89="","",Inventory!I89)</f>
        <v/>
      </c>
      <c r="G89">
        <f>IF(Inventory!A89="","",Inventory!Z89)</f>
        <v/>
      </c>
      <c r="H89">
        <f>IF(Inventory!A89="","",Inventory!Y89)</f>
        <v/>
      </c>
      <c r="I89">
        <f>IF(Inventory!A89="","",Inventory!W89)</f>
        <v/>
      </c>
      <c r="J89">
        <f>IF(Inventory!A89="","",Inventory!AA89)</f>
        <v/>
      </c>
    </row>
    <row r="90">
      <c r="A90">
        <f>IF(Inventory!A90="","",Inventory!A90)</f>
        <v/>
      </c>
      <c r="B90">
        <f>IF(Inventory!A90="","",Inventory!B90)</f>
        <v/>
      </c>
      <c r="C90">
        <f>IF(Inventory!A90="","",Inventory!C90)</f>
        <v/>
      </c>
      <c r="D90">
        <f>IF(Inventory!A90="","",Inventory!D90)</f>
        <v/>
      </c>
      <c r="E90">
        <f>IF(Inventory!A90="","",Inventory!K90)</f>
        <v/>
      </c>
      <c r="F90">
        <f>IF(Inventory!A90="","",Inventory!I90)</f>
        <v/>
      </c>
      <c r="G90">
        <f>IF(Inventory!A90="","",Inventory!Z90)</f>
        <v/>
      </c>
      <c r="H90">
        <f>IF(Inventory!A90="","",Inventory!Y90)</f>
        <v/>
      </c>
      <c r="I90">
        <f>IF(Inventory!A90="","",Inventory!W90)</f>
        <v/>
      </c>
      <c r="J90">
        <f>IF(Inventory!A90="","",Inventory!AA90)</f>
        <v/>
      </c>
    </row>
    <row r="91">
      <c r="A91">
        <f>IF(Inventory!A91="","",Inventory!A91)</f>
        <v/>
      </c>
      <c r="B91">
        <f>IF(Inventory!A91="","",Inventory!B91)</f>
        <v/>
      </c>
      <c r="C91">
        <f>IF(Inventory!A91="","",Inventory!C91)</f>
        <v/>
      </c>
      <c r="D91">
        <f>IF(Inventory!A91="","",Inventory!D91)</f>
        <v/>
      </c>
      <c r="E91">
        <f>IF(Inventory!A91="","",Inventory!K91)</f>
        <v/>
      </c>
      <c r="F91">
        <f>IF(Inventory!A91="","",Inventory!I91)</f>
        <v/>
      </c>
      <c r="G91">
        <f>IF(Inventory!A91="","",Inventory!Z91)</f>
        <v/>
      </c>
      <c r="H91">
        <f>IF(Inventory!A91="","",Inventory!Y91)</f>
        <v/>
      </c>
      <c r="I91">
        <f>IF(Inventory!A91="","",Inventory!W91)</f>
        <v/>
      </c>
      <c r="J91">
        <f>IF(Inventory!A91="","",Inventory!AA91)</f>
        <v/>
      </c>
    </row>
    <row r="92">
      <c r="A92">
        <f>IF(Inventory!A92="","",Inventory!A92)</f>
        <v/>
      </c>
      <c r="B92">
        <f>IF(Inventory!A92="","",Inventory!B92)</f>
        <v/>
      </c>
      <c r="C92">
        <f>IF(Inventory!A92="","",Inventory!C92)</f>
        <v/>
      </c>
      <c r="D92">
        <f>IF(Inventory!A92="","",Inventory!D92)</f>
        <v/>
      </c>
      <c r="E92">
        <f>IF(Inventory!A92="","",Inventory!K92)</f>
        <v/>
      </c>
      <c r="F92">
        <f>IF(Inventory!A92="","",Inventory!I92)</f>
        <v/>
      </c>
      <c r="G92">
        <f>IF(Inventory!A92="","",Inventory!Z92)</f>
        <v/>
      </c>
      <c r="H92">
        <f>IF(Inventory!A92="","",Inventory!Y92)</f>
        <v/>
      </c>
      <c r="I92">
        <f>IF(Inventory!A92="","",Inventory!W92)</f>
        <v/>
      </c>
      <c r="J92">
        <f>IF(Inventory!A92="","",Inventory!AA92)</f>
        <v/>
      </c>
    </row>
    <row r="93">
      <c r="A93">
        <f>IF(Inventory!A93="","",Inventory!A93)</f>
        <v/>
      </c>
      <c r="B93">
        <f>IF(Inventory!A93="","",Inventory!B93)</f>
        <v/>
      </c>
      <c r="C93">
        <f>IF(Inventory!A93="","",Inventory!C93)</f>
        <v/>
      </c>
      <c r="D93">
        <f>IF(Inventory!A93="","",Inventory!D93)</f>
        <v/>
      </c>
      <c r="E93">
        <f>IF(Inventory!A93="","",Inventory!K93)</f>
        <v/>
      </c>
      <c r="F93">
        <f>IF(Inventory!A93="","",Inventory!I93)</f>
        <v/>
      </c>
      <c r="G93">
        <f>IF(Inventory!A93="","",Inventory!Z93)</f>
        <v/>
      </c>
      <c r="H93">
        <f>IF(Inventory!A93="","",Inventory!Y93)</f>
        <v/>
      </c>
      <c r="I93">
        <f>IF(Inventory!A93="","",Inventory!W93)</f>
        <v/>
      </c>
      <c r="J93">
        <f>IF(Inventory!A93="","",Inventory!AA93)</f>
        <v/>
      </c>
    </row>
    <row r="94">
      <c r="A94">
        <f>IF(Inventory!A94="","",Inventory!A94)</f>
        <v/>
      </c>
      <c r="B94">
        <f>IF(Inventory!A94="","",Inventory!B94)</f>
        <v/>
      </c>
      <c r="C94">
        <f>IF(Inventory!A94="","",Inventory!C94)</f>
        <v/>
      </c>
      <c r="D94">
        <f>IF(Inventory!A94="","",Inventory!D94)</f>
        <v/>
      </c>
      <c r="E94">
        <f>IF(Inventory!A94="","",Inventory!K94)</f>
        <v/>
      </c>
      <c r="F94">
        <f>IF(Inventory!A94="","",Inventory!I94)</f>
        <v/>
      </c>
      <c r="G94">
        <f>IF(Inventory!A94="","",Inventory!Z94)</f>
        <v/>
      </c>
      <c r="H94">
        <f>IF(Inventory!A94="","",Inventory!Y94)</f>
        <v/>
      </c>
      <c r="I94">
        <f>IF(Inventory!A94="","",Inventory!W94)</f>
        <v/>
      </c>
      <c r="J94">
        <f>IF(Inventory!A94="","",Inventory!AA94)</f>
        <v/>
      </c>
    </row>
    <row r="95">
      <c r="A95">
        <f>IF(Inventory!A95="","",Inventory!A95)</f>
        <v/>
      </c>
      <c r="B95">
        <f>IF(Inventory!A95="","",Inventory!B95)</f>
        <v/>
      </c>
      <c r="C95">
        <f>IF(Inventory!A95="","",Inventory!C95)</f>
        <v/>
      </c>
      <c r="D95">
        <f>IF(Inventory!A95="","",Inventory!D95)</f>
        <v/>
      </c>
      <c r="E95">
        <f>IF(Inventory!A95="","",Inventory!K95)</f>
        <v/>
      </c>
      <c r="F95">
        <f>IF(Inventory!A95="","",Inventory!I95)</f>
        <v/>
      </c>
      <c r="G95">
        <f>IF(Inventory!A95="","",Inventory!Z95)</f>
        <v/>
      </c>
      <c r="H95">
        <f>IF(Inventory!A95="","",Inventory!Y95)</f>
        <v/>
      </c>
      <c r="I95">
        <f>IF(Inventory!A95="","",Inventory!W95)</f>
        <v/>
      </c>
      <c r="J95">
        <f>IF(Inventory!A95="","",Inventory!AA95)</f>
        <v/>
      </c>
    </row>
    <row r="96">
      <c r="A96">
        <f>IF(Inventory!A96="","",Inventory!A96)</f>
        <v/>
      </c>
      <c r="B96">
        <f>IF(Inventory!A96="","",Inventory!B96)</f>
        <v/>
      </c>
      <c r="C96">
        <f>IF(Inventory!A96="","",Inventory!C96)</f>
        <v/>
      </c>
      <c r="D96">
        <f>IF(Inventory!A96="","",Inventory!D96)</f>
        <v/>
      </c>
      <c r="E96">
        <f>IF(Inventory!A96="","",Inventory!K96)</f>
        <v/>
      </c>
      <c r="F96">
        <f>IF(Inventory!A96="","",Inventory!I96)</f>
        <v/>
      </c>
      <c r="G96">
        <f>IF(Inventory!A96="","",Inventory!Z96)</f>
        <v/>
      </c>
      <c r="H96">
        <f>IF(Inventory!A96="","",Inventory!Y96)</f>
        <v/>
      </c>
      <c r="I96">
        <f>IF(Inventory!A96="","",Inventory!W96)</f>
        <v/>
      </c>
      <c r="J96">
        <f>IF(Inventory!A96="","",Inventory!AA96)</f>
        <v/>
      </c>
    </row>
    <row r="97">
      <c r="A97">
        <f>IF(Inventory!A97="","",Inventory!A97)</f>
        <v/>
      </c>
      <c r="B97">
        <f>IF(Inventory!A97="","",Inventory!B97)</f>
        <v/>
      </c>
      <c r="C97">
        <f>IF(Inventory!A97="","",Inventory!C97)</f>
        <v/>
      </c>
      <c r="D97">
        <f>IF(Inventory!A97="","",Inventory!D97)</f>
        <v/>
      </c>
      <c r="E97">
        <f>IF(Inventory!A97="","",Inventory!K97)</f>
        <v/>
      </c>
      <c r="F97">
        <f>IF(Inventory!A97="","",Inventory!I97)</f>
        <v/>
      </c>
      <c r="G97">
        <f>IF(Inventory!A97="","",Inventory!Z97)</f>
        <v/>
      </c>
      <c r="H97">
        <f>IF(Inventory!A97="","",Inventory!Y97)</f>
        <v/>
      </c>
      <c r="I97">
        <f>IF(Inventory!A97="","",Inventory!W97)</f>
        <v/>
      </c>
      <c r="J97">
        <f>IF(Inventory!A97="","",Inventory!AA97)</f>
        <v/>
      </c>
    </row>
    <row r="98">
      <c r="A98">
        <f>IF(Inventory!A98="","",Inventory!A98)</f>
        <v/>
      </c>
      <c r="B98">
        <f>IF(Inventory!A98="","",Inventory!B98)</f>
        <v/>
      </c>
      <c r="C98">
        <f>IF(Inventory!A98="","",Inventory!C98)</f>
        <v/>
      </c>
      <c r="D98">
        <f>IF(Inventory!A98="","",Inventory!D98)</f>
        <v/>
      </c>
      <c r="E98">
        <f>IF(Inventory!A98="","",Inventory!K98)</f>
        <v/>
      </c>
      <c r="F98">
        <f>IF(Inventory!A98="","",Inventory!I98)</f>
        <v/>
      </c>
      <c r="G98">
        <f>IF(Inventory!A98="","",Inventory!Z98)</f>
        <v/>
      </c>
      <c r="H98">
        <f>IF(Inventory!A98="","",Inventory!Y98)</f>
        <v/>
      </c>
      <c r="I98">
        <f>IF(Inventory!A98="","",Inventory!W98)</f>
        <v/>
      </c>
      <c r="J98">
        <f>IF(Inventory!A98="","",Inventory!AA98)</f>
        <v/>
      </c>
    </row>
    <row r="99">
      <c r="A99">
        <f>IF(Inventory!A99="","",Inventory!A99)</f>
        <v/>
      </c>
      <c r="B99">
        <f>IF(Inventory!A99="","",Inventory!B99)</f>
        <v/>
      </c>
      <c r="C99">
        <f>IF(Inventory!A99="","",Inventory!C99)</f>
        <v/>
      </c>
      <c r="D99">
        <f>IF(Inventory!A99="","",Inventory!D99)</f>
        <v/>
      </c>
      <c r="E99">
        <f>IF(Inventory!A99="","",Inventory!K99)</f>
        <v/>
      </c>
      <c r="F99">
        <f>IF(Inventory!A99="","",Inventory!I99)</f>
        <v/>
      </c>
      <c r="G99">
        <f>IF(Inventory!A99="","",Inventory!Z99)</f>
        <v/>
      </c>
      <c r="H99">
        <f>IF(Inventory!A99="","",Inventory!Y99)</f>
        <v/>
      </c>
      <c r="I99">
        <f>IF(Inventory!A99="","",Inventory!W99)</f>
        <v/>
      </c>
      <c r="J99">
        <f>IF(Inventory!A99="","",Inventory!AA99)</f>
        <v/>
      </c>
    </row>
    <row r="100">
      <c r="A100">
        <f>IF(Inventory!A100="","",Inventory!A100)</f>
        <v/>
      </c>
      <c r="B100">
        <f>IF(Inventory!A100="","",Inventory!B100)</f>
        <v/>
      </c>
      <c r="C100">
        <f>IF(Inventory!A100="","",Inventory!C100)</f>
        <v/>
      </c>
      <c r="D100">
        <f>IF(Inventory!A100="","",Inventory!D100)</f>
        <v/>
      </c>
      <c r="E100">
        <f>IF(Inventory!A100="","",Inventory!K100)</f>
        <v/>
      </c>
      <c r="F100">
        <f>IF(Inventory!A100="","",Inventory!I100)</f>
        <v/>
      </c>
      <c r="G100">
        <f>IF(Inventory!A100="","",Inventory!Z100)</f>
        <v/>
      </c>
      <c r="H100">
        <f>IF(Inventory!A100="","",Inventory!Y100)</f>
        <v/>
      </c>
      <c r="I100">
        <f>IF(Inventory!A100="","",Inventory!W100)</f>
        <v/>
      </c>
      <c r="J100">
        <f>IF(Inventory!A100="","",Inventory!AA100)</f>
        <v/>
      </c>
    </row>
    <row r="101">
      <c r="A101">
        <f>IF(Inventory!A101="","",Inventory!A101)</f>
        <v/>
      </c>
      <c r="B101">
        <f>IF(Inventory!A101="","",Inventory!B101)</f>
        <v/>
      </c>
      <c r="C101">
        <f>IF(Inventory!A101="","",Inventory!C101)</f>
        <v/>
      </c>
      <c r="D101">
        <f>IF(Inventory!A101="","",Inventory!D101)</f>
        <v/>
      </c>
      <c r="E101">
        <f>IF(Inventory!A101="","",Inventory!K101)</f>
        <v/>
      </c>
      <c r="F101">
        <f>IF(Inventory!A101="","",Inventory!I101)</f>
        <v/>
      </c>
      <c r="G101">
        <f>IF(Inventory!A101="","",Inventory!Z101)</f>
        <v/>
      </c>
      <c r="H101">
        <f>IF(Inventory!A101="","",Inventory!Y101)</f>
        <v/>
      </c>
      <c r="I101">
        <f>IF(Inventory!A101="","",Inventory!W101)</f>
        <v/>
      </c>
      <c r="J101">
        <f>IF(Inventory!A101="","",Inventory!AA101)</f>
        <v/>
      </c>
    </row>
    <row r="102">
      <c r="A102">
        <f>IF(Inventory!A102="","",Inventory!A102)</f>
        <v/>
      </c>
      <c r="B102">
        <f>IF(Inventory!A102="","",Inventory!B102)</f>
        <v/>
      </c>
      <c r="C102">
        <f>IF(Inventory!A102="","",Inventory!C102)</f>
        <v/>
      </c>
      <c r="D102">
        <f>IF(Inventory!A102="","",Inventory!D102)</f>
        <v/>
      </c>
      <c r="E102">
        <f>IF(Inventory!A102="","",Inventory!K102)</f>
        <v/>
      </c>
      <c r="F102">
        <f>IF(Inventory!A102="","",Inventory!I102)</f>
        <v/>
      </c>
      <c r="G102">
        <f>IF(Inventory!A102="","",Inventory!Z102)</f>
        <v/>
      </c>
      <c r="H102">
        <f>IF(Inventory!A102="","",Inventory!Y102)</f>
        <v/>
      </c>
      <c r="I102">
        <f>IF(Inventory!A102="","",Inventory!W102)</f>
        <v/>
      </c>
      <c r="J102">
        <f>IF(Inventory!A102="","",Inventory!AA102)</f>
        <v/>
      </c>
    </row>
    <row r="103">
      <c r="A103">
        <f>IF(Inventory!A103="","",Inventory!A103)</f>
        <v/>
      </c>
      <c r="B103">
        <f>IF(Inventory!A103="","",Inventory!B103)</f>
        <v/>
      </c>
      <c r="C103">
        <f>IF(Inventory!A103="","",Inventory!C103)</f>
        <v/>
      </c>
      <c r="D103">
        <f>IF(Inventory!A103="","",Inventory!D103)</f>
        <v/>
      </c>
      <c r="E103">
        <f>IF(Inventory!A103="","",Inventory!K103)</f>
        <v/>
      </c>
      <c r="F103">
        <f>IF(Inventory!A103="","",Inventory!I103)</f>
        <v/>
      </c>
      <c r="G103">
        <f>IF(Inventory!A103="","",Inventory!Z103)</f>
        <v/>
      </c>
      <c r="H103">
        <f>IF(Inventory!A103="","",Inventory!Y103)</f>
        <v/>
      </c>
      <c r="I103">
        <f>IF(Inventory!A103="","",Inventory!W103)</f>
        <v/>
      </c>
      <c r="J103">
        <f>IF(Inventory!A103="","",Inventory!AA103)</f>
        <v/>
      </c>
    </row>
    <row r="104">
      <c r="A104">
        <f>IF(Inventory!A104="","",Inventory!A104)</f>
        <v/>
      </c>
      <c r="B104">
        <f>IF(Inventory!A104="","",Inventory!B104)</f>
        <v/>
      </c>
      <c r="C104">
        <f>IF(Inventory!A104="","",Inventory!C104)</f>
        <v/>
      </c>
      <c r="D104">
        <f>IF(Inventory!A104="","",Inventory!D104)</f>
        <v/>
      </c>
      <c r="E104">
        <f>IF(Inventory!A104="","",Inventory!K104)</f>
        <v/>
      </c>
      <c r="F104">
        <f>IF(Inventory!A104="","",Inventory!I104)</f>
        <v/>
      </c>
      <c r="G104">
        <f>IF(Inventory!A104="","",Inventory!Z104)</f>
        <v/>
      </c>
      <c r="H104">
        <f>IF(Inventory!A104="","",Inventory!Y104)</f>
        <v/>
      </c>
      <c r="I104">
        <f>IF(Inventory!A104="","",Inventory!W104)</f>
        <v/>
      </c>
      <c r="J104">
        <f>IF(Inventory!A104="","",Inventory!AA104)</f>
        <v/>
      </c>
    </row>
    <row r="105">
      <c r="A105">
        <f>IF(Inventory!A105="","",Inventory!A105)</f>
        <v/>
      </c>
      <c r="B105">
        <f>IF(Inventory!A105="","",Inventory!B105)</f>
        <v/>
      </c>
      <c r="C105">
        <f>IF(Inventory!A105="","",Inventory!C105)</f>
        <v/>
      </c>
      <c r="D105">
        <f>IF(Inventory!A105="","",Inventory!D105)</f>
        <v/>
      </c>
      <c r="E105">
        <f>IF(Inventory!A105="","",Inventory!K105)</f>
        <v/>
      </c>
      <c r="F105">
        <f>IF(Inventory!A105="","",Inventory!I105)</f>
        <v/>
      </c>
      <c r="G105">
        <f>IF(Inventory!A105="","",Inventory!Z105)</f>
        <v/>
      </c>
      <c r="H105">
        <f>IF(Inventory!A105="","",Inventory!Y105)</f>
        <v/>
      </c>
      <c r="I105">
        <f>IF(Inventory!A105="","",Inventory!W105)</f>
        <v/>
      </c>
      <c r="J105">
        <f>IF(Inventory!A105="","",Inventory!AA105)</f>
        <v/>
      </c>
    </row>
    <row r="106">
      <c r="A106">
        <f>IF(Inventory!A106="","",Inventory!A106)</f>
        <v/>
      </c>
      <c r="B106">
        <f>IF(Inventory!A106="","",Inventory!B106)</f>
        <v/>
      </c>
      <c r="C106">
        <f>IF(Inventory!A106="","",Inventory!C106)</f>
        <v/>
      </c>
      <c r="D106">
        <f>IF(Inventory!A106="","",Inventory!D106)</f>
        <v/>
      </c>
      <c r="E106">
        <f>IF(Inventory!A106="","",Inventory!K106)</f>
        <v/>
      </c>
      <c r="F106">
        <f>IF(Inventory!A106="","",Inventory!I106)</f>
        <v/>
      </c>
      <c r="G106">
        <f>IF(Inventory!A106="","",Inventory!Z106)</f>
        <v/>
      </c>
      <c r="H106">
        <f>IF(Inventory!A106="","",Inventory!Y106)</f>
        <v/>
      </c>
      <c r="I106">
        <f>IF(Inventory!A106="","",Inventory!W106)</f>
        <v/>
      </c>
      <c r="J106">
        <f>IF(Inventory!A106="","",Inventory!AA106)</f>
        <v/>
      </c>
    </row>
    <row r="107">
      <c r="A107">
        <f>IF(Inventory!A107="","",Inventory!A107)</f>
        <v/>
      </c>
      <c r="B107">
        <f>IF(Inventory!A107="","",Inventory!B107)</f>
        <v/>
      </c>
      <c r="C107">
        <f>IF(Inventory!A107="","",Inventory!C107)</f>
        <v/>
      </c>
      <c r="D107">
        <f>IF(Inventory!A107="","",Inventory!D107)</f>
        <v/>
      </c>
      <c r="E107">
        <f>IF(Inventory!A107="","",Inventory!K107)</f>
        <v/>
      </c>
      <c r="F107">
        <f>IF(Inventory!A107="","",Inventory!I107)</f>
        <v/>
      </c>
      <c r="G107">
        <f>IF(Inventory!A107="","",Inventory!Z107)</f>
        <v/>
      </c>
      <c r="H107">
        <f>IF(Inventory!A107="","",Inventory!Y107)</f>
        <v/>
      </c>
      <c r="I107">
        <f>IF(Inventory!A107="","",Inventory!W107)</f>
        <v/>
      </c>
      <c r="J107">
        <f>IF(Inventory!A107="","",Inventory!AA107)</f>
        <v/>
      </c>
    </row>
    <row r="108">
      <c r="A108">
        <f>IF(Inventory!A108="","",Inventory!A108)</f>
        <v/>
      </c>
      <c r="B108">
        <f>IF(Inventory!A108="","",Inventory!B108)</f>
        <v/>
      </c>
      <c r="C108">
        <f>IF(Inventory!A108="","",Inventory!C108)</f>
        <v/>
      </c>
      <c r="D108">
        <f>IF(Inventory!A108="","",Inventory!D108)</f>
        <v/>
      </c>
      <c r="E108">
        <f>IF(Inventory!A108="","",Inventory!K108)</f>
        <v/>
      </c>
      <c r="F108">
        <f>IF(Inventory!A108="","",Inventory!I108)</f>
        <v/>
      </c>
      <c r="G108">
        <f>IF(Inventory!A108="","",Inventory!Z108)</f>
        <v/>
      </c>
      <c r="H108">
        <f>IF(Inventory!A108="","",Inventory!Y108)</f>
        <v/>
      </c>
      <c r="I108">
        <f>IF(Inventory!A108="","",Inventory!W108)</f>
        <v/>
      </c>
      <c r="J108">
        <f>IF(Inventory!A108="","",Inventory!AA108)</f>
        <v/>
      </c>
    </row>
    <row r="109">
      <c r="A109">
        <f>IF(Inventory!A109="","",Inventory!A109)</f>
        <v/>
      </c>
      <c r="B109">
        <f>IF(Inventory!A109="","",Inventory!B109)</f>
        <v/>
      </c>
      <c r="C109">
        <f>IF(Inventory!A109="","",Inventory!C109)</f>
        <v/>
      </c>
      <c r="D109">
        <f>IF(Inventory!A109="","",Inventory!D109)</f>
        <v/>
      </c>
      <c r="E109">
        <f>IF(Inventory!A109="","",Inventory!K109)</f>
        <v/>
      </c>
      <c r="F109">
        <f>IF(Inventory!A109="","",Inventory!I109)</f>
        <v/>
      </c>
      <c r="G109">
        <f>IF(Inventory!A109="","",Inventory!Z109)</f>
        <v/>
      </c>
      <c r="H109">
        <f>IF(Inventory!A109="","",Inventory!Y109)</f>
        <v/>
      </c>
      <c r="I109">
        <f>IF(Inventory!A109="","",Inventory!W109)</f>
        <v/>
      </c>
      <c r="J109">
        <f>IF(Inventory!A109="","",Inventory!AA109)</f>
        <v/>
      </c>
    </row>
    <row r="110">
      <c r="A110">
        <f>IF(Inventory!A110="","",Inventory!A110)</f>
        <v/>
      </c>
      <c r="B110">
        <f>IF(Inventory!A110="","",Inventory!B110)</f>
        <v/>
      </c>
      <c r="C110">
        <f>IF(Inventory!A110="","",Inventory!C110)</f>
        <v/>
      </c>
      <c r="D110">
        <f>IF(Inventory!A110="","",Inventory!D110)</f>
        <v/>
      </c>
      <c r="E110">
        <f>IF(Inventory!A110="","",Inventory!K110)</f>
        <v/>
      </c>
      <c r="F110">
        <f>IF(Inventory!A110="","",Inventory!I110)</f>
        <v/>
      </c>
      <c r="G110">
        <f>IF(Inventory!A110="","",Inventory!Z110)</f>
        <v/>
      </c>
      <c r="H110">
        <f>IF(Inventory!A110="","",Inventory!Y110)</f>
        <v/>
      </c>
      <c r="I110">
        <f>IF(Inventory!A110="","",Inventory!W110)</f>
        <v/>
      </c>
      <c r="J110">
        <f>IF(Inventory!A110="","",Inventory!AA110)</f>
        <v/>
      </c>
    </row>
    <row r="111">
      <c r="A111">
        <f>IF(Inventory!A111="","",Inventory!A111)</f>
        <v/>
      </c>
      <c r="B111">
        <f>IF(Inventory!A111="","",Inventory!B111)</f>
        <v/>
      </c>
      <c r="C111">
        <f>IF(Inventory!A111="","",Inventory!C111)</f>
        <v/>
      </c>
      <c r="D111">
        <f>IF(Inventory!A111="","",Inventory!D111)</f>
        <v/>
      </c>
      <c r="E111">
        <f>IF(Inventory!A111="","",Inventory!K111)</f>
        <v/>
      </c>
      <c r="F111">
        <f>IF(Inventory!A111="","",Inventory!I111)</f>
        <v/>
      </c>
      <c r="G111">
        <f>IF(Inventory!A111="","",Inventory!Z111)</f>
        <v/>
      </c>
      <c r="H111">
        <f>IF(Inventory!A111="","",Inventory!Y111)</f>
        <v/>
      </c>
      <c r="I111">
        <f>IF(Inventory!A111="","",Inventory!W111)</f>
        <v/>
      </c>
      <c r="J111">
        <f>IF(Inventory!A111="","",Inventory!AA111)</f>
        <v/>
      </c>
    </row>
    <row r="112">
      <c r="A112">
        <f>IF(Inventory!A112="","",Inventory!A112)</f>
        <v/>
      </c>
      <c r="B112">
        <f>IF(Inventory!A112="","",Inventory!B112)</f>
        <v/>
      </c>
      <c r="C112">
        <f>IF(Inventory!A112="","",Inventory!C112)</f>
        <v/>
      </c>
      <c r="D112">
        <f>IF(Inventory!A112="","",Inventory!D112)</f>
        <v/>
      </c>
      <c r="E112">
        <f>IF(Inventory!A112="","",Inventory!K112)</f>
        <v/>
      </c>
      <c r="F112">
        <f>IF(Inventory!A112="","",Inventory!I112)</f>
        <v/>
      </c>
      <c r="G112">
        <f>IF(Inventory!A112="","",Inventory!Z112)</f>
        <v/>
      </c>
      <c r="H112">
        <f>IF(Inventory!A112="","",Inventory!Y112)</f>
        <v/>
      </c>
      <c r="I112">
        <f>IF(Inventory!A112="","",Inventory!W112)</f>
        <v/>
      </c>
      <c r="J112">
        <f>IF(Inventory!A112="","",Inventory!AA112)</f>
        <v/>
      </c>
    </row>
    <row r="113">
      <c r="A113">
        <f>IF(Inventory!A113="","",Inventory!A113)</f>
        <v/>
      </c>
      <c r="B113">
        <f>IF(Inventory!A113="","",Inventory!B113)</f>
        <v/>
      </c>
      <c r="C113">
        <f>IF(Inventory!A113="","",Inventory!C113)</f>
        <v/>
      </c>
      <c r="D113">
        <f>IF(Inventory!A113="","",Inventory!D113)</f>
        <v/>
      </c>
      <c r="E113">
        <f>IF(Inventory!A113="","",Inventory!K113)</f>
        <v/>
      </c>
      <c r="F113">
        <f>IF(Inventory!A113="","",Inventory!I113)</f>
        <v/>
      </c>
      <c r="G113">
        <f>IF(Inventory!A113="","",Inventory!Z113)</f>
        <v/>
      </c>
      <c r="H113">
        <f>IF(Inventory!A113="","",Inventory!Y113)</f>
        <v/>
      </c>
      <c r="I113">
        <f>IF(Inventory!A113="","",Inventory!W113)</f>
        <v/>
      </c>
      <c r="J113">
        <f>IF(Inventory!A113="","",Inventory!AA113)</f>
        <v/>
      </c>
    </row>
    <row r="114">
      <c r="A114">
        <f>IF(Inventory!A114="","",Inventory!A114)</f>
        <v/>
      </c>
      <c r="B114">
        <f>IF(Inventory!A114="","",Inventory!B114)</f>
        <v/>
      </c>
      <c r="C114">
        <f>IF(Inventory!A114="","",Inventory!C114)</f>
        <v/>
      </c>
      <c r="D114">
        <f>IF(Inventory!A114="","",Inventory!D114)</f>
        <v/>
      </c>
      <c r="E114">
        <f>IF(Inventory!A114="","",Inventory!K114)</f>
        <v/>
      </c>
      <c r="F114">
        <f>IF(Inventory!A114="","",Inventory!I114)</f>
        <v/>
      </c>
      <c r="G114">
        <f>IF(Inventory!A114="","",Inventory!Z114)</f>
        <v/>
      </c>
      <c r="H114">
        <f>IF(Inventory!A114="","",Inventory!Y114)</f>
        <v/>
      </c>
      <c r="I114">
        <f>IF(Inventory!A114="","",Inventory!W114)</f>
        <v/>
      </c>
      <c r="J114">
        <f>IF(Inventory!A114="","",Inventory!AA114)</f>
        <v/>
      </c>
    </row>
    <row r="115">
      <c r="A115">
        <f>IF(Inventory!A115="","",Inventory!A115)</f>
        <v/>
      </c>
      <c r="B115">
        <f>IF(Inventory!A115="","",Inventory!B115)</f>
        <v/>
      </c>
      <c r="C115">
        <f>IF(Inventory!A115="","",Inventory!C115)</f>
        <v/>
      </c>
      <c r="D115">
        <f>IF(Inventory!A115="","",Inventory!D115)</f>
        <v/>
      </c>
      <c r="E115">
        <f>IF(Inventory!A115="","",Inventory!K115)</f>
        <v/>
      </c>
      <c r="F115">
        <f>IF(Inventory!A115="","",Inventory!I115)</f>
        <v/>
      </c>
      <c r="G115">
        <f>IF(Inventory!A115="","",Inventory!Z115)</f>
        <v/>
      </c>
      <c r="H115">
        <f>IF(Inventory!A115="","",Inventory!Y115)</f>
        <v/>
      </c>
      <c r="I115">
        <f>IF(Inventory!A115="","",Inventory!W115)</f>
        <v/>
      </c>
      <c r="J115">
        <f>IF(Inventory!A115="","",Inventory!AA115)</f>
        <v/>
      </c>
    </row>
    <row r="116">
      <c r="A116">
        <f>IF(Inventory!A116="","",Inventory!A116)</f>
        <v/>
      </c>
      <c r="B116">
        <f>IF(Inventory!A116="","",Inventory!B116)</f>
        <v/>
      </c>
      <c r="C116">
        <f>IF(Inventory!A116="","",Inventory!C116)</f>
        <v/>
      </c>
      <c r="D116">
        <f>IF(Inventory!A116="","",Inventory!D116)</f>
        <v/>
      </c>
      <c r="E116">
        <f>IF(Inventory!A116="","",Inventory!K116)</f>
        <v/>
      </c>
      <c r="F116">
        <f>IF(Inventory!A116="","",Inventory!I116)</f>
        <v/>
      </c>
      <c r="G116">
        <f>IF(Inventory!A116="","",Inventory!Z116)</f>
        <v/>
      </c>
      <c r="H116">
        <f>IF(Inventory!A116="","",Inventory!Y116)</f>
        <v/>
      </c>
      <c r="I116">
        <f>IF(Inventory!A116="","",Inventory!W116)</f>
        <v/>
      </c>
      <c r="J116">
        <f>IF(Inventory!A116="","",Inventory!AA116)</f>
        <v/>
      </c>
    </row>
    <row r="117">
      <c r="A117">
        <f>IF(Inventory!A117="","",Inventory!A117)</f>
        <v/>
      </c>
      <c r="B117">
        <f>IF(Inventory!A117="","",Inventory!B117)</f>
        <v/>
      </c>
      <c r="C117">
        <f>IF(Inventory!A117="","",Inventory!C117)</f>
        <v/>
      </c>
      <c r="D117">
        <f>IF(Inventory!A117="","",Inventory!D117)</f>
        <v/>
      </c>
      <c r="E117">
        <f>IF(Inventory!A117="","",Inventory!K117)</f>
        <v/>
      </c>
      <c r="F117">
        <f>IF(Inventory!A117="","",Inventory!I117)</f>
        <v/>
      </c>
      <c r="G117">
        <f>IF(Inventory!A117="","",Inventory!Z117)</f>
        <v/>
      </c>
      <c r="H117">
        <f>IF(Inventory!A117="","",Inventory!Y117)</f>
        <v/>
      </c>
      <c r="I117">
        <f>IF(Inventory!A117="","",Inventory!W117)</f>
        <v/>
      </c>
      <c r="J117">
        <f>IF(Inventory!A117="","",Inventory!AA117)</f>
        <v/>
      </c>
    </row>
    <row r="118">
      <c r="A118">
        <f>IF(Inventory!A118="","",Inventory!A118)</f>
        <v/>
      </c>
      <c r="B118">
        <f>IF(Inventory!A118="","",Inventory!B118)</f>
        <v/>
      </c>
      <c r="C118">
        <f>IF(Inventory!A118="","",Inventory!C118)</f>
        <v/>
      </c>
      <c r="D118">
        <f>IF(Inventory!A118="","",Inventory!D118)</f>
        <v/>
      </c>
      <c r="E118">
        <f>IF(Inventory!A118="","",Inventory!K118)</f>
        <v/>
      </c>
      <c r="F118">
        <f>IF(Inventory!A118="","",Inventory!I118)</f>
        <v/>
      </c>
      <c r="G118">
        <f>IF(Inventory!A118="","",Inventory!Z118)</f>
        <v/>
      </c>
      <c r="H118">
        <f>IF(Inventory!A118="","",Inventory!Y118)</f>
        <v/>
      </c>
      <c r="I118">
        <f>IF(Inventory!A118="","",Inventory!W118)</f>
        <v/>
      </c>
      <c r="J118">
        <f>IF(Inventory!A118="","",Inventory!AA118)</f>
        <v/>
      </c>
    </row>
    <row r="119">
      <c r="A119">
        <f>IF(Inventory!A119="","",Inventory!A119)</f>
        <v/>
      </c>
      <c r="B119">
        <f>IF(Inventory!A119="","",Inventory!B119)</f>
        <v/>
      </c>
      <c r="C119">
        <f>IF(Inventory!A119="","",Inventory!C119)</f>
        <v/>
      </c>
      <c r="D119">
        <f>IF(Inventory!A119="","",Inventory!D119)</f>
        <v/>
      </c>
      <c r="E119">
        <f>IF(Inventory!A119="","",Inventory!K119)</f>
        <v/>
      </c>
      <c r="F119">
        <f>IF(Inventory!A119="","",Inventory!I119)</f>
        <v/>
      </c>
      <c r="G119">
        <f>IF(Inventory!A119="","",Inventory!Z119)</f>
        <v/>
      </c>
      <c r="H119">
        <f>IF(Inventory!A119="","",Inventory!Y119)</f>
        <v/>
      </c>
      <c r="I119">
        <f>IF(Inventory!A119="","",Inventory!W119)</f>
        <v/>
      </c>
      <c r="J119">
        <f>IF(Inventory!A119="","",Inventory!AA119)</f>
        <v/>
      </c>
    </row>
    <row r="120">
      <c r="A120">
        <f>IF(Inventory!A120="","",Inventory!A120)</f>
        <v/>
      </c>
      <c r="B120">
        <f>IF(Inventory!A120="","",Inventory!B120)</f>
        <v/>
      </c>
      <c r="C120">
        <f>IF(Inventory!A120="","",Inventory!C120)</f>
        <v/>
      </c>
      <c r="D120">
        <f>IF(Inventory!A120="","",Inventory!D120)</f>
        <v/>
      </c>
      <c r="E120">
        <f>IF(Inventory!A120="","",Inventory!K120)</f>
        <v/>
      </c>
      <c r="F120">
        <f>IF(Inventory!A120="","",Inventory!I120)</f>
        <v/>
      </c>
      <c r="G120">
        <f>IF(Inventory!A120="","",Inventory!Z120)</f>
        <v/>
      </c>
      <c r="H120">
        <f>IF(Inventory!A120="","",Inventory!Y120)</f>
        <v/>
      </c>
      <c r="I120">
        <f>IF(Inventory!A120="","",Inventory!W120)</f>
        <v/>
      </c>
      <c r="J120">
        <f>IF(Inventory!A120="","",Inventory!AA120)</f>
        <v/>
      </c>
    </row>
    <row r="121">
      <c r="A121">
        <f>IF(Inventory!A121="","",Inventory!A121)</f>
        <v/>
      </c>
      <c r="B121">
        <f>IF(Inventory!A121="","",Inventory!B121)</f>
        <v/>
      </c>
      <c r="C121">
        <f>IF(Inventory!A121="","",Inventory!C121)</f>
        <v/>
      </c>
      <c r="D121">
        <f>IF(Inventory!A121="","",Inventory!D121)</f>
        <v/>
      </c>
      <c r="E121">
        <f>IF(Inventory!A121="","",Inventory!K121)</f>
        <v/>
      </c>
      <c r="F121">
        <f>IF(Inventory!A121="","",Inventory!I121)</f>
        <v/>
      </c>
      <c r="G121">
        <f>IF(Inventory!A121="","",Inventory!Z121)</f>
        <v/>
      </c>
      <c r="H121">
        <f>IF(Inventory!A121="","",Inventory!Y121)</f>
        <v/>
      </c>
      <c r="I121">
        <f>IF(Inventory!A121="","",Inventory!W121)</f>
        <v/>
      </c>
      <c r="J121">
        <f>IF(Inventory!A121="","",Inventory!AA121)</f>
        <v/>
      </c>
    </row>
    <row r="122">
      <c r="A122">
        <f>IF(Inventory!A122="","",Inventory!A122)</f>
        <v/>
      </c>
      <c r="B122">
        <f>IF(Inventory!A122="","",Inventory!B122)</f>
        <v/>
      </c>
      <c r="C122">
        <f>IF(Inventory!A122="","",Inventory!C122)</f>
        <v/>
      </c>
      <c r="D122">
        <f>IF(Inventory!A122="","",Inventory!D122)</f>
        <v/>
      </c>
      <c r="E122">
        <f>IF(Inventory!A122="","",Inventory!K122)</f>
        <v/>
      </c>
      <c r="F122">
        <f>IF(Inventory!A122="","",Inventory!I122)</f>
        <v/>
      </c>
      <c r="G122">
        <f>IF(Inventory!A122="","",Inventory!Z122)</f>
        <v/>
      </c>
      <c r="H122">
        <f>IF(Inventory!A122="","",Inventory!Y122)</f>
        <v/>
      </c>
      <c r="I122">
        <f>IF(Inventory!A122="","",Inventory!W122)</f>
        <v/>
      </c>
      <c r="J122">
        <f>IF(Inventory!A122="","",Inventory!AA122)</f>
        <v/>
      </c>
    </row>
    <row r="123">
      <c r="A123">
        <f>IF(Inventory!A123="","",Inventory!A123)</f>
        <v/>
      </c>
      <c r="B123">
        <f>IF(Inventory!A123="","",Inventory!B123)</f>
        <v/>
      </c>
      <c r="C123">
        <f>IF(Inventory!A123="","",Inventory!C123)</f>
        <v/>
      </c>
      <c r="D123">
        <f>IF(Inventory!A123="","",Inventory!D123)</f>
        <v/>
      </c>
      <c r="E123">
        <f>IF(Inventory!A123="","",Inventory!K123)</f>
        <v/>
      </c>
      <c r="F123">
        <f>IF(Inventory!A123="","",Inventory!I123)</f>
        <v/>
      </c>
      <c r="G123">
        <f>IF(Inventory!A123="","",Inventory!Z123)</f>
        <v/>
      </c>
      <c r="H123">
        <f>IF(Inventory!A123="","",Inventory!Y123)</f>
        <v/>
      </c>
      <c r="I123">
        <f>IF(Inventory!A123="","",Inventory!W123)</f>
        <v/>
      </c>
      <c r="J123">
        <f>IF(Inventory!A123="","",Inventory!AA123)</f>
        <v/>
      </c>
    </row>
    <row r="124">
      <c r="A124">
        <f>IF(Inventory!A124="","",Inventory!A124)</f>
        <v/>
      </c>
      <c r="B124">
        <f>IF(Inventory!A124="","",Inventory!B124)</f>
        <v/>
      </c>
      <c r="C124">
        <f>IF(Inventory!A124="","",Inventory!C124)</f>
        <v/>
      </c>
      <c r="D124">
        <f>IF(Inventory!A124="","",Inventory!D124)</f>
        <v/>
      </c>
      <c r="E124">
        <f>IF(Inventory!A124="","",Inventory!K124)</f>
        <v/>
      </c>
      <c r="F124">
        <f>IF(Inventory!A124="","",Inventory!I124)</f>
        <v/>
      </c>
      <c r="G124">
        <f>IF(Inventory!A124="","",Inventory!Z124)</f>
        <v/>
      </c>
      <c r="H124">
        <f>IF(Inventory!A124="","",Inventory!Y124)</f>
        <v/>
      </c>
      <c r="I124">
        <f>IF(Inventory!A124="","",Inventory!W124)</f>
        <v/>
      </c>
      <c r="J124">
        <f>IF(Inventory!A124="","",Inventory!AA124)</f>
        <v/>
      </c>
    </row>
    <row r="125">
      <c r="A125">
        <f>IF(Inventory!A125="","",Inventory!A125)</f>
        <v/>
      </c>
      <c r="B125">
        <f>IF(Inventory!A125="","",Inventory!B125)</f>
        <v/>
      </c>
      <c r="C125">
        <f>IF(Inventory!A125="","",Inventory!C125)</f>
        <v/>
      </c>
      <c r="D125">
        <f>IF(Inventory!A125="","",Inventory!D125)</f>
        <v/>
      </c>
      <c r="E125">
        <f>IF(Inventory!A125="","",Inventory!K125)</f>
        <v/>
      </c>
      <c r="F125">
        <f>IF(Inventory!A125="","",Inventory!I125)</f>
        <v/>
      </c>
      <c r="G125">
        <f>IF(Inventory!A125="","",Inventory!Z125)</f>
        <v/>
      </c>
      <c r="H125">
        <f>IF(Inventory!A125="","",Inventory!Y125)</f>
        <v/>
      </c>
      <c r="I125">
        <f>IF(Inventory!A125="","",Inventory!W125)</f>
        <v/>
      </c>
      <c r="J125">
        <f>IF(Inventory!A125="","",Inventory!AA125)</f>
        <v/>
      </c>
    </row>
    <row r="126">
      <c r="A126">
        <f>IF(Inventory!A126="","",Inventory!A126)</f>
        <v/>
      </c>
      <c r="B126">
        <f>IF(Inventory!A126="","",Inventory!B126)</f>
        <v/>
      </c>
      <c r="C126">
        <f>IF(Inventory!A126="","",Inventory!C126)</f>
        <v/>
      </c>
      <c r="D126">
        <f>IF(Inventory!A126="","",Inventory!D126)</f>
        <v/>
      </c>
      <c r="E126">
        <f>IF(Inventory!A126="","",Inventory!K126)</f>
        <v/>
      </c>
      <c r="F126">
        <f>IF(Inventory!A126="","",Inventory!I126)</f>
        <v/>
      </c>
      <c r="G126">
        <f>IF(Inventory!A126="","",Inventory!Z126)</f>
        <v/>
      </c>
      <c r="H126">
        <f>IF(Inventory!A126="","",Inventory!Y126)</f>
        <v/>
      </c>
      <c r="I126">
        <f>IF(Inventory!A126="","",Inventory!W126)</f>
        <v/>
      </c>
      <c r="J126">
        <f>IF(Inventory!A126="","",Inventory!AA126)</f>
        <v/>
      </c>
    </row>
    <row r="127">
      <c r="A127">
        <f>IF(Inventory!A127="","",Inventory!A127)</f>
        <v/>
      </c>
      <c r="B127">
        <f>IF(Inventory!A127="","",Inventory!B127)</f>
        <v/>
      </c>
      <c r="C127">
        <f>IF(Inventory!A127="","",Inventory!C127)</f>
        <v/>
      </c>
      <c r="D127">
        <f>IF(Inventory!A127="","",Inventory!D127)</f>
        <v/>
      </c>
      <c r="E127">
        <f>IF(Inventory!A127="","",Inventory!K127)</f>
        <v/>
      </c>
      <c r="F127">
        <f>IF(Inventory!A127="","",Inventory!I127)</f>
        <v/>
      </c>
      <c r="G127">
        <f>IF(Inventory!A127="","",Inventory!Z127)</f>
        <v/>
      </c>
      <c r="H127">
        <f>IF(Inventory!A127="","",Inventory!Y127)</f>
        <v/>
      </c>
      <c r="I127">
        <f>IF(Inventory!A127="","",Inventory!W127)</f>
        <v/>
      </c>
      <c r="J127">
        <f>IF(Inventory!A127="","",Inventory!AA127)</f>
        <v/>
      </c>
    </row>
    <row r="128">
      <c r="A128">
        <f>IF(Inventory!A128="","",Inventory!A128)</f>
        <v/>
      </c>
      <c r="B128">
        <f>IF(Inventory!A128="","",Inventory!B128)</f>
        <v/>
      </c>
      <c r="C128">
        <f>IF(Inventory!A128="","",Inventory!C128)</f>
        <v/>
      </c>
      <c r="D128">
        <f>IF(Inventory!A128="","",Inventory!D128)</f>
        <v/>
      </c>
      <c r="E128">
        <f>IF(Inventory!A128="","",Inventory!K128)</f>
        <v/>
      </c>
      <c r="F128">
        <f>IF(Inventory!A128="","",Inventory!I128)</f>
        <v/>
      </c>
      <c r="G128">
        <f>IF(Inventory!A128="","",Inventory!Z128)</f>
        <v/>
      </c>
      <c r="H128">
        <f>IF(Inventory!A128="","",Inventory!Y128)</f>
        <v/>
      </c>
      <c r="I128">
        <f>IF(Inventory!A128="","",Inventory!W128)</f>
        <v/>
      </c>
      <c r="J128">
        <f>IF(Inventory!A128="","",Inventory!AA128)</f>
        <v/>
      </c>
    </row>
    <row r="129">
      <c r="A129">
        <f>IF(Inventory!A129="","",Inventory!A129)</f>
        <v/>
      </c>
      <c r="B129">
        <f>IF(Inventory!A129="","",Inventory!B129)</f>
        <v/>
      </c>
      <c r="C129">
        <f>IF(Inventory!A129="","",Inventory!C129)</f>
        <v/>
      </c>
      <c r="D129">
        <f>IF(Inventory!A129="","",Inventory!D129)</f>
        <v/>
      </c>
      <c r="E129">
        <f>IF(Inventory!A129="","",Inventory!K129)</f>
        <v/>
      </c>
      <c r="F129">
        <f>IF(Inventory!A129="","",Inventory!I129)</f>
        <v/>
      </c>
      <c r="G129">
        <f>IF(Inventory!A129="","",Inventory!Z129)</f>
        <v/>
      </c>
      <c r="H129">
        <f>IF(Inventory!A129="","",Inventory!Y129)</f>
        <v/>
      </c>
      <c r="I129">
        <f>IF(Inventory!A129="","",Inventory!W129)</f>
        <v/>
      </c>
      <c r="J129">
        <f>IF(Inventory!A129="","",Inventory!AA129)</f>
        <v/>
      </c>
    </row>
    <row r="130">
      <c r="A130">
        <f>IF(Inventory!A130="","",Inventory!A130)</f>
        <v/>
      </c>
      <c r="B130">
        <f>IF(Inventory!A130="","",Inventory!B130)</f>
        <v/>
      </c>
      <c r="C130">
        <f>IF(Inventory!A130="","",Inventory!C130)</f>
        <v/>
      </c>
      <c r="D130">
        <f>IF(Inventory!A130="","",Inventory!D130)</f>
        <v/>
      </c>
      <c r="E130">
        <f>IF(Inventory!A130="","",Inventory!K130)</f>
        <v/>
      </c>
      <c r="F130">
        <f>IF(Inventory!A130="","",Inventory!I130)</f>
        <v/>
      </c>
      <c r="G130">
        <f>IF(Inventory!A130="","",Inventory!Z130)</f>
        <v/>
      </c>
      <c r="H130">
        <f>IF(Inventory!A130="","",Inventory!Y130)</f>
        <v/>
      </c>
      <c r="I130">
        <f>IF(Inventory!A130="","",Inventory!W130)</f>
        <v/>
      </c>
      <c r="J130">
        <f>IF(Inventory!A130="","",Inventory!AA130)</f>
        <v/>
      </c>
    </row>
    <row r="131">
      <c r="A131">
        <f>IF(Inventory!A131="","",Inventory!A131)</f>
        <v/>
      </c>
      <c r="B131">
        <f>IF(Inventory!A131="","",Inventory!B131)</f>
        <v/>
      </c>
      <c r="C131">
        <f>IF(Inventory!A131="","",Inventory!C131)</f>
        <v/>
      </c>
      <c r="D131">
        <f>IF(Inventory!A131="","",Inventory!D131)</f>
        <v/>
      </c>
      <c r="E131">
        <f>IF(Inventory!A131="","",Inventory!K131)</f>
        <v/>
      </c>
      <c r="F131">
        <f>IF(Inventory!A131="","",Inventory!I131)</f>
        <v/>
      </c>
      <c r="G131">
        <f>IF(Inventory!A131="","",Inventory!Z131)</f>
        <v/>
      </c>
      <c r="H131">
        <f>IF(Inventory!A131="","",Inventory!Y131)</f>
        <v/>
      </c>
      <c r="I131">
        <f>IF(Inventory!A131="","",Inventory!W131)</f>
        <v/>
      </c>
      <c r="J131">
        <f>IF(Inventory!A131="","",Inventory!AA131)</f>
        <v/>
      </c>
    </row>
    <row r="132">
      <c r="A132">
        <f>IF(Inventory!A132="","",Inventory!A132)</f>
        <v/>
      </c>
      <c r="B132">
        <f>IF(Inventory!A132="","",Inventory!B132)</f>
        <v/>
      </c>
      <c r="C132">
        <f>IF(Inventory!A132="","",Inventory!C132)</f>
        <v/>
      </c>
      <c r="D132">
        <f>IF(Inventory!A132="","",Inventory!D132)</f>
        <v/>
      </c>
      <c r="E132">
        <f>IF(Inventory!A132="","",Inventory!K132)</f>
        <v/>
      </c>
      <c r="F132">
        <f>IF(Inventory!A132="","",Inventory!I132)</f>
        <v/>
      </c>
      <c r="G132">
        <f>IF(Inventory!A132="","",Inventory!Z132)</f>
        <v/>
      </c>
      <c r="H132">
        <f>IF(Inventory!A132="","",Inventory!Y132)</f>
        <v/>
      </c>
      <c r="I132">
        <f>IF(Inventory!A132="","",Inventory!W132)</f>
        <v/>
      </c>
      <c r="J132">
        <f>IF(Inventory!A132="","",Inventory!AA132)</f>
        <v/>
      </c>
    </row>
    <row r="133">
      <c r="A133">
        <f>IF(Inventory!A133="","",Inventory!A133)</f>
        <v/>
      </c>
      <c r="B133">
        <f>IF(Inventory!A133="","",Inventory!B133)</f>
        <v/>
      </c>
      <c r="C133">
        <f>IF(Inventory!A133="","",Inventory!C133)</f>
        <v/>
      </c>
      <c r="D133">
        <f>IF(Inventory!A133="","",Inventory!D133)</f>
        <v/>
      </c>
      <c r="E133">
        <f>IF(Inventory!A133="","",Inventory!K133)</f>
        <v/>
      </c>
      <c r="F133">
        <f>IF(Inventory!A133="","",Inventory!I133)</f>
        <v/>
      </c>
      <c r="G133">
        <f>IF(Inventory!A133="","",Inventory!Z133)</f>
        <v/>
      </c>
      <c r="H133">
        <f>IF(Inventory!A133="","",Inventory!Y133)</f>
        <v/>
      </c>
      <c r="I133">
        <f>IF(Inventory!A133="","",Inventory!W133)</f>
        <v/>
      </c>
      <c r="J133">
        <f>IF(Inventory!A133="","",Inventory!AA133)</f>
        <v/>
      </c>
    </row>
    <row r="134">
      <c r="A134">
        <f>IF(Inventory!A134="","",Inventory!A134)</f>
        <v/>
      </c>
      <c r="B134">
        <f>IF(Inventory!A134="","",Inventory!B134)</f>
        <v/>
      </c>
      <c r="C134">
        <f>IF(Inventory!A134="","",Inventory!C134)</f>
        <v/>
      </c>
      <c r="D134">
        <f>IF(Inventory!A134="","",Inventory!D134)</f>
        <v/>
      </c>
      <c r="E134">
        <f>IF(Inventory!A134="","",Inventory!K134)</f>
        <v/>
      </c>
      <c r="F134">
        <f>IF(Inventory!A134="","",Inventory!I134)</f>
        <v/>
      </c>
      <c r="G134">
        <f>IF(Inventory!A134="","",Inventory!Z134)</f>
        <v/>
      </c>
      <c r="H134">
        <f>IF(Inventory!A134="","",Inventory!Y134)</f>
        <v/>
      </c>
      <c r="I134">
        <f>IF(Inventory!A134="","",Inventory!W134)</f>
        <v/>
      </c>
      <c r="J134">
        <f>IF(Inventory!A134="","",Inventory!AA134)</f>
        <v/>
      </c>
    </row>
    <row r="135">
      <c r="A135">
        <f>IF(Inventory!A135="","",Inventory!A135)</f>
        <v/>
      </c>
      <c r="B135">
        <f>IF(Inventory!A135="","",Inventory!B135)</f>
        <v/>
      </c>
      <c r="C135">
        <f>IF(Inventory!A135="","",Inventory!C135)</f>
        <v/>
      </c>
      <c r="D135">
        <f>IF(Inventory!A135="","",Inventory!D135)</f>
        <v/>
      </c>
      <c r="E135">
        <f>IF(Inventory!A135="","",Inventory!K135)</f>
        <v/>
      </c>
      <c r="F135">
        <f>IF(Inventory!A135="","",Inventory!I135)</f>
        <v/>
      </c>
      <c r="G135">
        <f>IF(Inventory!A135="","",Inventory!Z135)</f>
        <v/>
      </c>
      <c r="H135">
        <f>IF(Inventory!A135="","",Inventory!Y135)</f>
        <v/>
      </c>
      <c r="I135">
        <f>IF(Inventory!A135="","",Inventory!W135)</f>
        <v/>
      </c>
      <c r="J135">
        <f>IF(Inventory!A135="","",Inventory!AA135)</f>
        <v/>
      </c>
    </row>
    <row r="136">
      <c r="A136">
        <f>IF(Inventory!A136="","",Inventory!A136)</f>
        <v/>
      </c>
      <c r="B136">
        <f>IF(Inventory!A136="","",Inventory!B136)</f>
        <v/>
      </c>
      <c r="C136">
        <f>IF(Inventory!A136="","",Inventory!C136)</f>
        <v/>
      </c>
      <c r="D136">
        <f>IF(Inventory!A136="","",Inventory!D136)</f>
        <v/>
      </c>
      <c r="E136">
        <f>IF(Inventory!A136="","",Inventory!K136)</f>
        <v/>
      </c>
      <c r="F136">
        <f>IF(Inventory!A136="","",Inventory!I136)</f>
        <v/>
      </c>
      <c r="G136">
        <f>IF(Inventory!A136="","",Inventory!Z136)</f>
        <v/>
      </c>
      <c r="H136">
        <f>IF(Inventory!A136="","",Inventory!Y136)</f>
        <v/>
      </c>
      <c r="I136">
        <f>IF(Inventory!A136="","",Inventory!W136)</f>
        <v/>
      </c>
      <c r="J136">
        <f>IF(Inventory!A136="","",Inventory!AA136)</f>
        <v/>
      </c>
    </row>
    <row r="137">
      <c r="A137">
        <f>IF(Inventory!A137="","",Inventory!A137)</f>
        <v/>
      </c>
      <c r="B137">
        <f>IF(Inventory!A137="","",Inventory!B137)</f>
        <v/>
      </c>
      <c r="C137">
        <f>IF(Inventory!A137="","",Inventory!C137)</f>
        <v/>
      </c>
      <c r="D137">
        <f>IF(Inventory!A137="","",Inventory!D137)</f>
        <v/>
      </c>
      <c r="E137">
        <f>IF(Inventory!A137="","",Inventory!K137)</f>
        <v/>
      </c>
      <c r="F137">
        <f>IF(Inventory!A137="","",Inventory!I137)</f>
        <v/>
      </c>
      <c r="G137">
        <f>IF(Inventory!A137="","",Inventory!Z137)</f>
        <v/>
      </c>
      <c r="H137">
        <f>IF(Inventory!A137="","",Inventory!Y137)</f>
        <v/>
      </c>
      <c r="I137">
        <f>IF(Inventory!A137="","",Inventory!W137)</f>
        <v/>
      </c>
      <c r="J137">
        <f>IF(Inventory!A137="","",Inventory!AA137)</f>
        <v/>
      </c>
    </row>
    <row r="138">
      <c r="A138">
        <f>IF(Inventory!A138="","",Inventory!A138)</f>
        <v/>
      </c>
      <c r="B138">
        <f>IF(Inventory!A138="","",Inventory!B138)</f>
        <v/>
      </c>
      <c r="C138">
        <f>IF(Inventory!A138="","",Inventory!C138)</f>
        <v/>
      </c>
      <c r="D138">
        <f>IF(Inventory!A138="","",Inventory!D138)</f>
        <v/>
      </c>
      <c r="E138">
        <f>IF(Inventory!A138="","",Inventory!K138)</f>
        <v/>
      </c>
      <c r="F138">
        <f>IF(Inventory!A138="","",Inventory!I138)</f>
        <v/>
      </c>
      <c r="G138">
        <f>IF(Inventory!A138="","",Inventory!Z138)</f>
        <v/>
      </c>
      <c r="H138">
        <f>IF(Inventory!A138="","",Inventory!Y138)</f>
        <v/>
      </c>
      <c r="I138">
        <f>IF(Inventory!A138="","",Inventory!W138)</f>
        <v/>
      </c>
      <c r="J138">
        <f>IF(Inventory!A138="","",Inventory!AA138)</f>
        <v/>
      </c>
    </row>
    <row r="139">
      <c r="A139">
        <f>IF(Inventory!A139="","",Inventory!A139)</f>
        <v/>
      </c>
      <c r="B139">
        <f>IF(Inventory!A139="","",Inventory!B139)</f>
        <v/>
      </c>
      <c r="C139">
        <f>IF(Inventory!A139="","",Inventory!C139)</f>
        <v/>
      </c>
      <c r="D139">
        <f>IF(Inventory!A139="","",Inventory!D139)</f>
        <v/>
      </c>
      <c r="E139">
        <f>IF(Inventory!A139="","",Inventory!K139)</f>
        <v/>
      </c>
      <c r="F139">
        <f>IF(Inventory!A139="","",Inventory!I139)</f>
        <v/>
      </c>
      <c r="G139">
        <f>IF(Inventory!A139="","",Inventory!Z139)</f>
        <v/>
      </c>
      <c r="H139">
        <f>IF(Inventory!A139="","",Inventory!Y139)</f>
        <v/>
      </c>
      <c r="I139">
        <f>IF(Inventory!A139="","",Inventory!W139)</f>
        <v/>
      </c>
      <c r="J139">
        <f>IF(Inventory!A139="","",Inventory!AA139)</f>
        <v/>
      </c>
    </row>
    <row r="140">
      <c r="A140">
        <f>IF(Inventory!A140="","",Inventory!A140)</f>
        <v/>
      </c>
      <c r="B140">
        <f>IF(Inventory!A140="","",Inventory!B140)</f>
        <v/>
      </c>
      <c r="C140">
        <f>IF(Inventory!A140="","",Inventory!C140)</f>
        <v/>
      </c>
      <c r="D140">
        <f>IF(Inventory!A140="","",Inventory!D140)</f>
        <v/>
      </c>
      <c r="E140">
        <f>IF(Inventory!A140="","",Inventory!K140)</f>
        <v/>
      </c>
      <c r="F140">
        <f>IF(Inventory!A140="","",Inventory!I140)</f>
        <v/>
      </c>
      <c r="G140">
        <f>IF(Inventory!A140="","",Inventory!Z140)</f>
        <v/>
      </c>
      <c r="H140">
        <f>IF(Inventory!A140="","",Inventory!Y140)</f>
        <v/>
      </c>
      <c r="I140">
        <f>IF(Inventory!A140="","",Inventory!W140)</f>
        <v/>
      </c>
      <c r="J140">
        <f>IF(Inventory!A140="","",Inventory!AA140)</f>
        <v/>
      </c>
    </row>
    <row r="141">
      <c r="A141">
        <f>IF(Inventory!A141="","",Inventory!A141)</f>
        <v/>
      </c>
      <c r="B141">
        <f>IF(Inventory!A141="","",Inventory!B141)</f>
        <v/>
      </c>
      <c r="C141">
        <f>IF(Inventory!A141="","",Inventory!C141)</f>
        <v/>
      </c>
      <c r="D141">
        <f>IF(Inventory!A141="","",Inventory!D141)</f>
        <v/>
      </c>
      <c r="E141">
        <f>IF(Inventory!A141="","",Inventory!K141)</f>
        <v/>
      </c>
      <c r="F141">
        <f>IF(Inventory!A141="","",Inventory!I141)</f>
        <v/>
      </c>
      <c r="G141">
        <f>IF(Inventory!A141="","",Inventory!Z141)</f>
        <v/>
      </c>
      <c r="H141">
        <f>IF(Inventory!A141="","",Inventory!Y141)</f>
        <v/>
      </c>
      <c r="I141">
        <f>IF(Inventory!A141="","",Inventory!W141)</f>
        <v/>
      </c>
      <c r="J141">
        <f>IF(Inventory!A141="","",Inventory!AA141)</f>
        <v/>
      </c>
    </row>
    <row r="142">
      <c r="A142">
        <f>IF(Inventory!A142="","",Inventory!A142)</f>
        <v/>
      </c>
      <c r="B142">
        <f>IF(Inventory!A142="","",Inventory!B142)</f>
        <v/>
      </c>
      <c r="C142">
        <f>IF(Inventory!A142="","",Inventory!C142)</f>
        <v/>
      </c>
      <c r="D142">
        <f>IF(Inventory!A142="","",Inventory!D142)</f>
        <v/>
      </c>
      <c r="E142">
        <f>IF(Inventory!A142="","",Inventory!K142)</f>
        <v/>
      </c>
      <c r="F142">
        <f>IF(Inventory!A142="","",Inventory!I142)</f>
        <v/>
      </c>
      <c r="G142">
        <f>IF(Inventory!A142="","",Inventory!Z142)</f>
        <v/>
      </c>
      <c r="H142">
        <f>IF(Inventory!A142="","",Inventory!Y142)</f>
        <v/>
      </c>
      <c r="I142">
        <f>IF(Inventory!A142="","",Inventory!W142)</f>
        <v/>
      </c>
      <c r="J142">
        <f>IF(Inventory!A142="","",Inventory!AA142)</f>
        <v/>
      </c>
    </row>
    <row r="143">
      <c r="A143">
        <f>IF(Inventory!A143="","",Inventory!A143)</f>
        <v/>
      </c>
      <c r="B143">
        <f>IF(Inventory!A143="","",Inventory!B143)</f>
        <v/>
      </c>
      <c r="C143">
        <f>IF(Inventory!A143="","",Inventory!C143)</f>
        <v/>
      </c>
      <c r="D143">
        <f>IF(Inventory!A143="","",Inventory!D143)</f>
        <v/>
      </c>
      <c r="E143">
        <f>IF(Inventory!A143="","",Inventory!K143)</f>
        <v/>
      </c>
      <c r="F143">
        <f>IF(Inventory!A143="","",Inventory!I143)</f>
        <v/>
      </c>
      <c r="G143">
        <f>IF(Inventory!A143="","",Inventory!Z143)</f>
        <v/>
      </c>
      <c r="H143">
        <f>IF(Inventory!A143="","",Inventory!Y143)</f>
        <v/>
      </c>
      <c r="I143">
        <f>IF(Inventory!A143="","",Inventory!W143)</f>
        <v/>
      </c>
      <c r="J143">
        <f>IF(Inventory!A143="","",Inventory!AA143)</f>
        <v/>
      </c>
    </row>
    <row r="144">
      <c r="A144">
        <f>IF(Inventory!A144="","",Inventory!A144)</f>
        <v/>
      </c>
      <c r="B144">
        <f>IF(Inventory!A144="","",Inventory!B144)</f>
        <v/>
      </c>
      <c r="C144">
        <f>IF(Inventory!A144="","",Inventory!C144)</f>
        <v/>
      </c>
      <c r="D144">
        <f>IF(Inventory!A144="","",Inventory!D144)</f>
        <v/>
      </c>
      <c r="E144">
        <f>IF(Inventory!A144="","",Inventory!K144)</f>
        <v/>
      </c>
      <c r="F144">
        <f>IF(Inventory!A144="","",Inventory!I144)</f>
        <v/>
      </c>
      <c r="G144">
        <f>IF(Inventory!A144="","",Inventory!Z144)</f>
        <v/>
      </c>
      <c r="H144">
        <f>IF(Inventory!A144="","",Inventory!Y144)</f>
        <v/>
      </c>
      <c r="I144">
        <f>IF(Inventory!A144="","",Inventory!W144)</f>
        <v/>
      </c>
      <c r="J144">
        <f>IF(Inventory!A144="","",Inventory!AA144)</f>
        <v/>
      </c>
    </row>
    <row r="145">
      <c r="A145">
        <f>IF(Inventory!A145="","",Inventory!A145)</f>
        <v/>
      </c>
      <c r="B145">
        <f>IF(Inventory!A145="","",Inventory!B145)</f>
        <v/>
      </c>
      <c r="C145">
        <f>IF(Inventory!A145="","",Inventory!C145)</f>
        <v/>
      </c>
      <c r="D145">
        <f>IF(Inventory!A145="","",Inventory!D145)</f>
        <v/>
      </c>
      <c r="E145">
        <f>IF(Inventory!A145="","",Inventory!K145)</f>
        <v/>
      </c>
      <c r="F145">
        <f>IF(Inventory!A145="","",Inventory!I145)</f>
        <v/>
      </c>
      <c r="G145">
        <f>IF(Inventory!A145="","",Inventory!Z145)</f>
        <v/>
      </c>
      <c r="H145">
        <f>IF(Inventory!A145="","",Inventory!Y145)</f>
        <v/>
      </c>
      <c r="I145">
        <f>IF(Inventory!A145="","",Inventory!W145)</f>
        <v/>
      </c>
      <c r="J145">
        <f>IF(Inventory!A145="","",Inventory!AA145)</f>
        <v/>
      </c>
    </row>
    <row r="146">
      <c r="A146">
        <f>IF(Inventory!A146="","",Inventory!A146)</f>
        <v/>
      </c>
      <c r="B146">
        <f>IF(Inventory!A146="","",Inventory!B146)</f>
        <v/>
      </c>
      <c r="C146">
        <f>IF(Inventory!A146="","",Inventory!C146)</f>
        <v/>
      </c>
      <c r="D146">
        <f>IF(Inventory!A146="","",Inventory!D146)</f>
        <v/>
      </c>
      <c r="E146">
        <f>IF(Inventory!A146="","",Inventory!K146)</f>
        <v/>
      </c>
      <c r="F146">
        <f>IF(Inventory!A146="","",Inventory!I146)</f>
        <v/>
      </c>
      <c r="G146">
        <f>IF(Inventory!A146="","",Inventory!Z146)</f>
        <v/>
      </c>
      <c r="H146">
        <f>IF(Inventory!A146="","",Inventory!Y146)</f>
        <v/>
      </c>
      <c r="I146">
        <f>IF(Inventory!A146="","",Inventory!W146)</f>
        <v/>
      </c>
      <c r="J146">
        <f>IF(Inventory!A146="","",Inventory!AA146)</f>
        <v/>
      </c>
    </row>
    <row r="147">
      <c r="A147">
        <f>IF(Inventory!A147="","",Inventory!A147)</f>
        <v/>
      </c>
      <c r="B147">
        <f>IF(Inventory!A147="","",Inventory!B147)</f>
        <v/>
      </c>
      <c r="C147">
        <f>IF(Inventory!A147="","",Inventory!C147)</f>
        <v/>
      </c>
      <c r="D147">
        <f>IF(Inventory!A147="","",Inventory!D147)</f>
        <v/>
      </c>
      <c r="E147">
        <f>IF(Inventory!A147="","",Inventory!K147)</f>
        <v/>
      </c>
      <c r="F147">
        <f>IF(Inventory!A147="","",Inventory!I147)</f>
        <v/>
      </c>
      <c r="G147">
        <f>IF(Inventory!A147="","",Inventory!Z147)</f>
        <v/>
      </c>
      <c r="H147">
        <f>IF(Inventory!A147="","",Inventory!Y147)</f>
        <v/>
      </c>
      <c r="I147">
        <f>IF(Inventory!A147="","",Inventory!W147)</f>
        <v/>
      </c>
      <c r="J147">
        <f>IF(Inventory!A147="","",Inventory!AA147)</f>
        <v/>
      </c>
    </row>
    <row r="148">
      <c r="A148">
        <f>IF(Inventory!A148="","",Inventory!A148)</f>
        <v/>
      </c>
      <c r="B148">
        <f>IF(Inventory!A148="","",Inventory!B148)</f>
        <v/>
      </c>
      <c r="C148">
        <f>IF(Inventory!A148="","",Inventory!C148)</f>
        <v/>
      </c>
      <c r="D148">
        <f>IF(Inventory!A148="","",Inventory!D148)</f>
        <v/>
      </c>
      <c r="E148">
        <f>IF(Inventory!A148="","",Inventory!K148)</f>
        <v/>
      </c>
      <c r="F148">
        <f>IF(Inventory!A148="","",Inventory!I148)</f>
        <v/>
      </c>
      <c r="G148">
        <f>IF(Inventory!A148="","",Inventory!Z148)</f>
        <v/>
      </c>
      <c r="H148">
        <f>IF(Inventory!A148="","",Inventory!Y148)</f>
        <v/>
      </c>
      <c r="I148">
        <f>IF(Inventory!A148="","",Inventory!W148)</f>
        <v/>
      </c>
      <c r="J148">
        <f>IF(Inventory!A148="","",Inventory!AA148)</f>
        <v/>
      </c>
    </row>
    <row r="149">
      <c r="A149">
        <f>IF(Inventory!A149="","",Inventory!A149)</f>
        <v/>
      </c>
      <c r="B149">
        <f>IF(Inventory!A149="","",Inventory!B149)</f>
        <v/>
      </c>
      <c r="C149">
        <f>IF(Inventory!A149="","",Inventory!C149)</f>
        <v/>
      </c>
      <c r="D149">
        <f>IF(Inventory!A149="","",Inventory!D149)</f>
        <v/>
      </c>
      <c r="E149">
        <f>IF(Inventory!A149="","",Inventory!K149)</f>
        <v/>
      </c>
      <c r="F149">
        <f>IF(Inventory!A149="","",Inventory!I149)</f>
        <v/>
      </c>
      <c r="G149">
        <f>IF(Inventory!A149="","",Inventory!Z149)</f>
        <v/>
      </c>
      <c r="H149">
        <f>IF(Inventory!A149="","",Inventory!Y149)</f>
        <v/>
      </c>
      <c r="I149">
        <f>IF(Inventory!A149="","",Inventory!W149)</f>
        <v/>
      </c>
      <c r="J149">
        <f>IF(Inventory!A149="","",Inventory!AA149)</f>
        <v/>
      </c>
    </row>
    <row r="150">
      <c r="A150">
        <f>IF(Inventory!A150="","",Inventory!A150)</f>
        <v/>
      </c>
      <c r="B150">
        <f>IF(Inventory!A150="","",Inventory!B150)</f>
        <v/>
      </c>
      <c r="C150">
        <f>IF(Inventory!A150="","",Inventory!C150)</f>
        <v/>
      </c>
      <c r="D150">
        <f>IF(Inventory!A150="","",Inventory!D150)</f>
        <v/>
      </c>
      <c r="E150">
        <f>IF(Inventory!A150="","",Inventory!K150)</f>
        <v/>
      </c>
      <c r="F150">
        <f>IF(Inventory!A150="","",Inventory!I150)</f>
        <v/>
      </c>
      <c r="G150">
        <f>IF(Inventory!A150="","",Inventory!Z150)</f>
        <v/>
      </c>
      <c r="H150">
        <f>IF(Inventory!A150="","",Inventory!Y150)</f>
        <v/>
      </c>
      <c r="I150">
        <f>IF(Inventory!A150="","",Inventory!W150)</f>
        <v/>
      </c>
      <c r="J150">
        <f>IF(Inventory!A150="","",Inventory!AA150)</f>
        <v/>
      </c>
    </row>
    <row r="151">
      <c r="A151">
        <f>IF(Inventory!A151="","",Inventory!A151)</f>
        <v/>
      </c>
      <c r="B151">
        <f>IF(Inventory!A151="","",Inventory!B151)</f>
        <v/>
      </c>
      <c r="C151">
        <f>IF(Inventory!A151="","",Inventory!C151)</f>
        <v/>
      </c>
      <c r="D151">
        <f>IF(Inventory!A151="","",Inventory!D151)</f>
        <v/>
      </c>
      <c r="E151">
        <f>IF(Inventory!A151="","",Inventory!K151)</f>
        <v/>
      </c>
      <c r="F151">
        <f>IF(Inventory!A151="","",Inventory!I151)</f>
        <v/>
      </c>
      <c r="G151">
        <f>IF(Inventory!A151="","",Inventory!Z151)</f>
        <v/>
      </c>
      <c r="H151">
        <f>IF(Inventory!A151="","",Inventory!Y151)</f>
        <v/>
      </c>
      <c r="I151">
        <f>IF(Inventory!A151="","",Inventory!W151)</f>
        <v/>
      </c>
      <c r="J151">
        <f>IF(Inventory!A151="","",Inventory!AA151)</f>
        <v/>
      </c>
    </row>
    <row r="152">
      <c r="A152">
        <f>IF(Inventory!A152="","",Inventory!A152)</f>
        <v/>
      </c>
      <c r="B152">
        <f>IF(Inventory!A152="","",Inventory!B152)</f>
        <v/>
      </c>
      <c r="C152">
        <f>IF(Inventory!A152="","",Inventory!C152)</f>
        <v/>
      </c>
      <c r="D152">
        <f>IF(Inventory!A152="","",Inventory!D152)</f>
        <v/>
      </c>
      <c r="E152">
        <f>IF(Inventory!A152="","",Inventory!K152)</f>
        <v/>
      </c>
      <c r="F152">
        <f>IF(Inventory!A152="","",Inventory!I152)</f>
        <v/>
      </c>
      <c r="G152">
        <f>IF(Inventory!A152="","",Inventory!Z152)</f>
        <v/>
      </c>
      <c r="H152">
        <f>IF(Inventory!A152="","",Inventory!Y152)</f>
        <v/>
      </c>
      <c r="I152">
        <f>IF(Inventory!A152="","",Inventory!W152)</f>
        <v/>
      </c>
      <c r="J152">
        <f>IF(Inventory!A152="","",Inventory!AA152)</f>
        <v/>
      </c>
    </row>
    <row r="153">
      <c r="A153">
        <f>IF(Inventory!A153="","",Inventory!A153)</f>
        <v/>
      </c>
      <c r="B153">
        <f>IF(Inventory!A153="","",Inventory!B153)</f>
        <v/>
      </c>
      <c r="C153">
        <f>IF(Inventory!A153="","",Inventory!C153)</f>
        <v/>
      </c>
      <c r="D153">
        <f>IF(Inventory!A153="","",Inventory!D153)</f>
        <v/>
      </c>
      <c r="E153">
        <f>IF(Inventory!A153="","",Inventory!K153)</f>
        <v/>
      </c>
      <c r="F153">
        <f>IF(Inventory!A153="","",Inventory!I153)</f>
        <v/>
      </c>
      <c r="G153">
        <f>IF(Inventory!A153="","",Inventory!Z153)</f>
        <v/>
      </c>
      <c r="H153">
        <f>IF(Inventory!A153="","",Inventory!Y153)</f>
        <v/>
      </c>
      <c r="I153">
        <f>IF(Inventory!A153="","",Inventory!W153)</f>
        <v/>
      </c>
      <c r="J153">
        <f>IF(Inventory!A153="","",Inventory!AA153)</f>
        <v/>
      </c>
    </row>
    <row r="154">
      <c r="A154">
        <f>IF(Inventory!A154="","",Inventory!A154)</f>
        <v/>
      </c>
      <c r="B154">
        <f>IF(Inventory!A154="","",Inventory!B154)</f>
        <v/>
      </c>
      <c r="C154">
        <f>IF(Inventory!A154="","",Inventory!C154)</f>
        <v/>
      </c>
      <c r="D154">
        <f>IF(Inventory!A154="","",Inventory!D154)</f>
        <v/>
      </c>
      <c r="E154">
        <f>IF(Inventory!A154="","",Inventory!K154)</f>
        <v/>
      </c>
      <c r="F154">
        <f>IF(Inventory!A154="","",Inventory!I154)</f>
        <v/>
      </c>
      <c r="G154">
        <f>IF(Inventory!A154="","",Inventory!Z154)</f>
        <v/>
      </c>
      <c r="H154">
        <f>IF(Inventory!A154="","",Inventory!Y154)</f>
        <v/>
      </c>
      <c r="I154">
        <f>IF(Inventory!A154="","",Inventory!W154)</f>
        <v/>
      </c>
      <c r="J154">
        <f>IF(Inventory!A154="","",Inventory!AA154)</f>
        <v/>
      </c>
    </row>
    <row r="155">
      <c r="A155">
        <f>IF(Inventory!A155="","",Inventory!A155)</f>
        <v/>
      </c>
      <c r="B155">
        <f>IF(Inventory!A155="","",Inventory!B155)</f>
        <v/>
      </c>
      <c r="C155">
        <f>IF(Inventory!A155="","",Inventory!C155)</f>
        <v/>
      </c>
      <c r="D155">
        <f>IF(Inventory!A155="","",Inventory!D155)</f>
        <v/>
      </c>
      <c r="E155">
        <f>IF(Inventory!A155="","",Inventory!K155)</f>
        <v/>
      </c>
      <c r="F155">
        <f>IF(Inventory!A155="","",Inventory!I155)</f>
        <v/>
      </c>
      <c r="G155">
        <f>IF(Inventory!A155="","",Inventory!Z155)</f>
        <v/>
      </c>
      <c r="H155">
        <f>IF(Inventory!A155="","",Inventory!Y155)</f>
        <v/>
      </c>
      <c r="I155">
        <f>IF(Inventory!A155="","",Inventory!W155)</f>
        <v/>
      </c>
      <c r="J155">
        <f>IF(Inventory!A155="","",Inventory!AA155)</f>
        <v/>
      </c>
    </row>
    <row r="156">
      <c r="A156">
        <f>IF(Inventory!A156="","",Inventory!A156)</f>
        <v/>
      </c>
      <c r="B156">
        <f>IF(Inventory!A156="","",Inventory!B156)</f>
        <v/>
      </c>
      <c r="C156">
        <f>IF(Inventory!A156="","",Inventory!C156)</f>
        <v/>
      </c>
      <c r="D156">
        <f>IF(Inventory!A156="","",Inventory!D156)</f>
        <v/>
      </c>
      <c r="E156">
        <f>IF(Inventory!A156="","",Inventory!K156)</f>
        <v/>
      </c>
      <c r="F156">
        <f>IF(Inventory!A156="","",Inventory!I156)</f>
        <v/>
      </c>
      <c r="G156">
        <f>IF(Inventory!A156="","",Inventory!Z156)</f>
        <v/>
      </c>
      <c r="H156">
        <f>IF(Inventory!A156="","",Inventory!Y156)</f>
        <v/>
      </c>
      <c r="I156">
        <f>IF(Inventory!A156="","",Inventory!W156)</f>
        <v/>
      </c>
      <c r="J156">
        <f>IF(Inventory!A156="","",Inventory!AA156)</f>
        <v/>
      </c>
    </row>
    <row r="157">
      <c r="A157">
        <f>IF(Inventory!A157="","",Inventory!A157)</f>
        <v/>
      </c>
      <c r="B157">
        <f>IF(Inventory!A157="","",Inventory!B157)</f>
        <v/>
      </c>
      <c r="C157">
        <f>IF(Inventory!A157="","",Inventory!C157)</f>
        <v/>
      </c>
      <c r="D157">
        <f>IF(Inventory!A157="","",Inventory!D157)</f>
        <v/>
      </c>
      <c r="E157">
        <f>IF(Inventory!A157="","",Inventory!K157)</f>
        <v/>
      </c>
      <c r="F157">
        <f>IF(Inventory!A157="","",Inventory!I157)</f>
        <v/>
      </c>
      <c r="G157">
        <f>IF(Inventory!A157="","",Inventory!Z157)</f>
        <v/>
      </c>
      <c r="H157">
        <f>IF(Inventory!A157="","",Inventory!Y157)</f>
        <v/>
      </c>
      <c r="I157">
        <f>IF(Inventory!A157="","",Inventory!W157)</f>
        <v/>
      </c>
      <c r="J157">
        <f>IF(Inventory!A157="","",Inventory!AA157)</f>
        <v/>
      </c>
    </row>
    <row r="158">
      <c r="A158">
        <f>IF(Inventory!A158="","",Inventory!A158)</f>
        <v/>
      </c>
      <c r="B158">
        <f>IF(Inventory!A158="","",Inventory!B158)</f>
        <v/>
      </c>
      <c r="C158">
        <f>IF(Inventory!A158="","",Inventory!C158)</f>
        <v/>
      </c>
      <c r="D158">
        <f>IF(Inventory!A158="","",Inventory!D158)</f>
        <v/>
      </c>
      <c r="E158">
        <f>IF(Inventory!A158="","",Inventory!K158)</f>
        <v/>
      </c>
      <c r="F158">
        <f>IF(Inventory!A158="","",Inventory!I158)</f>
        <v/>
      </c>
      <c r="G158">
        <f>IF(Inventory!A158="","",Inventory!Z158)</f>
        <v/>
      </c>
      <c r="H158">
        <f>IF(Inventory!A158="","",Inventory!Y158)</f>
        <v/>
      </c>
      <c r="I158">
        <f>IF(Inventory!A158="","",Inventory!W158)</f>
        <v/>
      </c>
      <c r="J158">
        <f>IF(Inventory!A158="","",Inventory!AA158)</f>
        <v/>
      </c>
    </row>
    <row r="159">
      <c r="A159">
        <f>IF(Inventory!A159="","",Inventory!A159)</f>
        <v/>
      </c>
      <c r="B159">
        <f>IF(Inventory!A159="","",Inventory!B159)</f>
        <v/>
      </c>
      <c r="C159">
        <f>IF(Inventory!A159="","",Inventory!C159)</f>
        <v/>
      </c>
      <c r="D159">
        <f>IF(Inventory!A159="","",Inventory!D159)</f>
        <v/>
      </c>
      <c r="E159">
        <f>IF(Inventory!A159="","",Inventory!K159)</f>
        <v/>
      </c>
      <c r="F159">
        <f>IF(Inventory!A159="","",Inventory!I159)</f>
        <v/>
      </c>
      <c r="G159">
        <f>IF(Inventory!A159="","",Inventory!Z159)</f>
        <v/>
      </c>
      <c r="H159">
        <f>IF(Inventory!A159="","",Inventory!Y159)</f>
        <v/>
      </c>
      <c r="I159">
        <f>IF(Inventory!A159="","",Inventory!W159)</f>
        <v/>
      </c>
      <c r="J159">
        <f>IF(Inventory!A159="","",Inventory!AA159)</f>
        <v/>
      </c>
    </row>
    <row r="160">
      <c r="A160">
        <f>IF(Inventory!A160="","",Inventory!A160)</f>
        <v/>
      </c>
      <c r="B160">
        <f>IF(Inventory!A160="","",Inventory!B160)</f>
        <v/>
      </c>
      <c r="C160">
        <f>IF(Inventory!A160="","",Inventory!C160)</f>
        <v/>
      </c>
      <c r="D160">
        <f>IF(Inventory!A160="","",Inventory!D160)</f>
        <v/>
      </c>
      <c r="E160">
        <f>IF(Inventory!A160="","",Inventory!K160)</f>
        <v/>
      </c>
      <c r="F160">
        <f>IF(Inventory!A160="","",Inventory!I160)</f>
        <v/>
      </c>
      <c r="G160">
        <f>IF(Inventory!A160="","",Inventory!Z160)</f>
        <v/>
      </c>
      <c r="H160">
        <f>IF(Inventory!A160="","",Inventory!Y160)</f>
        <v/>
      </c>
      <c r="I160">
        <f>IF(Inventory!A160="","",Inventory!W160)</f>
        <v/>
      </c>
      <c r="J160">
        <f>IF(Inventory!A160="","",Inventory!AA160)</f>
        <v/>
      </c>
    </row>
    <row r="161">
      <c r="A161">
        <f>IF(Inventory!A161="","",Inventory!A161)</f>
        <v/>
      </c>
      <c r="B161">
        <f>IF(Inventory!A161="","",Inventory!B161)</f>
        <v/>
      </c>
      <c r="C161">
        <f>IF(Inventory!A161="","",Inventory!C161)</f>
        <v/>
      </c>
      <c r="D161">
        <f>IF(Inventory!A161="","",Inventory!D161)</f>
        <v/>
      </c>
      <c r="E161">
        <f>IF(Inventory!A161="","",Inventory!K161)</f>
        <v/>
      </c>
      <c r="F161">
        <f>IF(Inventory!A161="","",Inventory!I161)</f>
        <v/>
      </c>
      <c r="G161">
        <f>IF(Inventory!A161="","",Inventory!Z161)</f>
        <v/>
      </c>
      <c r="H161">
        <f>IF(Inventory!A161="","",Inventory!Y161)</f>
        <v/>
      </c>
      <c r="I161">
        <f>IF(Inventory!A161="","",Inventory!W161)</f>
        <v/>
      </c>
      <c r="J161">
        <f>IF(Inventory!A161="","",Inventory!AA161)</f>
        <v/>
      </c>
    </row>
    <row r="162">
      <c r="A162">
        <f>IF(Inventory!A162="","",Inventory!A162)</f>
        <v/>
      </c>
      <c r="B162">
        <f>IF(Inventory!A162="","",Inventory!B162)</f>
        <v/>
      </c>
      <c r="C162">
        <f>IF(Inventory!A162="","",Inventory!C162)</f>
        <v/>
      </c>
      <c r="D162">
        <f>IF(Inventory!A162="","",Inventory!D162)</f>
        <v/>
      </c>
      <c r="E162">
        <f>IF(Inventory!A162="","",Inventory!K162)</f>
        <v/>
      </c>
      <c r="F162">
        <f>IF(Inventory!A162="","",Inventory!I162)</f>
        <v/>
      </c>
      <c r="G162">
        <f>IF(Inventory!A162="","",Inventory!Z162)</f>
        <v/>
      </c>
      <c r="H162">
        <f>IF(Inventory!A162="","",Inventory!Y162)</f>
        <v/>
      </c>
      <c r="I162">
        <f>IF(Inventory!A162="","",Inventory!W162)</f>
        <v/>
      </c>
      <c r="J162">
        <f>IF(Inventory!A162="","",Inventory!AA162)</f>
        <v/>
      </c>
    </row>
    <row r="163">
      <c r="A163">
        <f>IF(Inventory!A163="","",Inventory!A163)</f>
        <v/>
      </c>
      <c r="B163">
        <f>IF(Inventory!A163="","",Inventory!B163)</f>
        <v/>
      </c>
      <c r="C163">
        <f>IF(Inventory!A163="","",Inventory!C163)</f>
        <v/>
      </c>
      <c r="D163">
        <f>IF(Inventory!A163="","",Inventory!D163)</f>
        <v/>
      </c>
      <c r="E163">
        <f>IF(Inventory!A163="","",Inventory!K163)</f>
        <v/>
      </c>
      <c r="F163">
        <f>IF(Inventory!A163="","",Inventory!I163)</f>
        <v/>
      </c>
      <c r="G163">
        <f>IF(Inventory!A163="","",Inventory!Z163)</f>
        <v/>
      </c>
      <c r="H163">
        <f>IF(Inventory!A163="","",Inventory!Y163)</f>
        <v/>
      </c>
      <c r="I163">
        <f>IF(Inventory!A163="","",Inventory!W163)</f>
        <v/>
      </c>
      <c r="J163">
        <f>IF(Inventory!A163="","",Inventory!AA163)</f>
        <v/>
      </c>
    </row>
    <row r="164">
      <c r="A164">
        <f>IF(Inventory!A164="","",Inventory!A164)</f>
        <v/>
      </c>
      <c r="B164">
        <f>IF(Inventory!A164="","",Inventory!B164)</f>
        <v/>
      </c>
      <c r="C164">
        <f>IF(Inventory!A164="","",Inventory!C164)</f>
        <v/>
      </c>
      <c r="D164">
        <f>IF(Inventory!A164="","",Inventory!D164)</f>
        <v/>
      </c>
      <c r="E164">
        <f>IF(Inventory!A164="","",Inventory!K164)</f>
        <v/>
      </c>
      <c r="F164">
        <f>IF(Inventory!A164="","",Inventory!I164)</f>
        <v/>
      </c>
      <c r="G164">
        <f>IF(Inventory!A164="","",Inventory!Z164)</f>
        <v/>
      </c>
      <c r="H164">
        <f>IF(Inventory!A164="","",Inventory!Y164)</f>
        <v/>
      </c>
      <c r="I164">
        <f>IF(Inventory!A164="","",Inventory!W164)</f>
        <v/>
      </c>
      <c r="J164">
        <f>IF(Inventory!A164="","",Inventory!AA164)</f>
        <v/>
      </c>
    </row>
    <row r="165">
      <c r="A165">
        <f>IF(Inventory!A165="","",Inventory!A165)</f>
        <v/>
      </c>
      <c r="B165">
        <f>IF(Inventory!A165="","",Inventory!B165)</f>
        <v/>
      </c>
      <c r="C165">
        <f>IF(Inventory!A165="","",Inventory!C165)</f>
        <v/>
      </c>
      <c r="D165">
        <f>IF(Inventory!A165="","",Inventory!D165)</f>
        <v/>
      </c>
      <c r="E165">
        <f>IF(Inventory!A165="","",Inventory!K165)</f>
        <v/>
      </c>
      <c r="F165">
        <f>IF(Inventory!A165="","",Inventory!I165)</f>
        <v/>
      </c>
      <c r="G165">
        <f>IF(Inventory!A165="","",Inventory!Z165)</f>
        <v/>
      </c>
      <c r="H165">
        <f>IF(Inventory!A165="","",Inventory!Y165)</f>
        <v/>
      </c>
      <c r="I165">
        <f>IF(Inventory!A165="","",Inventory!W165)</f>
        <v/>
      </c>
      <c r="J165">
        <f>IF(Inventory!A165="","",Inventory!AA165)</f>
        <v/>
      </c>
    </row>
    <row r="166">
      <c r="A166">
        <f>IF(Inventory!A166="","",Inventory!A166)</f>
        <v/>
      </c>
      <c r="B166">
        <f>IF(Inventory!A166="","",Inventory!B166)</f>
        <v/>
      </c>
      <c r="C166">
        <f>IF(Inventory!A166="","",Inventory!C166)</f>
        <v/>
      </c>
      <c r="D166">
        <f>IF(Inventory!A166="","",Inventory!D166)</f>
        <v/>
      </c>
      <c r="E166">
        <f>IF(Inventory!A166="","",Inventory!K166)</f>
        <v/>
      </c>
      <c r="F166">
        <f>IF(Inventory!A166="","",Inventory!I166)</f>
        <v/>
      </c>
      <c r="G166">
        <f>IF(Inventory!A166="","",Inventory!Z166)</f>
        <v/>
      </c>
      <c r="H166">
        <f>IF(Inventory!A166="","",Inventory!Y166)</f>
        <v/>
      </c>
      <c r="I166">
        <f>IF(Inventory!A166="","",Inventory!W166)</f>
        <v/>
      </c>
      <c r="J166">
        <f>IF(Inventory!A166="","",Inventory!AA166)</f>
        <v/>
      </c>
    </row>
    <row r="167">
      <c r="A167">
        <f>IF(Inventory!A167="","",Inventory!A167)</f>
        <v/>
      </c>
      <c r="B167">
        <f>IF(Inventory!A167="","",Inventory!B167)</f>
        <v/>
      </c>
      <c r="C167">
        <f>IF(Inventory!A167="","",Inventory!C167)</f>
        <v/>
      </c>
      <c r="D167">
        <f>IF(Inventory!A167="","",Inventory!D167)</f>
        <v/>
      </c>
      <c r="E167">
        <f>IF(Inventory!A167="","",Inventory!K167)</f>
        <v/>
      </c>
      <c r="F167">
        <f>IF(Inventory!A167="","",Inventory!I167)</f>
        <v/>
      </c>
      <c r="G167">
        <f>IF(Inventory!A167="","",Inventory!Z167)</f>
        <v/>
      </c>
      <c r="H167">
        <f>IF(Inventory!A167="","",Inventory!Y167)</f>
        <v/>
      </c>
      <c r="I167">
        <f>IF(Inventory!A167="","",Inventory!W167)</f>
        <v/>
      </c>
      <c r="J167">
        <f>IF(Inventory!A167="","",Inventory!AA167)</f>
        <v/>
      </c>
    </row>
    <row r="168">
      <c r="A168">
        <f>IF(Inventory!A168="","",Inventory!A168)</f>
        <v/>
      </c>
      <c r="B168">
        <f>IF(Inventory!A168="","",Inventory!B168)</f>
        <v/>
      </c>
      <c r="C168">
        <f>IF(Inventory!A168="","",Inventory!C168)</f>
        <v/>
      </c>
      <c r="D168">
        <f>IF(Inventory!A168="","",Inventory!D168)</f>
        <v/>
      </c>
      <c r="E168">
        <f>IF(Inventory!A168="","",Inventory!K168)</f>
        <v/>
      </c>
      <c r="F168">
        <f>IF(Inventory!A168="","",Inventory!I168)</f>
        <v/>
      </c>
      <c r="G168">
        <f>IF(Inventory!A168="","",Inventory!Z168)</f>
        <v/>
      </c>
      <c r="H168">
        <f>IF(Inventory!A168="","",Inventory!Y168)</f>
        <v/>
      </c>
      <c r="I168">
        <f>IF(Inventory!A168="","",Inventory!W168)</f>
        <v/>
      </c>
      <c r="J168">
        <f>IF(Inventory!A168="","",Inventory!AA168)</f>
        <v/>
      </c>
    </row>
    <row r="169">
      <c r="A169">
        <f>IF(Inventory!A169="","",Inventory!A169)</f>
        <v/>
      </c>
      <c r="B169">
        <f>IF(Inventory!A169="","",Inventory!B169)</f>
        <v/>
      </c>
      <c r="C169">
        <f>IF(Inventory!A169="","",Inventory!C169)</f>
        <v/>
      </c>
      <c r="D169">
        <f>IF(Inventory!A169="","",Inventory!D169)</f>
        <v/>
      </c>
      <c r="E169">
        <f>IF(Inventory!A169="","",Inventory!K169)</f>
        <v/>
      </c>
      <c r="F169">
        <f>IF(Inventory!A169="","",Inventory!I169)</f>
        <v/>
      </c>
      <c r="G169">
        <f>IF(Inventory!A169="","",Inventory!Z169)</f>
        <v/>
      </c>
      <c r="H169">
        <f>IF(Inventory!A169="","",Inventory!Y169)</f>
        <v/>
      </c>
      <c r="I169">
        <f>IF(Inventory!A169="","",Inventory!W169)</f>
        <v/>
      </c>
      <c r="J169">
        <f>IF(Inventory!A169="","",Inventory!AA169)</f>
        <v/>
      </c>
    </row>
    <row r="170">
      <c r="A170">
        <f>IF(Inventory!A170="","",Inventory!A170)</f>
        <v/>
      </c>
      <c r="B170">
        <f>IF(Inventory!A170="","",Inventory!B170)</f>
        <v/>
      </c>
      <c r="C170">
        <f>IF(Inventory!A170="","",Inventory!C170)</f>
        <v/>
      </c>
      <c r="D170">
        <f>IF(Inventory!A170="","",Inventory!D170)</f>
        <v/>
      </c>
      <c r="E170">
        <f>IF(Inventory!A170="","",Inventory!K170)</f>
        <v/>
      </c>
      <c r="F170">
        <f>IF(Inventory!A170="","",Inventory!I170)</f>
        <v/>
      </c>
      <c r="G170">
        <f>IF(Inventory!A170="","",Inventory!Z170)</f>
        <v/>
      </c>
      <c r="H170">
        <f>IF(Inventory!A170="","",Inventory!Y170)</f>
        <v/>
      </c>
      <c r="I170">
        <f>IF(Inventory!A170="","",Inventory!W170)</f>
        <v/>
      </c>
      <c r="J170">
        <f>IF(Inventory!A170="","",Inventory!AA170)</f>
        <v/>
      </c>
    </row>
    <row r="171">
      <c r="A171">
        <f>IF(Inventory!A171="","",Inventory!A171)</f>
        <v/>
      </c>
      <c r="B171">
        <f>IF(Inventory!A171="","",Inventory!B171)</f>
        <v/>
      </c>
      <c r="C171">
        <f>IF(Inventory!A171="","",Inventory!C171)</f>
        <v/>
      </c>
      <c r="D171">
        <f>IF(Inventory!A171="","",Inventory!D171)</f>
        <v/>
      </c>
      <c r="E171">
        <f>IF(Inventory!A171="","",Inventory!K171)</f>
        <v/>
      </c>
      <c r="F171">
        <f>IF(Inventory!A171="","",Inventory!I171)</f>
        <v/>
      </c>
      <c r="G171">
        <f>IF(Inventory!A171="","",Inventory!Z171)</f>
        <v/>
      </c>
      <c r="H171">
        <f>IF(Inventory!A171="","",Inventory!Y171)</f>
        <v/>
      </c>
      <c r="I171">
        <f>IF(Inventory!A171="","",Inventory!W171)</f>
        <v/>
      </c>
      <c r="J171">
        <f>IF(Inventory!A171="","",Inventory!AA171)</f>
        <v/>
      </c>
    </row>
    <row r="172">
      <c r="A172">
        <f>IF(Inventory!A172="","",Inventory!A172)</f>
        <v/>
      </c>
      <c r="B172">
        <f>IF(Inventory!A172="","",Inventory!B172)</f>
        <v/>
      </c>
      <c r="C172">
        <f>IF(Inventory!A172="","",Inventory!C172)</f>
        <v/>
      </c>
      <c r="D172">
        <f>IF(Inventory!A172="","",Inventory!D172)</f>
        <v/>
      </c>
      <c r="E172">
        <f>IF(Inventory!A172="","",Inventory!K172)</f>
        <v/>
      </c>
      <c r="F172">
        <f>IF(Inventory!A172="","",Inventory!I172)</f>
        <v/>
      </c>
      <c r="G172">
        <f>IF(Inventory!A172="","",Inventory!Z172)</f>
        <v/>
      </c>
      <c r="H172">
        <f>IF(Inventory!A172="","",Inventory!Y172)</f>
        <v/>
      </c>
      <c r="I172">
        <f>IF(Inventory!A172="","",Inventory!W172)</f>
        <v/>
      </c>
      <c r="J172">
        <f>IF(Inventory!A172="","",Inventory!AA172)</f>
        <v/>
      </c>
    </row>
    <row r="173">
      <c r="A173">
        <f>IF(Inventory!A173="","",Inventory!A173)</f>
        <v/>
      </c>
      <c r="B173">
        <f>IF(Inventory!A173="","",Inventory!B173)</f>
        <v/>
      </c>
      <c r="C173">
        <f>IF(Inventory!A173="","",Inventory!C173)</f>
        <v/>
      </c>
      <c r="D173">
        <f>IF(Inventory!A173="","",Inventory!D173)</f>
        <v/>
      </c>
      <c r="E173">
        <f>IF(Inventory!A173="","",Inventory!K173)</f>
        <v/>
      </c>
      <c r="F173">
        <f>IF(Inventory!A173="","",Inventory!I173)</f>
        <v/>
      </c>
      <c r="G173">
        <f>IF(Inventory!A173="","",Inventory!Z173)</f>
        <v/>
      </c>
      <c r="H173">
        <f>IF(Inventory!A173="","",Inventory!Y173)</f>
        <v/>
      </c>
      <c r="I173">
        <f>IF(Inventory!A173="","",Inventory!W173)</f>
        <v/>
      </c>
      <c r="J173">
        <f>IF(Inventory!A173="","",Inventory!AA173)</f>
        <v/>
      </c>
    </row>
    <row r="174">
      <c r="A174">
        <f>IF(Inventory!A174="","",Inventory!A174)</f>
        <v/>
      </c>
      <c r="B174">
        <f>IF(Inventory!A174="","",Inventory!B174)</f>
        <v/>
      </c>
      <c r="C174">
        <f>IF(Inventory!A174="","",Inventory!C174)</f>
        <v/>
      </c>
      <c r="D174">
        <f>IF(Inventory!A174="","",Inventory!D174)</f>
        <v/>
      </c>
      <c r="E174">
        <f>IF(Inventory!A174="","",Inventory!K174)</f>
        <v/>
      </c>
      <c r="F174">
        <f>IF(Inventory!A174="","",Inventory!I174)</f>
        <v/>
      </c>
      <c r="G174">
        <f>IF(Inventory!A174="","",Inventory!Z174)</f>
        <v/>
      </c>
      <c r="H174">
        <f>IF(Inventory!A174="","",Inventory!Y174)</f>
        <v/>
      </c>
      <c r="I174">
        <f>IF(Inventory!A174="","",Inventory!W174)</f>
        <v/>
      </c>
      <c r="J174">
        <f>IF(Inventory!A174="","",Inventory!AA174)</f>
        <v/>
      </c>
    </row>
    <row r="175">
      <c r="A175">
        <f>IF(Inventory!A175="","",Inventory!A175)</f>
        <v/>
      </c>
      <c r="B175">
        <f>IF(Inventory!A175="","",Inventory!B175)</f>
        <v/>
      </c>
      <c r="C175">
        <f>IF(Inventory!A175="","",Inventory!C175)</f>
        <v/>
      </c>
      <c r="D175">
        <f>IF(Inventory!A175="","",Inventory!D175)</f>
        <v/>
      </c>
      <c r="E175">
        <f>IF(Inventory!A175="","",Inventory!K175)</f>
        <v/>
      </c>
      <c r="F175">
        <f>IF(Inventory!A175="","",Inventory!I175)</f>
        <v/>
      </c>
      <c r="G175">
        <f>IF(Inventory!A175="","",Inventory!Z175)</f>
        <v/>
      </c>
      <c r="H175">
        <f>IF(Inventory!A175="","",Inventory!Y175)</f>
        <v/>
      </c>
      <c r="I175">
        <f>IF(Inventory!A175="","",Inventory!W175)</f>
        <v/>
      </c>
      <c r="J175">
        <f>IF(Inventory!A175="","",Inventory!AA175)</f>
        <v/>
      </c>
    </row>
    <row r="176">
      <c r="A176">
        <f>IF(Inventory!A176="","",Inventory!A176)</f>
        <v/>
      </c>
      <c r="B176">
        <f>IF(Inventory!A176="","",Inventory!B176)</f>
        <v/>
      </c>
      <c r="C176">
        <f>IF(Inventory!A176="","",Inventory!C176)</f>
        <v/>
      </c>
      <c r="D176">
        <f>IF(Inventory!A176="","",Inventory!D176)</f>
        <v/>
      </c>
      <c r="E176">
        <f>IF(Inventory!A176="","",Inventory!K176)</f>
        <v/>
      </c>
      <c r="F176">
        <f>IF(Inventory!A176="","",Inventory!I176)</f>
        <v/>
      </c>
      <c r="G176">
        <f>IF(Inventory!A176="","",Inventory!Z176)</f>
        <v/>
      </c>
      <c r="H176">
        <f>IF(Inventory!A176="","",Inventory!Y176)</f>
        <v/>
      </c>
      <c r="I176">
        <f>IF(Inventory!A176="","",Inventory!W176)</f>
        <v/>
      </c>
      <c r="J176">
        <f>IF(Inventory!A176="","",Inventory!AA176)</f>
        <v/>
      </c>
    </row>
    <row r="177">
      <c r="A177">
        <f>IF(Inventory!A177="","",Inventory!A177)</f>
        <v/>
      </c>
      <c r="B177">
        <f>IF(Inventory!A177="","",Inventory!B177)</f>
        <v/>
      </c>
      <c r="C177">
        <f>IF(Inventory!A177="","",Inventory!C177)</f>
        <v/>
      </c>
      <c r="D177">
        <f>IF(Inventory!A177="","",Inventory!D177)</f>
        <v/>
      </c>
      <c r="E177">
        <f>IF(Inventory!A177="","",Inventory!K177)</f>
        <v/>
      </c>
      <c r="F177">
        <f>IF(Inventory!A177="","",Inventory!I177)</f>
        <v/>
      </c>
      <c r="G177">
        <f>IF(Inventory!A177="","",Inventory!Z177)</f>
        <v/>
      </c>
      <c r="H177">
        <f>IF(Inventory!A177="","",Inventory!Y177)</f>
        <v/>
      </c>
      <c r="I177">
        <f>IF(Inventory!A177="","",Inventory!W177)</f>
        <v/>
      </c>
      <c r="J177">
        <f>IF(Inventory!A177="","",Inventory!AA177)</f>
        <v/>
      </c>
    </row>
    <row r="178">
      <c r="A178">
        <f>IF(Inventory!A178="","",Inventory!A178)</f>
        <v/>
      </c>
      <c r="B178">
        <f>IF(Inventory!A178="","",Inventory!B178)</f>
        <v/>
      </c>
      <c r="C178">
        <f>IF(Inventory!A178="","",Inventory!C178)</f>
        <v/>
      </c>
      <c r="D178">
        <f>IF(Inventory!A178="","",Inventory!D178)</f>
        <v/>
      </c>
      <c r="E178">
        <f>IF(Inventory!A178="","",Inventory!K178)</f>
        <v/>
      </c>
      <c r="F178">
        <f>IF(Inventory!A178="","",Inventory!I178)</f>
        <v/>
      </c>
      <c r="G178">
        <f>IF(Inventory!A178="","",Inventory!Z178)</f>
        <v/>
      </c>
      <c r="H178">
        <f>IF(Inventory!A178="","",Inventory!Y178)</f>
        <v/>
      </c>
      <c r="I178">
        <f>IF(Inventory!A178="","",Inventory!W178)</f>
        <v/>
      </c>
      <c r="J178">
        <f>IF(Inventory!A178="","",Inventory!AA178)</f>
        <v/>
      </c>
    </row>
    <row r="179">
      <c r="A179">
        <f>IF(Inventory!A179="","",Inventory!A179)</f>
        <v/>
      </c>
      <c r="B179">
        <f>IF(Inventory!A179="","",Inventory!B179)</f>
        <v/>
      </c>
      <c r="C179">
        <f>IF(Inventory!A179="","",Inventory!C179)</f>
        <v/>
      </c>
      <c r="D179">
        <f>IF(Inventory!A179="","",Inventory!D179)</f>
        <v/>
      </c>
      <c r="E179">
        <f>IF(Inventory!A179="","",Inventory!K179)</f>
        <v/>
      </c>
      <c r="F179">
        <f>IF(Inventory!A179="","",Inventory!I179)</f>
        <v/>
      </c>
      <c r="G179">
        <f>IF(Inventory!A179="","",Inventory!Z179)</f>
        <v/>
      </c>
      <c r="H179">
        <f>IF(Inventory!A179="","",Inventory!Y179)</f>
        <v/>
      </c>
      <c r="I179">
        <f>IF(Inventory!A179="","",Inventory!W179)</f>
        <v/>
      </c>
      <c r="J179">
        <f>IF(Inventory!A179="","",Inventory!AA179)</f>
        <v/>
      </c>
    </row>
    <row r="180">
      <c r="A180">
        <f>IF(Inventory!A180="","",Inventory!A180)</f>
        <v/>
      </c>
      <c r="B180">
        <f>IF(Inventory!A180="","",Inventory!B180)</f>
        <v/>
      </c>
      <c r="C180">
        <f>IF(Inventory!A180="","",Inventory!C180)</f>
        <v/>
      </c>
      <c r="D180">
        <f>IF(Inventory!A180="","",Inventory!D180)</f>
        <v/>
      </c>
      <c r="E180">
        <f>IF(Inventory!A180="","",Inventory!K180)</f>
        <v/>
      </c>
      <c r="F180">
        <f>IF(Inventory!A180="","",Inventory!I180)</f>
        <v/>
      </c>
      <c r="G180">
        <f>IF(Inventory!A180="","",Inventory!Z180)</f>
        <v/>
      </c>
      <c r="H180">
        <f>IF(Inventory!A180="","",Inventory!Y180)</f>
        <v/>
      </c>
      <c r="I180">
        <f>IF(Inventory!A180="","",Inventory!W180)</f>
        <v/>
      </c>
      <c r="J180">
        <f>IF(Inventory!A180="","",Inventory!AA180)</f>
        <v/>
      </c>
    </row>
    <row r="181">
      <c r="A181">
        <f>IF(Inventory!A181="","",Inventory!A181)</f>
        <v/>
      </c>
      <c r="B181">
        <f>IF(Inventory!A181="","",Inventory!B181)</f>
        <v/>
      </c>
      <c r="C181">
        <f>IF(Inventory!A181="","",Inventory!C181)</f>
        <v/>
      </c>
      <c r="D181">
        <f>IF(Inventory!A181="","",Inventory!D181)</f>
        <v/>
      </c>
      <c r="E181">
        <f>IF(Inventory!A181="","",Inventory!K181)</f>
        <v/>
      </c>
      <c r="F181">
        <f>IF(Inventory!A181="","",Inventory!I181)</f>
        <v/>
      </c>
      <c r="G181">
        <f>IF(Inventory!A181="","",Inventory!Z181)</f>
        <v/>
      </c>
      <c r="H181">
        <f>IF(Inventory!A181="","",Inventory!Y181)</f>
        <v/>
      </c>
      <c r="I181">
        <f>IF(Inventory!A181="","",Inventory!W181)</f>
        <v/>
      </c>
      <c r="J181">
        <f>IF(Inventory!A181="","",Inventory!AA181)</f>
        <v/>
      </c>
    </row>
    <row r="182">
      <c r="A182">
        <f>IF(Inventory!A182="","",Inventory!A182)</f>
        <v/>
      </c>
      <c r="B182">
        <f>IF(Inventory!A182="","",Inventory!B182)</f>
        <v/>
      </c>
      <c r="C182">
        <f>IF(Inventory!A182="","",Inventory!C182)</f>
        <v/>
      </c>
      <c r="D182">
        <f>IF(Inventory!A182="","",Inventory!D182)</f>
        <v/>
      </c>
      <c r="E182">
        <f>IF(Inventory!A182="","",Inventory!K182)</f>
        <v/>
      </c>
      <c r="F182">
        <f>IF(Inventory!A182="","",Inventory!I182)</f>
        <v/>
      </c>
      <c r="G182">
        <f>IF(Inventory!A182="","",Inventory!Z182)</f>
        <v/>
      </c>
      <c r="H182">
        <f>IF(Inventory!A182="","",Inventory!Y182)</f>
        <v/>
      </c>
      <c r="I182">
        <f>IF(Inventory!A182="","",Inventory!W182)</f>
        <v/>
      </c>
      <c r="J182">
        <f>IF(Inventory!A182="","",Inventory!AA182)</f>
        <v/>
      </c>
    </row>
    <row r="183">
      <c r="A183">
        <f>IF(Inventory!A183="","",Inventory!A183)</f>
        <v/>
      </c>
      <c r="B183">
        <f>IF(Inventory!A183="","",Inventory!B183)</f>
        <v/>
      </c>
      <c r="C183">
        <f>IF(Inventory!A183="","",Inventory!C183)</f>
        <v/>
      </c>
      <c r="D183">
        <f>IF(Inventory!A183="","",Inventory!D183)</f>
        <v/>
      </c>
      <c r="E183">
        <f>IF(Inventory!A183="","",Inventory!K183)</f>
        <v/>
      </c>
      <c r="F183">
        <f>IF(Inventory!A183="","",Inventory!I183)</f>
        <v/>
      </c>
      <c r="G183">
        <f>IF(Inventory!A183="","",Inventory!Z183)</f>
        <v/>
      </c>
      <c r="H183">
        <f>IF(Inventory!A183="","",Inventory!Y183)</f>
        <v/>
      </c>
      <c r="I183">
        <f>IF(Inventory!A183="","",Inventory!W183)</f>
        <v/>
      </c>
      <c r="J183">
        <f>IF(Inventory!A183="","",Inventory!AA183)</f>
        <v/>
      </c>
    </row>
    <row r="184">
      <c r="A184">
        <f>IF(Inventory!A184="","",Inventory!A184)</f>
        <v/>
      </c>
      <c r="B184">
        <f>IF(Inventory!A184="","",Inventory!B184)</f>
        <v/>
      </c>
      <c r="C184">
        <f>IF(Inventory!A184="","",Inventory!C184)</f>
        <v/>
      </c>
      <c r="D184">
        <f>IF(Inventory!A184="","",Inventory!D184)</f>
        <v/>
      </c>
      <c r="E184">
        <f>IF(Inventory!A184="","",Inventory!K184)</f>
        <v/>
      </c>
      <c r="F184">
        <f>IF(Inventory!A184="","",Inventory!I184)</f>
        <v/>
      </c>
      <c r="G184">
        <f>IF(Inventory!A184="","",Inventory!Z184)</f>
        <v/>
      </c>
      <c r="H184">
        <f>IF(Inventory!A184="","",Inventory!Y184)</f>
        <v/>
      </c>
      <c r="I184">
        <f>IF(Inventory!A184="","",Inventory!W184)</f>
        <v/>
      </c>
      <c r="J184">
        <f>IF(Inventory!A184="","",Inventory!AA184)</f>
        <v/>
      </c>
    </row>
    <row r="185">
      <c r="A185">
        <f>IF(Inventory!A185="","",Inventory!A185)</f>
        <v/>
      </c>
      <c r="B185">
        <f>IF(Inventory!A185="","",Inventory!B185)</f>
        <v/>
      </c>
      <c r="C185">
        <f>IF(Inventory!A185="","",Inventory!C185)</f>
        <v/>
      </c>
      <c r="D185">
        <f>IF(Inventory!A185="","",Inventory!D185)</f>
        <v/>
      </c>
      <c r="E185">
        <f>IF(Inventory!A185="","",Inventory!K185)</f>
        <v/>
      </c>
      <c r="F185">
        <f>IF(Inventory!A185="","",Inventory!I185)</f>
        <v/>
      </c>
      <c r="G185">
        <f>IF(Inventory!A185="","",Inventory!Z185)</f>
        <v/>
      </c>
      <c r="H185">
        <f>IF(Inventory!A185="","",Inventory!Y185)</f>
        <v/>
      </c>
      <c r="I185">
        <f>IF(Inventory!A185="","",Inventory!W185)</f>
        <v/>
      </c>
      <c r="J185">
        <f>IF(Inventory!A185="","",Inventory!AA185)</f>
        <v/>
      </c>
    </row>
    <row r="186">
      <c r="A186">
        <f>IF(Inventory!A186="","",Inventory!A186)</f>
        <v/>
      </c>
      <c r="B186">
        <f>IF(Inventory!A186="","",Inventory!B186)</f>
        <v/>
      </c>
      <c r="C186">
        <f>IF(Inventory!A186="","",Inventory!C186)</f>
        <v/>
      </c>
      <c r="D186">
        <f>IF(Inventory!A186="","",Inventory!D186)</f>
        <v/>
      </c>
      <c r="E186">
        <f>IF(Inventory!A186="","",Inventory!K186)</f>
        <v/>
      </c>
      <c r="F186">
        <f>IF(Inventory!A186="","",Inventory!I186)</f>
        <v/>
      </c>
      <c r="G186">
        <f>IF(Inventory!A186="","",Inventory!Z186)</f>
        <v/>
      </c>
      <c r="H186">
        <f>IF(Inventory!A186="","",Inventory!Y186)</f>
        <v/>
      </c>
      <c r="I186">
        <f>IF(Inventory!A186="","",Inventory!W186)</f>
        <v/>
      </c>
      <c r="J186">
        <f>IF(Inventory!A186="","",Inventory!AA186)</f>
        <v/>
      </c>
    </row>
    <row r="187">
      <c r="A187">
        <f>IF(Inventory!A187="","",Inventory!A187)</f>
        <v/>
      </c>
      <c r="B187">
        <f>IF(Inventory!A187="","",Inventory!B187)</f>
        <v/>
      </c>
      <c r="C187">
        <f>IF(Inventory!A187="","",Inventory!C187)</f>
        <v/>
      </c>
      <c r="D187">
        <f>IF(Inventory!A187="","",Inventory!D187)</f>
        <v/>
      </c>
      <c r="E187">
        <f>IF(Inventory!A187="","",Inventory!K187)</f>
        <v/>
      </c>
      <c r="F187">
        <f>IF(Inventory!A187="","",Inventory!I187)</f>
        <v/>
      </c>
      <c r="G187">
        <f>IF(Inventory!A187="","",Inventory!Z187)</f>
        <v/>
      </c>
      <c r="H187">
        <f>IF(Inventory!A187="","",Inventory!Y187)</f>
        <v/>
      </c>
      <c r="I187">
        <f>IF(Inventory!A187="","",Inventory!W187)</f>
        <v/>
      </c>
      <c r="J187">
        <f>IF(Inventory!A187="","",Inventory!AA187)</f>
        <v/>
      </c>
    </row>
    <row r="188">
      <c r="A188">
        <f>IF(Inventory!A188="","",Inventory!A188)</f>
        <v/>
      </c>
      <c r="B188">
        <f>IF(Inventory!A188="","",Inventory!B188)</f>
        <v/>
      </c>
      <c r="C188">
        <f>IF(Inventory!A188="","",Inventory!C188)</f>
        <v/>
      </c>
      <c r="D188">
        <f>IF(Inventory!A188="","",Inventory!D188)</f>
        <v/>
      </c>
      <c r="E188">
        <f>IF(Inventory!A188="","",Inventory!K188)</f>
        <v/>
      </c>
      <c r="F188">
        <f>IF(Inventory!A188="","",Inventory!I188)</f>
        <v/>
      </c>
      <c r="G188">
        <f>IF(Inventory!A188="","",Inventory!Z188)</f>
        <v/>
      </c>
      <c r="H188">
        <f>IF(Inventory!A188="","",Inventory!Y188)</f>
        <v/>
      </c>
      <c r="I188">
        <f>IF(Inventory!A188="","",Inventory!W188)</f>
        <v/>
      </c>
      <c r="J188">
        <f>IF(Inventory!A188="","",Inventory!AA188)</f>
        <v/>
      </c>
    </row>
    <row r="189">
      <c r="A189">
        <f>IF(Inventory!A189="","",Inventory!A189)</f>
        <v/>
      </c>
      <c r="B189">
        <f>IF(Inventory!A189="","",Inventory!B189)</f>
        <v/>
      </c>
      <c r="C189">
        <f>IF(Inventory!A189="","",Inventory!C189)</f>
        <v/>
      </c>
      <c r="D189">
        <f>IF(Inventory!A189="","",Inventory!D189)</f>
        <v/>
      </c>
      <c r="E189">
        <f>IF(Inventory!A189="","",Inventory!K189)</f>
        <v/>
      </c>
      <c r="F189">
        <f>IF(Inventory!A189="","",Inventory!I189)</f>
        <v/>
      </c>
      <c r="G189">
        <f>IF(Inventory!A189="","",Inventory!Z189)</f>
        <v/>
      </c>
      <c r="H189">
        <f>IF(Inventory!A189="","",Inventory!Y189)</f>
        <v/>
      </c>
      <c r="I189">
        <f>IF(Inventory!A189="","",Inventory!W189)</f>
        <v/>
      </c>
      <c r="J189">
        <f>IF(Inventory!A189="","",Inventory!AA189)</f>
        <v/>
      </c>
    </row>
    <row r="190">
      <c r="A190">
        <f>IF(Inventory!A190="","",Inventory!A190)</f>
        <v/>
      </c>
      <c r="B190">
        <f>IF(Inventory!A190="","",Inventory!B190)</f>
        <v/>
      </c>
      <c r="C190">
        <f>IF(Inventory!A190="","",Inventory!C190)</f>
        <v/>
      </c>
      <c r="D190">
        <f>IF(Inventory!A190="","",Inventory!D190)</f>
        <v/>
      </c>
      <c r="E190">
        <f>IF(Inventory!A190="","",Inventory!K190)</f>
        <v/>
      </c>
      <c r="F190">
        <f>IF(Inventory!A190="","",Inventory!I190)</f>
        <v/>
      </c>
      <c r="G190">
        <f>IF(Inventory!A190="","",Inventory!Z190)</f>
        <v/>
      </c>
      <c r="H190">
        <f>IF(Inventory!A190="","",Inventory!Y190)</f>
        <v/>
      </c>
      <c r="I190">
        <f>IF(Inventory!A190="","",Inventory!W190)</f>
        <v/>
      </c>
      <c r="J190">
        <f>IF(Inventory!A190="","",Inventory!AA190)</f>
        <v/>
      </c>
    </row>
    <row r="191">
      <c r="A191">
        <f>IF(Inventory!A191="","",Inventory!A191)</f>
        <v/>
      </c>
      <c r="B191">
        <f>IF(Inventory!A191="","",Inventory!B191)</f>
        <v/>
      </c>
      <c r="C191">
        <f>IF(Inventory!A191="","",Inventory!C191)</f>
        <v/>
      </c>
      <c r="D191">
        <f>IF(Inventory!A191="","",Inventory!D191)</f>
        <v/>
      </c>
      <c r="E191">
        <f>IF(Inventory!A191="","",Inventory!K191)</f>
        <v/>
      </c>
      <c r="F191">
        <f>IF(Inventory!A191="","",Inventory!I191)</f>
        <v/>
      </c>
      <c r="G191">
        <f>IF(Inventory!A191="","",Inventory!Z191)</f>
        <v/>
      </c>
      <c r="H191">
        <f>IF(Inventory!A191="","",Inventory!Y191)</f>
        <v/>
      </c>
      <c r="I191">
        <f>IF(Inventory!A191="","",Inventory!W191)</f>
        <v/>
      </c>
      <c r="J191">
        <f>IF(Inventory!A191="","",Inventory!AA191)</f>
        <v/>
      </c>
    </row>
    <row r="192">
      <c r="A192">
        <f>IF(Inventory!A192="","",Inventory!A192)</f>
        <v/>
      </c>
      <c r="B192">
        <f>IF(Inventory!A192="","",Inventory!B192)</f>
        <v/>
      </c>
      <c r="C192">
        <f>IF(Inventory!A192="","",Inventory!C192)</f>
        <v/>
      </c>
      <c r="D192">
        <f>IF(Inventory!A192="","",Inventory!D192)</f>
        <v/>
      </c>
      <c r="E192">
        <f>IF(Inventory!A192="","",Inventory!K192)</f>
        <v/>
      </c>
      <c r="F192">
        <f>IF(Inventory!A192="","",Inventory!I192)</f>
        <v/>
      </c>
      <c r="G192">
        <f>IF(Inventory!A192="","",Inventory!Z192)</f>
        <v/>
      </c>
      <c r="H192">
        <f>IF(Inventory!A192="","",Inventory!Y192)</f>
        <v/>
      </c>
      <c r="I192">
        <f>IF(Inventory!A192="","",Inventory!W192)</f>
        <v/>
      </c>
      <c r="J192">
        <f>IF(Inventory!A192="","",Inventory!AA192)</f>
        <v/>
      </c>
    </row>
    <row r="193">
      <c r="A193">
        <f>IF(Inventory!A193="","",Inventory!A193)</f>
        <v/>
      </c>
      <c r="B193">
        <f>IF(Inventory!A193="","",Inventory!B193)</f>
        <v/>
      </c>
      <c r="C193">
        <f>IF(Inventory!A193="","",Inventory!C193)</f>
        <v/>
      </c>
      <c r="D193">
        <f>IF(Inventory!A193="","",Inventory!D193)</f>
        <v/>
      </c>
      <c r="E193">
        <f>IF(Inventory!A193="","",Inventory!K193)</f>
        <v/>
      </c>
      <c r="F193">
        <f>IF(Inventory!A193="","",Inventory!I193)</f>
        <v/>
      </c>
      <c r="G193">
        <f>IF(Inventory!A193="","",Inventory!Z193)</f>
        <v/>
      </c>
      <c r="H193">
        <f>IF(Inventory!A193="","",Inventory!Y193)</f>
        <v/>
      </c>
      <c r="I193">
        <f>IF(Inventory!A193="","",Inventory!W193)</f>
        <v/>
      </c>
      <c r="J193">
        <f>IF(Inventory!A193="","",Inventory!AA193)</f>
        <v/>
      </c>
    </row>
    <row r="194">
      <c r="A194">
        <f>IF(Inventory!A194="","",Inventory!A194)</f>
        <v/>
      </c>
      <c r="B194">
        <f>IF(Inventory!A194="","",Inventory!B194)</f>
        <v/>
      </c>
      <c r="C194">
        <f>IF(Inventory!A194="","",Inventory!C194)</f>
        <v/>
      </c>
      <c r="D194">
        <f>IF(Inventory!A194="","",Inventory!D194)</f>
        <v/>
      </c>
      <c r="E194">
        <f>IF(Inventory!A194="","",Inventory!K194)</f>
        <v/>
      </c>
      <c r="F194">
        <f>IF(Inventory!A194="","",Inventory!I194)</f>
        <v/>
      </c>
      <c r="G194">
        <f>IF(Inventory!A194="","",Inventory!Z194)</f>
        <v/>
      </c>
      <c r="H194">
        <f>IF(Inventory!A194="","",Inventory!Y194)</f>
        <v/>
      </c>
      <c r="I194">
        <f>IF(Inventory!A194="","",Inventory!W194)</f>
        <v/>
      </c>
      <c r="J194">
        <f>IF(Inventory!A194="","",Inventory!AA194)</f>
        <v/>
      </c>
    </row>
    <row r="195">
      <c r="A195">
        <f>IF(Inventory!A195="","",Inventory!A195)</f>
        <v/>
      </c>
      <c r="B195">
        <f>IF(Inventory!A195="","",Inventory!B195)</f>
        <v/>
      </c>
      <c r="C195">
        <f>IF(Inventory!A195="","",Inventory!C195)</f>
        <v/>
      </c>
      <c r="D195">
        <f>IF(Inventory!A195="","",Inventory!D195)</f>
        <v/>
      </c>
      <c r="E195">
        <f>IF(Inventory!A195="","",Inventory!K195)</f>
        <v/>
      </c>
      <c r="F195">
        <f>IF(Inventory!A195="","",Inventory!I195)</f>
        <v/>
      </c>
      <c r="G195">
        <f>IF(Inventory!A195="","",Inventory!Z195)</f>
        <v/>
      </c>
      <c r="H195">
        <f>IF(Inventory!A195="","",Inventory!Y195)</f>
        <v/>
      </c>
      <c r="I195">
        <f>IF(Inventory!A195="","",Inventory!W195)</f>
        <v/>
      </c>
      <c r="J195">
        <f>IF(Inventory!A195="","",Inventory!AA195)</f>
        <v/>
      </c>
    </row>
    <row r="196">
      <c r="A196">
        <f>IF(Inventory!A196="","",Inventory!A196)</f>
        <v/>
      </c>
      <c r="B196">
        <f>IF(Inventory!A196="","",Inventory!B196)</f>
        <v/>
      </c>
      <c r="C196">
        <f>IF(Inventory!A196="","",Inventory!C196)</f>
        <v/>
      </c>
      <c r="D196">
        <f>IF(Inventory!A196="","",Inventory!D196)</f>
        <v/>
      </c>
      <c r="E196">
        <f>IF(Inventory!A196="","",Inventory!K196)</f>
        <v/>
      </c>
      <c r="F196">
        <f>IF(Inventory!A196="","",Inventory!I196)</f>
        <v/>
      </c>
      <c r="G196">
        <f>IF(Inventory!A196="","",Inventory!Z196)</f>
        <v/>
      </c>
      <c r="H196">
        <f>IF(Inventory!A196="","",Inventory!Y196)</f>
        <v/>
      </c>
      <c r="I196">
        <f>IF(Inventory!A196="","",Inventory!W196)</f>
        <v/>
      </c>
      <c r="J196">
        <f>IF(Inventory!A196="","",Inventory!AA196)</f>
        <v/>
      </c>
    </row>
    <row r="197">
      <c r="A197">
        <f>IF(Inventory!A197="","",Inventory!A197)</f>
        <v/>
      </c>
      <c r="B197">
        <f>IF(Inventory!A197="","",Inventory!B197)</f>
        <v/>
      </c>
      <c r="C197">
        <f>IF(Inventory!A197="","",Inventory!C197)</f>
        <v/>
      </c>
      <c r="D197">
        <f>IF(Inventory!A197="","",Inventory!D197)</f>
        <v/>
      </c>
      <c r="E197">
        <f>IF(Inventory!A197="","",Inventory!K197)</f>
        <v/>
      </c>
      <c r="F197">
        <f>IF(Inventory!A197="","",Inventory!I197)</f>
        <v/>
      </c>
      <c r="G197">
        <f>IF(Inventory!A197="","",Inventory!Z197)</f>
        <v/>
      </c>
      <c r="H197">
        <f>IF(Inventory!A197="","",Inventory!Y197)</f>
        <v/>
      </c>
      <c r="I197">
        <f>IF(Inventory!A197="","",Inventory!W197)</f>
        <v/>
      </c>
      <c r="J197">
        <f>IF(Inventory!A197="","",Inventory!AA197)</f>
        <v/>
      </c>
    </row>
    <row r="198">
      <c r="A198">
        <f>IF(Inventory!A198="","",Inventory!A198)</f>
        <v/>
      </c>
      <c r="B198">
        <f>IF(Inventory!A198="","",Inventory!B198)</f>
        <v/>
      </c>
      <c r="C198">
        <f>IF(Inventory!A198="","",Inventory!C198)</f>
        <v/>
      </c>
      <c r="D198">
        <f>IF(Inventory!A198="","",Inventory!D198)</f>
        <v/>
      </c>
      <c r="E198">
        <f>IF(Inventory!A198="","",Inventory!K198)</f>
        <v/>
      </c>
      <c r="F198">
        <f>IF(Inventory!A198="","",Inventory!I198)</f>
        <v/>
      </c>
      <c r="G198">
        <f>IF(Inventory!A198="","",Inventory!Z198)</f>
        <v/>
      </c>
      <c r="H198">
        <f>IF(Inventory!A198="","",Inventory!Y198)</f>
        <v/>
      </c>
      <c r="I198">
        <f>IF(Inventory!A198="","",Inventory!W198)</f>
        <v/>
      </c>
      <c r="J198">
        <f>IF(Inventory!A198="","",Inventory!AA198)</f>
        <v/>
      </c>
    </row>
    <row r="199">
      <c r="A199">
        <f>IF(Inventory!A199="","",Inventory!A199)</f>
        <v/>
      </c>
      <c r="B199">
        <f>IF(Inventory!A199="","",Inventory!B199)</f>
        <v/>
      </c>
      <c r="C199">
        <f>IF(Inventory!A199="","",Inventory!C199)</f>
        <v/>
      </c>
      <c r="D199">
        <f>IF(Inventory!A199="","",Inventory!D199)</f>
        <v/>
      </c>
      <c r="E199">
        <f>IF(Inventory!A199="","",Inventory!K199)</f>
        <v/>
      </c>
      <c r="F199">
        <f>IF(Inventory!A199="","",Inventory!I199)</f>
        <v/>
      </c>
      <c r="G199">
        <f>IF(Inventory!A199="","",Inventory!Z199)</f>
        <v/>
      </c>
      <c r="H199">
        <f>IF(Inventory!A199="","",Inventory!Y199)</f>
        <v/>
      </c>
      <c r="I199">
        <f>IF(Inventory!A199="","",Inventory!W199)</f>
        <v/>
      </c>
      <c r="J199">
        <f>IF(Inventory!A199="","",Inventory!AA199)</f>
        <v/>
      </c>
    </row>
    <row r="200">
      <c r="A200">
        <f>IF(Inventory!A200="","",Inventory!A200)</f>
        <v/>
      </c>
      <c r="B200">
        <f>IF(Inventory!A200="","",Inventory!B200)</f>
        <v/>
      </c>
      <c r="C200">
        <f>IF(Inventory!A200="","",Inventory!C200)</f>
        <v/>
      </c>
      <c r="D200">
        <f>IF(Inventory!A200="","",Inventory!D200)</f>
        <v/>
      </c>
      <c r="E200">
        <f>IF(Inventory!A200="","",Inventory!K200)</f>
        <v/>
      </c>
      <c r="F200">
        <f>IF(Inventory!A200="","",Inventory!I200)</f>
        <v/>
      </c>
      <c r="G200">
        <f>IF(Inventory!A200="","",Inventory!Z200)</f>
        <v/>
      </c>
      <c r="H200">
        <f>IF(Inventory!A200="","",Inventory!Y200)</f>
        <v/>
      </c>
      <c r="I200">
        <f>IF(Inventory!A200="","",Inventory!W200)</f>
        <v/>
      </c>
      <c r="J200">
        <f>IF(Inventory!A200="","",Inventory!AA200)</f>
        <v/>
      </c>
    </row>
    <row r="201">
      <c r="A201">
        <f>IF(Inventory!A201="","",Inventory!A201)</f>
        <v/>
      </c>
      <c r="B201">
        <f>IF(Inventory!A201="","",Inventory!B201)</f>
        <v/>
      </c>
      <c r="C201">
        <f>IF(Inventory!A201="","",Inventory!C201)</f>
        <v/>
      </c>
      <c r="D201">
        <f>IF(Inventory!A201="","",Inventory!D201)</f>
        <v/>
      </c>
      <c r="E201">
        <f>IF(Inventory!A201="","",Inventory!K201)</f>
        <v/>
      </c>
      <c r="F201">
        <f>IF(Inventory!A201="","",Inventory!I201)</f>
        <v/>
      </c>
      <c r="G201">
        <f>IF(Inventory!A201="","",Inventory!Z201)</f>
        <v/>
      </c>
      <c r="H201">
        <f>IF(Inventory!A201="","",Inventory!Y201)</f>
        <v/>
      </c>
      <c r="I201">
        <f>IF(Inventory!A201="","",Inventory!W201)</f>
        <v/>
      </c>
      <c r="J201">
        <f>IF(Inventory!A201="","",Inventory!AA201)</f>
        <v/>
      </c>
    </row>
    <row r="202">
      <c r="A202">
        <f>IF(Inventory!A202="","",Inventory!A202)</f>
        <v/>
      </c>
      <c r="B202">
        <f>IF(Inventory!A202="","",Inventory!B202)</f>
        <v/>
      </c>
      <c r="C202">
        <f>IF(Inventory!A202="","",Inventory!C202)</f>
        <v/>
      </c>
      <c r="D202">
        <f>IF(Inventory!A202="","",Inventory!D202)</f>
        <v/>
      </c>
      <c r="E202">
        <f>IF(Inventory!A202="","",Inventory!K202)</f>
        <v/>
      </c>
      <c r="F202">
        <f>IF(Inventory!A202="","",Inventory!I202)</f>
        <v/>
      </c>
      <c r="G202">
        <f>IF(Inventory!A202="","",Inventory!Z202)</f>
        <v/>
      </c>
      <c r="H202">
        <f>IF(Inventory!A202="","",Inventory!Y202)</f>
        <v/>
      </c>
      <c r="I202">
        <f>IF(Inventory!A202="","",Inventory!W202)</f>
        <v/>
      </c>
      <c r="J202">
        <f>IF(Inventory!A202="","",Inventory!AA202)</f>
        <v/>
      </c>
    </row>
    <row r="203">
      <c r="A203">
        <f>IF(Inventory!A203="","",Inventory!A203)</f>
        <v/>
      </c>
      <c r="B203">
        <f>IF(Inventory!A203="","",Inventory!B203)</f>
        <v/>
      </c>
      <c r="C203">
        <f>IF(Inventory!A203="","",Inventory!C203)</f>
        <v/>
      </c>
      <c r="D203">
        <f>IF(Inventory!A203="","",Inventory!D203)</f>
        <v/>
      </c>
      <c r="E203">
        <f>IF(Inventory!A203="","",Inventory!K203)</f>
        <v/>
      </c>
      <c r="F203">
        <f>IF(Inventory!A203="","",Inventory!I203)</f>
        <v/>
      </c>
      <c r="G203">
        <f>IF(Inventory!A203="","",Inventory!Z203)</f>
        <v/>
      </c>
      <c r="H203">
        <f>IF(Inventory!A203="","",Inventory!Y203)</f>
        <v/>
      </c>
      <c r="I203">
        <f>IF(Inventory!A203="","",Inventory!W203)</f>
        <v/>
      </c>
      <c r="J203">
        <f>IF(Inventory!A203="","",Inventory!AA203)</f>
        <v/>
      </c>
    </row>
    <row r="204">
      <c r="A204">
        <f>IF(Inventory!A204="","",Inventory!A204)</f>
        <v/>
      </c>
      <c r="B204">
        <f>IF(Inventory!A204="","",Inventory!B204)</f>
        <v/>
      </c>
      <c r="C204">
        <f>IF(Inventory!A204="","",Inventory!C204)</f>
        <v/>
      </c>
      <c r="D204">
        <f>IF(Inventory!A204="","",Inventory!D204)</f>
        <v/>
      </c>
      <c r="E204">
        <f>IF(Inventory!A204="","",Inventory!K204)</f>
        <v/>
      </c>
      <c r="F204">
        <f>IF(Inventory!A204="","",Inventory!I204)</f>
        <v/>
      </c>
      <c r="G204">
        <f>IF(Inventory!A204="","",Inventory!Z204)</f>
        <v/>
      </c>
      <c r="H204">
        <f>IF(Inventory!A204="","",Inventory!Y204)</f>
        <v/>
      </c>
      <c r="I204">
        <f>IF(Inventory!A204="","",Inventory!W204)</f>
        <v/>
      </c>
      <c r="J204">
        <f>IF(Inventory!A204="","",Inventory!AA204)</f>
        <v/>
      </c>
    </row>
    <row r="205">
      <c r="A205">
        <f>IF(Inventory!A205="","",Inventory!A205)</f>
        <v/>
      </c>
      <c r="B205">
        <f>IF(Inventory!A205="","",Inventory!B205)</f>
        <v/>
      </c>
      <c r="C205">
        <f>IF(Inventory!A205="","",Inventory!C205)</f>
        <v/>
      </c>
      <c r="D205">
        <f>IF(Inventory!A205="","",Inventory!D205)</f>
        <v/>
      </c>
      <c r="E205">
        <f>IF(Inventory!A205="","",Inventory!K205)</f>
        <v/>
      </c>
      <c r="F205">
        <f>IF(Inventory!A205="","",Inventory!I205)</f>
        <v/>
      </c>
      <c r="G205">
        <f>IF(Inventory!A205="","",Inventory!Z205)</f>
        <v/>
      </c>
      <c r="H205">
        <f>IF(Inventory!A205="","",Inventory!Y205)</f>
        <v/>
      </c>
      <c r="I205">
        <f>IF(Inventory!A205="","",Inventory!W205)</f>
        <v/>
      </c>
      <c r="J205">
        <f>IF(Inventory!A205="","",Inventory!AA205)</f>
        <v/>
      </c>
    </row>
    <row r="206">
      <c r="A206">
        <f>IF(Inventory!A206="","",Inventory!A206)</f>
        <v/>
      </c>
      <c r="B206">
        <f>IF(Inventory!A206="","",Inventory!B206)</f>
        <v/>
      </c>
      <c r="C206">
        <f>IF(Inventory!A206="","",Inventory!C206)</f>
        <v/>
      </c>
      <c r="D206">
        <f>IF(Inventory!A206="","",Inventory!D206)</f>
        <v/>
      </c>
      <c r="E206">
        <f>IF(Inventory!A206="","",Inventory!K206)</f>
        <v/>
      </c>
      <c r="F206">
        <f>IF(Inventory!A206="","",Inventory!I206)</f>
        <v/>
      </c>
      <c r="G206">
        <f>IF(Inventory!A206="","",Inventory!Z206)</f>
        <v/>
      </c>
      <c r="H206">
        <f>IF(Inventory!A206="","",Inventory!Y206)</f>
        <v/>
      </c>
      <c r="I206">
        <f>IF(Inventory!A206="","",Inventory!W206)</f>
        <v/>
      </c>
      <c r="J206">
        <f>IF(Inventory!A206="","",Inventory!AA206)</f>
        <v/>
      </c>
    </row>
    <row r="207">
      <c r="A207">
        <f>IF(Inventory!A207="","",Inventory!A207)</f>
        <v/>
      </c>
      <c r="B207">
        <f>IF(Inventory!A207="","",Inventory!B207)</f>
        <v/>
      </c>
      <c r="C207">
        <f>IF(Inventory!A207="","",Inventory!C207)</f>
        <v/>
      </c>
      <c r="D207">
        <f>IF(Inventory!A207="","",Inventory!D207)</f>
        <v/>
      </c>
      <c r="E207">
        <f>IF(Inventory!A207="","",Inventory!K207)</f>
        <v/>
      </c>
      <c r="F207">
        <f>IF(Inventory!A207="","",Inventory!I207)</f>
        <v/>
      </c>
      <c r="G207">
        <f>IF(Inventory!A207="","",Inventory!Z207)</f>
        <v/>
      </c>
      <c r="H207">
        <f>IF(Inventory!A207="","",Inventory!Y207)</f>
        <v/>
      </c>
      <c r="I207">
        <f>IF(Inventory!A207="","",Inventory!W207)</f>
        <v/>
      </c>
      <c r="J207">
        <f>IF(Inventory!A207="","",Inventory!AA207)</f>
        <v/>
      </c>
    </row>
    <row r="208">
      <c r="A208">
        <f>IF(Inventory!A208="","",Inventory!A208)</f>
        <v/>
      </c>
      <c r="B208">
        <f>IF(Inventory!A208="","",Inventory!B208)</f>
        <v/>
      </c>
      <c r="C208">
        <f>IF(Inventory!A208="","",Inventory!C208)</f>
        <v/>
      </c>
      <c r="D208">
        <f>IF(Inventory!A208="","",Inventory!D208)</f>
        <v/>
      </c>
      <c r="E208">
        <f>IF(Inventory!A208="","",Inventory!K208)</f>
        <v/>
      </c>
      <c r="F208">
        <f>IF(Inventory!A208="","",Inventory!I208)</f>
        <v/>
      </c>
      <c r="G208">
        <f>IF(Inventory!A208="","",Inventory!Z208)</f>
        <v/>
      </c>
      <c r="H208">
        <f>IF(Inventory!A208="","",Inventory!Y208)</f>
        <v/>
      </c>
      <c r="I208">
        <f>IF(Inventory!A208="","",Inventory!W208)</f>
        <v/>
      </c>
      <c r="J208">
        <f>IF(Inventory!A208="","",Inventory!AA208)</f>
        <v/>
      </c>
    </row>
    <row r="209">
      <c r="A209">
        <f>IF(Inventory!A209="","",Inventory!A209)</f>
        <v/>
      </c>
      <c r="B209">
        <f>IF(Inventory!A209="","",Inventory!B209)</f>
        <v/>
      </c>
      <c r="C209">
        <f>IF(Inventory!A209="","",Inventory!C209)</f>
        <v/>
      </c>
      <c r="D209">
        <f>IF(Inventory!A209="","",Inventory!D209)</f>
        <v/>
      </c>
      <c r="E209">
        <f>IF(Inventory!A209="","",Inventory!K209)</f>
        <v/>
      </c>
      <c r="F209">
        <f>IF(Inventory!A209="","",Inventory!I209)</f>
        <v/>
      </c>
      <c r="G209">
        <f>IF(Inventory!A209="","",Inventory!Z209)</f>
        <v/>
      </c>
      <c r="H209">
        <f>IF(Inventory!A209="","",Inventory!Y209)</f>
        <v/>
      </c>
      <c r="I209">
        <f>IF(Inventory!A209="","",Inventory!W209)</f>
        <v/>
      </c>
      <c r="J209">
        <f>IF(Inventory!A209="","",Inventory!AA209)</f>
        <v/>
      </c>
    </row>
    <row r="210">
      <c r="A210">
        <f>IF(Inventory!A210="","",Inventory!A210)</f>
        <v/>
      </c>
      <c r="B210">
        <f>IF(Inventory!A210="","",Inventory!B210)</f>
        <v/>
      </c>
      <c r="C210">
        <f>IF(Inventory!A210="","",Inventory!C210)</f>
        <v/>
      </c>
      <c r="D210">
        <f>IF(Inventory!A210="","",Inventory!D210)</f>
        <v/>
      </c>
      <c r="E210">
        <f>IF(Inventory!A210="","",Inventory!K210)</f>
        <v/>
      </c>
      <c r="F210">
        <f>IF(Inventory!A210="","",Inventory!I210)</f>
        <v/>
      </c>
      <c r="G210">
        <f>IF(Inventory!A210="","",Inventory!Z210)</f>
        <v/>
      </c>
      <c r="H210">
        <f>IF(Inventory!A210="","",Inventory!Y210)</f>
        <v/>
      </c>
      <c r="I210">
        <f>IF(Inventory!A210="","",Inventory!W210)</f>
        <v/>
      </c>
      <c r="J210">
        <f>IF(Inventory!A210="","",Inventory!AA210)</f>
        <v/>
      </c>
    </row>
    <row r="211">
      <c r="A211">
        <f>IF(Inventory!A211="","",Inventory!A211)</f>
        <v/>
      </c>
      <c r="B211">
        <f>IF(Inventory!A211="","",Inventory!B211)</f>
        <v/>
      </c>
      <c r="C211">
        <f>IF(Inventory!A211="","",Inventory!C211)</f>
        <v/>
      </c>
      <c r="D211">
        <f>IF(Inventory!A211="","",Inventory!D211)</f>
        <v/>
      </c>
      <c r="E211">
        <f>IF(Inventory!A211="","",Inventory!K211)</f>
        <v/>
      </c>
      <c r="F211">
        <f>IF(Inventory!A211="","",Inventory!I211)</f>
        <v/>
      </c>
      <c r="G211">
        <f>IF(Inventory!A211="","",Inventory!Z211)</f>
        <v/>
      </c>
      <c r="H211">
        <f>IF(Inventory!A211="","",Inventory!Y211)</f>
        <v/>
      </c>
      <c r="I211">
        <f>IF(Inventory!A211="","",Inventory!W211)</f>
        <v/>
      </c>
      <c r="J211">
        <f>IF(Inventory!A211="","",Inventory!AA211)</f>
        <v/>
      </c>
    </row>
    <row r="212">
      <c r="A212">
        <f>IF(Inventory!A212="","",Inventory!A212)</f>
        <v/>
      </c>
      <c r="B212">
        <f>IF(Inventory!A212="","",Inventory!B212)</f>
        <v/>
      </c>
      <c r="C212">
        <f>IF(Inventory!A212="","",Inventory!C212)</f>
        <v/>
      </c>
      <c r="D212">
        <f>IF(Inventory!A212="","",Inventory!D212)</f>
        <v/>
      </c>
      <c r="E212">
        <f>IF(Inventory!A212="","",Inventory!K212)</f>
        <v/>
      </c>
      <c r="F212">
        <f>IF(Inventory!A212="","",Inventory!I212)</f>
        <v/>
      </c>
      <c r="G212">
        <f>IF(Inventory!A212="","",Inventory!Z212)</f>
        <v/>
      </c>
      <c r="H212">
        <f>IF(Inventory!A212="","",Inventory!Y212)</f>
        <v/>
      </c>
      <c r="I212">
        <f>IF(Inventory!A212="","",Inventory!W212)</f>
        <v/>
      </c>
      <c r="J212">
        <f>IF(Inventory!A212="","",Inventory!AA212)</f>
        <v/>
      </c>
    </row>
    <row r="213">
      <c r="A213">
        <f>IF(Inventory!A213="","",Inventory!A213)</f>
        <v/>
      </c>
      <c r="B213">
        <f>IF(Inventory!A213="","",Inventory!B213)</f>
        <v/>
      </c>
      <c r="C213">
        <f>IF(Inventory!A213="","",Inventory!C213)</f>
        <v/>
      </c>
      <c r="D213">
        <f>IF(Inventory!A213="","",Inventory!D213)</f>
        <v/>
      </c>
      <c r="E213">
        <f>IF(Inventory!A213="","",Inventory!K213)</f>
        <v/>
      </c>
      <c r="F213">
        <f>IF(Inventory!A213="","",Inventory!I213)</f>
        <v/>
      </c>
      <c r="G213">
        <f>IF(Inventory!A213="","",Inventory!Z213)</f>
        <v/>
      </c>
      <c r="H213">
        <f>IF(Inventory!A213="","",Inventory!Y213)</f>
        <v/>
      </c>
      <c r="I213">
        <f>IF(Inventory!A213="","",Inventory!W213)</f>
        <v/>
      </c>
      <c r="J213">
        <f>IF(Inventory!A213="","",Inventory!AA213)</f>
        <v/>
      </c>
    </row>
    <row r="214">
      <c r="A214">
        <f>IF(Inventory!A214="","",Inventory!A214)</f>
        <v/>
      </c>
      <c r="B214">
        <f>IF(Inventory!A214="","",Inventory!B214)</f>
        <v/>
      </c>
      <c r="C214">
        <f>IF(Inventory!A214="","",Inventory!C214)</f>
        <v/>
      </c>
      <c r="D214">
        <f>IF(Inventory!A214="","",Inventory!D214)</f>
        <v/>
      </c>
      <c r="E214">
        <f>IF(Inventory!A214="","",Inventory!K214)</f>
        <v/>
      </c>
      <c r="F214">
        <f>IF(Inventory!A214="","",Inventory!I214)</f>
        <v/>
      </c>
      <c r="G214">
        <f>IF(Inventory!A214="","",Inventory!Z214)</f>
        <v/>
      </c>
      <c r="H214">
        <f>IF(Inventory!A214="","",Inventory!Y214)</f>
        <v/>
      </c>
      <c r="I214">
        <f>IF(Inventory!A214="","",Inventory!W214)</f>
        <v/>
      </c>
      <c r="J214">
        <f>IF(Inventory!A214="","",Inventory!AA214)</f>
        <v/>
      </c>
    </row>
    <row r="215">
      <c r="A215">
        <f>IF(Inventory!A215="","",Inventory!A215)</f>
        <v/>
      </c>
      <c r="B215">
        <f>IF(Inventory!A215="","",Inventory!B215)</f>
        <v/>
      </c>
      <c r="C215">
        <f>IF(Inventory!A215="","",Inventory!C215)</f>
        <v/>
      </c>
      <c r="D215">
        <f>IF(Inventory!A215="","",Inventory!D215)</f>
        <v/>
      </c>
      <c r="E215">
        <f>IF(Inventory!A215="","",Inventory!K215)</f>
        <v/>
      </c>
      <c r="F215">
        <f>IF(Inventory!A215="","",Inventory!I215)</f>
        <v/>
      </c>
      <c r="G215">
        <f>IF(Inventory!A215="","",Inventory!Z215)</f>
        <v/>
      </c>
      <c r="H215">
        <f>IF(Inventory!A215="","",Inventory!Y215)</f>
        <v/>
      </c>
      <c r="I215">
        <f>IF(Inventory!A215="","",Inventory!W215)</f>
        <v/>
      </c>
      <c r="J215">
        <f>IF(Inventory!A215="","",Inventory!AA215)</f>
        <v/>
      </c>
    </row>
    <row r="216">
      <c r="A216">
        <f>IF(Inventory!A216="","",Inventory!A216)</f>
        <v/>
      </c>
      <c r="B216">
        <f>IF(Inventory!A216="","",Inventory!B216)</f>
        <v/>
      </c>
      <c r="C216">
        <f>IF(Inventory!A216="","",Inventory!C216)</f>
        <v/>
      </c>
      <c r="D216">
        <f>IF(Inventory!A216="","",Inventory!D216)</f>
        <v/>
      </c>
      <c r="E216">
        <f>IF(Inventory!A216="","",Inventory!K216)</f>
        <v/>
      </c>
      <c r="F216">
        <f>IF(Inventory!A216="","",Inventory!I216)</f>
        <v/>
      </c>
      <c r="G216">
        <f>IF(Inventory!A216="","",Inventory!Z216)</f>
        <v/>
      </c>
      <c r="H216">
        <f>IF(Inventory!A216="","",Inventory!Y216)</f>
        <v/>
      </c>
      <c r="I216">
        <f>IF(Inventory!A216="","",Inventory!W216)</f>
        <v/>
      </c>
      <c r="J216">
        <f>IF(Inventory!A216="","",Inventory!AA216)</f>
        <v/>
      </c>
    </row>
    <row r="217">
      <c r="A217">
        <f>IF(Inventory!A217="","",Inventory!A217)</f>
        <v/>
      </c>
      <c r="B217">
        <f>IF(Inventory!A217="","",Inventory!B217)</f>
        <v/>
      </c>
      <c r="C217">
        <f>IF(Inventory!A217="","",Inventory!C217)</f>
        <v/>
      </c>
      <c r="D217">
        <f>IF(Inventory!A217="","",Inventory!D217)</f>
        <v/>
      </c>
      <c r="E217">
        <f>IF(Inventory!A217="","",Inventory!K217)</f>
        <v/>
      </c>
      <c r="F217">
        <f>IF(Inventory!A217="","",Inventory!I217)</f>
        <v/>
      </c>
      <c r="G217">
        <f>IF(Inventory!A217="","",Inventory!Z217)</f>
        <v/>
      </c>
      <c r="H217">
        <f>IF(Inventory!A217="","",Inventory!Y217)</f>
        <v/>
      </c>
      <c r="I217">
        <f>IF(Inventory!A217="","",Inventory!W217)</f>
        <v/>
      </c>
      <c r="J217">
        <f>IF(Inventory!A217="","",Inventory!AA217)</f>
        <v/>
      </c>
    </row>
    <row r="218">
      <c r="A218">
        <f>IF(Inventory!A218="","",Inventory!A218)</f>
        <v/>
      </c>
      <c r="B218">
        <f>IF(Inventory!A218="","",Inventory!B218)</f>
        <v/>
      </c>
      <c r="C218">
        <f>IF(Inventory!A218="","",Inventory!C218)</f>
        <v/>
      </c>
      <c r="D218">
        <f>IF(Inventory!A218="","",Inventory!D218)</f>
        <v/>
      </c>
      <c r="E218">
        <f>IF(Inventory!A218="","",Inventory!K218)</f>
        <v/>
      </c>
      <c r="F218">
        <f>IF(Inventory!A218="","",Inventory!I218)</f>
        <v/>
      </c>
      <c r="G218">
        <f>IF(Inventory!A218="","",Inventory!Z218)</f>
        <v/>
      </c>
      <c r="H218">
        <f>IF(Inventory!A218="","",Inventory!Y218)</f>
        <v/>
      </c>
      <c r="I218">
        <f>IF(Inventory!A218="","",Inventory!W218)</f>
        <v/>
      </c>
      <c r="J218">
        <f>IF(Inventory!A218="","",Inventory!AA218)</f>
        <v/>
      </c>
    </row>
    <row r="219">
      <c r="A219">
        <f>IF(Inventory!A219="","",Inventory!A219)</f>
        <v/>
      </c>
      <c r="B219">
        <f>IF(Inventory!A219="","",Inventory!B219)</f>
        <v/>
      </c>
      <c r="C219">
        <f>IF(Inventory!A219="","",Inventory!C219)</f>
        <v/>
      </c>
      <c r="D219">
        <f>IF(Inventory!A219="","",Inventory!D219)</f>
        <v/>
      </c>
      <c r="E219">
        <f>IF(Inventory!A219="","",Inventory!K219)</f>
        <v/>
      </c>
      <c r="F219">
        <f>IF(Inventory!A219="","",Inventory!I219)</f>
        <v/>
      </c>
      <c r="G219">
        <f>IF(Inventory!A219="","",Inventory!Z219)</f>
        <v/>
      </c>
      <c r="H219">
        <f>IF(Inventory!A219="","",Inventory!Y219)</f>
        <v/>
      </c>
      <c r="I219">
        <f>IF(Inventory!A219="","",Inventory!W219)</f>
        <v/>
      </c>
      <c r="J219">
        <f>IF(Inventory!A219="","",Inventory!AA219)</f>
        <v/>
      </c>
    </row>
    <row r="220">
      <c r="A220">
        <f>IF(Inventory!A220="","",Inventory!A220)</f>
        <v/>
      </c>
      <c r="B220">
        <f>IF(Inventory!A220="","",Inventory!B220)</f>
        <v/>
      </c>
      <c r="C220">
        <f>IF(Inventory!A220="","",Inventory!C220)</f>
        <v/>
      </c>
      <c r="D220">
        <f>IF(Inventory!A220="","",Inventory!D220)</f>
        <v/>
      </c>
      <c r="E220">
        <f>IF(Inventory!A220="","",Inventory!K220)</f>
        <v/>
      </c>
      <c r="F220">
        <f>IF(Inventory!A220="","",Inventory!I220)</f>
        <v/>
      </c>
      <c r="G220">
        <f>IF(Inventory!A220="","",Inventory!Z220)</f>
        <v/>
      </c>
      <c r="H220">
        <f>IF(Inventory!A220="","",Inventory!Y220)</f>
        <v/>
      </c>
      <c r="I220">
        <f>IF(Inventory!A220="","",Inventory!W220)</f>
        <v/>
      </c>
      <c r="J220">
        <f>IF(Inventory!A220="","",Inventory!AA220)</f>
        <v/>
      </c>
    </row>
    <row r="221">
      <c r="A221">
        <f>IF(Inventory!A221="","",Inventory!A221)</f>
        <v/>
      </c>
      <c r="B221">
        <f>IF(Inventory!A221="","",Inventory!B221)</f>
        <v/>
      </c>
      <c r="C221">
        <f>IF(Inventory!A221="","",Inventory!C221)</f>
        <v/>
      </c>
      <c r="D221">
        <f>IF(Inventory!A221="","",Inventory!D221)</f>
        <v/>
      </c>
      <c r="E221">
        <f>IF(Inventory!A221="","",Inventory!K221)</f>
        <v/>
      </c>
      <c r="F221">
        <f>IF(Inventory!A221="","",Inventory!I221)</f>
        <v/>
      </c>
      <c r="G221">
        <f>IF(Inventory!A221="","",Inventory!Z221)</f>
        <v/>
      </c>
      <c r="H221">
        <f>IF(Inventory!A221="","",Inventory!Y221)</f>
        <v/>
      </c>
      <c r="I221">
        <f>IF(Inventory!A221="","",Inventory!W221)</f>
        <v/>
      </c>
      <c r="J221">
        <f>IF(Inventory!A221="","",Inventory!AA221)</f>
        <v/>
      </c>
    </row>
    <row r="222">
      <c r="A222">
        <f>IF(Inventory!A222="","",Inventory!A222)</f>
        <v/>
      </c>
      <c r="B222">
        <f>IF(Inventory!A222="","",Inventory!B222)</f>
        <v/>
      </c>
      <c r="C222">
        <f>IF(Inventory!A222="","",Inventory!C222)</f>
        <v/>
      </c>
      <c r="D222">
        <f>IF(Inventory!A222="","",Inventory!D222)</f>
        <v/>
      </c>
      <c r="E222">
        <f>IF(Inventory!A222="","",Inventory!K222)</f>
        <v/>
      </c>
      <c r="F222">
        <f>IF(Inventory!A222="","",Inventory!I222)</f>
        <v/>
      </c>
      <c r="G222">
        <f>IF(Inventory!A222="","",Inventory!Z222)</f>
        <v/>
      </c>
      <c r="H222">
        <f>IF(Inventory!A222="","",Inventory!Y222)</f>
        <v/>
      </c>
      <c r="I222">
        <f>IF(Inventory!A222="","",Inventory!W222)</f>
        <v/>
      </c>
      <c r="J222">
        <f>IF(Inventory!A222="","",Inventory!AA222)</f>
        <v/>
      </c>
    </row>
    <row r="223">
      <c r="A223">
        <f>IF(Inventory!A223="","",Inventory!A223)</f>
        <v/>
      </c>
      <c r="B223">
        <f>IF(Inventory!A223="","",Inventory!B223)</f>
        <v/>
      </c>
      <c r="C223">
        <f>IF(Inventory!A223="","",Inventory!C223)</f>
        <v/>
      </c>
      <c r="D223">
        <f>IF(Inventory!A223="","",Inventory!D223)</f>
        <v/>
      </c>
      <c r="E223">
        <f>IF(Inventory!A223="","",Inventory!K223)</f>
        <v/>
      </c>
      <c r="F223">
        <f>IF(Inventory!A223="","",Inventory!I223)</f>
        <v/>
      </c>
      <c r="G223">
        <f>IF(Inventory!A223="","",Inventory!Z223)</f>
        <v/>
      </c>
      <c r="H223">
        <f>IF(Inventory!A223="","",Inventory!Y223)</f>
        <v/>
      </c>
      <c r="I223">
        <f>IF(Inventory!A223="","",Inventory!W223)</f>
        <v/>
      </c>
      <c r="J223">
        <f>IF(Inventory!A223="","",Inventory!AA223)</f>
        <v/>
      </c>
    </row>
    <row r="224">
      <c r="A224">
        <f>IF(Inventory!A224="","",Inventory!A224)</f>
        <v/>
      </c>
      <c r="B224">
        <f>IF(Inventory!A224="","",Inventory!B224)</f>
        <v/>
      </c>
      <c r="C224">
        <f>IF(Inventory!A224="","",Inventory!C224)</f>
        <v/>
      </c>
      <c r="D224">
        <f>IF(Inventory!A224="","",Inventory!D224)</f>
        <v/>
      </c>
      <c r="E224">
        <f>IF(Inventory!A224="","",Inventory!K224)</f>
        <v/>
      </c>
      <c r="F224">
        <f>IF(Inventory!A224="","",Inventory!I224)</f>
        <v/>
      </c>
      <c r="G224">
        <f>IF(Inventory!A224="","",Inventory!Z224)</f>
        <v/>
      </c>
      <c r="H224">
        <f>IF(Inventory!A224="","",Inventory!Y224)</f>
        <v/>
      </c>
      <c r="I224">
        <f>IF(Inventory!A224="","",Inventory!W224)</f>
        <v/>
      </c>
      <c r="J224">
        <f>IF(Inventory!A224="","",Inventory!AA224)</f>
        <v/>
      </c>
    </row>
    <row r="225">
      <c r="A225">
        <f>IF(Inventory!A225="","",Inventory!A225)</f>
        <v/>
      </c>
      <c r="B225">
        <f>IF(Inventory!A225="","",Inventory!B225)</f>
        <v/>
      </c>
      <c r="C225">
        <f>IF(Inventory!A225="","",Inventory!C225)</f>
        <v/>
      </c>
      <c r="D225">
        <f>IF(Inventory!A225="","",Inventory!D225)</f>
        <v/>
      </c>
      <c r="E225">
        <f>IF(Inventory!A225="","",Inventory!K225)</f>
        <v/>
      </c>
      <c r="F225">
        <f>IF(Inventory!A225="","",Inventory!I225)</f>
        <v/>
      </c>
      <c r="G225">
        <f>IF(Inventory!A225="","",Inventory!Z225)</f>
        <v/>
      </c>
      <c r="H225">
        <f>IF(Inventory!A225="","",Inventory!Y225)</f>
        <v/>
      </c>
      <c r="I225">
        <f>IF(Inventory!A225="","",Inventory!W225)</f>
        <v/>
      </c>
      <c r="J225">
        <f>IF(Inventory!A225="","",Inventory!AA225)</f>
        <v/>
      </c>
    </row>
    <row r="226">
      <c r="A226">
        <f>IF(Inventory!A226="","",Inventory!A226)</f>
        <v/>
      </c>
      <c r="B226">
        <f>IF(Inventory!A226="","",Inventory!B226)</f>
        <v/>
      </c>
      <c r="C226">
        <f>IF(Inventory!A226="","",Inventory!C226)</f>
        <v/>
      </c>
      <c r="D226">
        <f>IF(Inventory!A226="","",Inventory!D226)</f>
        <v/>
      </c>
      <c r="E226">
        <f>IF(Inventory!A226="","",Inventory!K226)</f>
        <v/>
      </c>
      <c r="F226">
        <f>IF(Inventory!A226="","",Inventory!I226)</f>
        <v/>
      </c>
      <c r="G226">
        <f>IF(Inventory!A226="","",Inventory!Z226)</f>
        <v/>
      </c>
      <c r="H226">
        <f>IF(Inventory!A226="","",Inventory!Y226)</f>
        <v/>
      </c>
      <c r="I226">
        <f>IF(Inventory!A226="","",Inventory!W226)</f>
        <v/>
      </c>
      <c r="J226">
        <f>IF(Inventory!A226="","",Inventory!AA226)</f>
        <v/>
      </c>
    </row>
    <row r="227">
      <c r="A227">
        <f>IF(Inventory!A227="","",Inventory!A227)</f>
        <v/>
      </c>
      <c r="B227">
        <f>IF(Inventory!A227="","",Inventory!B227)</f>
        <v/>
      </c>
      <c r="C227">
        <f>IF(Inventory!A227="","",Inventory!C227)</f>
        <v/>
      </c>
      <c r="D227">
        <f>IF(Inventory!A227="","",Inventory!D227)</f>
        <v/>
      </c>
      <c r="E227">
        <f>IF(Inventory!A227="","",Inventory!K227)</f>
        <v/>
      </c>
      <c r="F227">
        <f>IF(Inventory!A227="","",Inventory!I227)</f>
        <v/>
      </c>
      <c r="G227">
        <f>IF(Inventory!A227="","",Inventory!Z227)</f>
        <v/>
      </c>
      <c r="H227">
        <f>IF(Inventory!A227="","",Inventory!Y227)</f>
        <v/>
      </c>
      <c r="I227">
        <f>IF(Inventory!A227="","",Inventory!W227)</f>
        <v/>
      </c>
      <c r="J227">
        <f>IF(Inventory!A227="","",Inventory!AA227)</f>
        <v/>
      </c>
    </row>
    <row r="228">
      <c r="A228">
        <f>IF(Inventory!A228="","",Inventory!A228)</f>
        <v/>
      </c>
      <c r="B228">
        <f>IF(Inventory!A228="","",Inventory!B228)</f>
        <v/>
      </c>
      <c r="C228">
        <f>IF(Inventory!A228="","",Inventory!C228)</f>
        <v/>
      </c>
      <c r="D228">
        <f>IF(Inventory!A228="","",Inventory!D228)</f>
        <v/>
      </c>
      <c r="E228">
        <f>IF(Inventory!A228="","",Inventory!K228)</f>
        <v/>
      </c>
      <c r="F228">
        <f>IF(Inventory!A228="","",Inventory!I228)</f>
        <v/>
      </c>
      <c r="G228">
        <f>IF(Inventory!A228="","",Inventory!Z228)</f>
        <v/>
      </c>
      <c r="H228">
        <f>IF(Inventory!A228="","",Inventory!Y228)</f>
        <v/>
      </c>
      <c r="I228">
        <f>IF(Inventory!A228="","",Inventory!W228)</f>
        <v/>
      </c>
      <c r="J228">
        <f>IF(Inventory!A228="","",Inventory!AA228)</f>
        <v/>
      </c>
    </row>
    <row r="229">
      <c r="A229">
        <f>IF(Inventory!A229="","",Inventory!A229)</f>
        <v/>
      </c>
      <c r="B229">
        <f>IF(Inventory!A229="","",Inventory!B229)</f>
        <v/>
      </c>
      <c r="C229">
        <f>IF(Inventory!A229="","",Inventory!C229)</f>
        <v/>
      </c>
      <c r="D229">
        <f>IF(Inventory!A229="","",Inventory!D229)</f>
        <v/>
      </c>
      <c r="E229">
        <f>IF(Inventory!A229="","",Inventory!K229)</f>
        <v/>
      </c>
      <c r="F229">
        <f>IF(Inventory!A229="","",Inventory!I229)</f>
        <v/>
      </c>
      <c r="G229">
        <f>IF(Inventory!A229="","",Inventory!Z229)</f>
        <v/>
      </c>
      <c r="H229">
        <f>IF(Inventory!A229="","",Inventory!Y229)</f>
        <v/>
      </c>
      <c r="I229">
        <f>IF(Inventory!A229="","",Inventory!W229)</f>
        <v/>
      </c>
      <c r="J229">
        <f>IF(Inventory!A229="","",Inventory!AA229)</f>
        <v/>
      </c>
    </row>
    <row r="230">
      <c r="A230">
        <f>IF(Inventory!A230="","",Inventory!A230)</f>
        <v/>
      </c>
      <c r="B230">
        <f>IF(Inventory!A230="","",Inventory!B230)</f>
        <v/>
      </c>
      <c r="C230">
        <f>IF(Inventory!A230="","",Inventory!C230)</f>
        <v/>
      </c>
      <c r="D230">
        <f>IF(Inventory!A230="","",Inventory!D230)</f>
        <v/>
      </c>
      <c r="E230">
        <f>IF(Inventory!A230="","",Inventory!K230)</f>
        <v/>
      </c>
      <c r="F230">
        <f>IF(Inventory!A230="","",Inventory!I230)</f>
        <v/>
      </c>
      <c r="G230">
        <f>IF(Inventory!A230="","",Inventory!Z230)</f>
        <v/>
      </c>
      <c r="H230">
        <f>IF(Inventory!A230="","",Inventory!Y230)</f>
        <v/>
      </c>
      <c r="I230">
        <f>IF(Inventory!A230="","",Inventory!W230)</f>
        <v/>
      </c>
      <c r="J230">
        <f>IF(Inventory!A230="","",Inventory!AA230)</f>
        <v/>
      </c>
    </row>
    <row r="231">
      <c r="A231">
        <f>IF(Inventory!A231="","",Inventory!A231)</f>
        <v/>
      </c>
      <c r="B231">
        <f>IF(Inventory!A231="","",Inventory!B231)</f>
        <v/>
      </c>
      <c r="C231">
        <f>IF(Inventory!A231="","",Inventory!C231)</f>
        <v/>
      </c>
      <c r="D231">
        <f>IF(Inventory!A231="","",Inventory!D231)</f>
        <v/>
      </c>
      <c r="E231">
        <f>IF(Inventory!A231="","",Inventory!K231)</f>
        <v/>
      </c>
      <c r="F231">
        <f>IF(Inventory!A231="","",Inventory!I231)</f>
        <v/>
      </c>
      <c r="G231">
        <f>IF(Inventory!A231="","",Inventory!Z231)</f>
        <v/>
      </c>
      <c r="H231">
        <f>IF(Inventory!A231="","",Inventory!Y231)</f>
        <v/>
      </c>
      <c r="I231">
        <f>IF(Inventory!A231="","",Inventory!W231)</f>
        <v/>
      </c>
      <c r="J231">
        <f>IF(Inventory!A231="","",Inventory!AA231)</f>
        <v/>
      </c>
    </row>
    <row r="232">
      <c r="A232">
        <f>IF(Inventory!A232="","",Inventory!A232)</f>
        <v/>
      </c>
      <c r="B232">
        <f>IF(Inventory!A232="","",Inventory!B232)</f>
        <v/>
      </c>
      <c r="C232">
        <f>IF(Inventory!A232="","",Inventory!C232)</f>
        <v/>
      </c>
      <c r="D232">
        <f>IF(Inventory!A232="","",Inventory!D232)</f>
        <v/>
      </c>
      <c r="E232">
        <f>IF(Inventory!A232="","",Inventory!K232)</f>
        <v/>
      </c>
      <c r="F232">
        <f>IF(Inventory!A232="","",Inventory!I232)</f>
        <v/>
      </c>
      <c r="G232">
        <f>IF(Inventory!A232="","",Inventory!Z232)</f>
        <v/>
      </c>
      <c r="H232">
        <f>IF(Inventory!A232="","",Inventory!Y232)</f>
        <v/>
      </c>
      <c r="I232">
        <f>IF(Inventory!A232="","",Inventory!W232)</f>
        <v/>
      </c>
      <c r="J232">
        <f>IF(Inventory!A232="","",Inventory!AA232)</f>
        <v/>
      </c>
    </row>
    <row r="233">
      <c r="A233">
        <f>IF(Inventory!A233="","",Inventory!A233)</f>
        <v/>
      </c>
      <c r="B233">
        <f>IF(Inventory!A233="","",Inventory!B233)</f>
        <v/>
      </c>
      <c r="C233">
        <f>IF(Inventory!A233="","",Inventory!C233)</f>
        <v/>
      </c>
      <c r="D233">
        <f>IF(Inventory!A233="","",Inventory!D233)</f>
        <v/>
      </c>
      <c r="E233">
        <f>IF(Inventory!A233="","",Inventory!K233)</f>
        <v/>
      </c>
      <c r="F233">
        <f>IF(Inventory!A233="","",Inventory!I233)</f>
        <v/>
      </c>
      <c r="G233">
        <f>IF(Inventory!A233="","",Inventory!Z233)</f>
        <v/>
      </c>
      <c r="H233">
        <f>IF(Inventory!A233="","",Inventory!Y233)</f>
        <v/>
      </c>
      <c r="I233">
        <f>IF(Inventory!A233="","",Inventory!W233)</f>
        <v/>
      </c>
      <c r="J233">
        <f>IF(Inventory!A233="","",Inventory!AA233)</f>
        <v/>
      </c>
    </row>
    <row r="234">
      <c r="A234">
        <f>IF(Inventory!A234="","",Inventory!A234)</f>
        <v/>
      </c>
      <c r="B234">
        <f>IF(Inventory!A234="","",Inventory!B234)</f>
        <v/>
      </c>
      <c r="C234">
        <f>IF(Inventory!A234="","",Inventory!C234)</f>
        <v/>
      </c>
      <c r="D234">
        <f>IF(Inventory!A234="","",Inventory!D234)</f>
        <v/>
      </c>
      <c r="E234">
        <f>IF(Inventory!A234="","",Inventory!K234)</f>
        <v/>
      </c>
      <c r="F234">
        <f>IF(Inventory!A234="","",Inventory!I234)</f>
        <v/>
      </c>
      <c r="G234">
        <f>IF(Inventory!A234="","",Inventory!Z234)</f>
        <v/>
      </c>
      <c r="H234">
        <f>IF(Inventory!A234="","",Inventory!Y234)</f>
        <v/>
      </c>
      <c r="I234">
        <f>IF(Inventory!A234="","",Inventory!W234)</f>
        <v/>
      </c>
      <c r="J234">
        <f>IF(Inventory!A234="","",Inventory!AA234)</f>
        <v/>
      </c>
    </row>
    <row r="235">
      <c r="A235">
        <f>IF(Inventory!A235="","",Inventory!A235)</f>
        <v/>
      </c>
      <c r="B235">
        <f>IF(Inventory!A235="","",Inventory!B235)</f>
        <v/>
      </c>
      <c r="C235">
        <f>IF(Inventory!A235="","",Inventory!C235)</f>
        <v/>
      </c>
      <c r="D235">
        <f>IF(Inventory!A235="","",Inventory!D235)</f>
        <v/>
      </c>
      <c r="E235">
        <f>IF(Inventory!A235="","",Inventory!K235)</f>
        <v/>
      </c>
      <c r="F235">
        <f>IF(Inventory!A235="","",Inventory!I235)</f>
        <v/>
      </c>
      <c r="G235">
        <f>IF(Inventory!A235="","",Inventory!Z235)</f>
        <v/>
      </c>
      <c r="H235">
        <f>IF(Inventory!A235="","",Inventory!Y235)</f>
        <v/>
      </c>
      <c r="I235">
        <f>IF(Inventory!A235="","",Inventory!W235)</f>
        <v/>
      </c>
      <c r="J235">
        <f>IF(Inventory!A235="","",Inventory!AA235)</f>
        <v/>
      </c>
    </row>
    <row r="236">
      <c r="A236">
        <f>IF(Inventory!A236="","",Inventory!A236)</f>
        <v/>
      </c>
      <c r="B236">
        <f>IF(Inventory!A236="","",Inventory!B236)</f>
        <v/>
      </c>
      <c r="C236">
        <f>IF(Inventory!A236="","",Inventory!C236)</f>
        <v/>
      </c>
      <c r="D236">
        <f>IF(Inventory!A236="","",Inventory!D236)</f>
        <v/>
      </c>
      <c r="E236">
        <f>IF(Inventory!A236="","",Inventory!K236)</f>
        <v/>
      </c>
      <c r="F236">
        <f>IF(Inventory!A236="","",Inventory!I236)</f>
        <v/>
      </c>
      <c r="G236">
        <f>IF(Inventory!A236="","",Inventory!Z236)</f>
        <v/>
      </c>
      <c r="H236">
        <f>IF(Inventory!A236="","",Inventory!Y236)</f>
        <v/>
      </c>
      <c r="I236">
        <f>IF(Inventory!A236="","",Inventory!W236)</f>
        <v/>
      </c>
      <c r="J236">
        <f>IF(Inventory!A236="","",Inventory!AA236)</f>
        <v/>
      </c>
    </row>
    <row r="237">
      <c r="A237">
        <f>IF(Inventory!A237="","",Inventory!A237)</f>
        <v/>
      </c>
      <c r="B237">
        <f>IF(Inventory!A237="","",Inventory!B237)</f>
        <v/>
      </c>
      <c r="C237">
        <f>IF(Inventory!A237="","",Inventory!C237)</f>
        <v/>
      </c>
      <c r="D237">
        <f>IF(Inventory!A237="","",Inventory!D237)</f>
        <v/>
      </c>
      <c r="E237">
        <f>IF(Inventory!A237="","",Inventory!K237)</f>
        <v/>
      </c>
      <c r="F237">
        <f>IF(Inventory!A237="","",Inventory!I237)</f>
        <v/>
      </c>
      <c r="G237">
        <f>IF(Inventory!A237="","",Inventory!Z237)</f>
        <v/>
      </c>
      <c r="H237">
        <f>IF(Inventory!A237="","",Inventory!Y237)</f>
        <v/>
      </c>
      <c r="I237">
        <f>IF(Inventory!A237="","",Inventory!W237)</f>
        <v/>
      </c>
      <c r="J237">
        <f>IF(Inventory!A237="","",Inventory!AA237)</f>
        <v/>
      </c>
    </row>
    <row r="238">
      <c r="A238">
        <f>IF(Inventory!A238="","",Inventory!A238)</f>
        <v/>
      </c>
      <c r="B238">
        <f>IF(Inventory!A238="","",Inventory!B238)</f>
        <v/>
      </c>
      <c r="C238">
        <f>IF(Inventory!A238="","",Inventory!C238)</f>
        <v/>
      </c>
      <c r="D238">
        <f>IF(Inventory!A238="","",Inventory!D238)</f>
        <v/>
      </c>
      <c r="E238">
        <f>IF(Inventory!A238="","",Inventory!K238)</f>
        <v/>
      </c>
      <c r="F238">
        <f>IF(Inventory!A238="","",Inventory!I238)</f>
        <v/>
      </c>
      <c r="G238">
        <f>IF(Inventory!A238="","",Inventory!Z238)</f>
        <v/>
      </c>
      <c r="H238">
        <f>IF(Inventory!A238="","",Inventory!Y238)</f>
        <v/>
      </c>
      <c r="I238">
        <f>IF(Inventory!A238="","",Inventory!W238)</f>
        <v/>
      </c>
      <c r="J238">
        <f>IF(Inventory!A238="","",Inventory!AA238)</f>
        <v/>
      </c>
    </row>
    <row r="239">
      <c r="A239">
        <f>IF(Inventory!A239="","",Inventory!A239)</f>
        <v/>
      </c>
      <c r="B239">
        <f>IF(Inventory!A239="","",Inventory!B239)</f>
        <v/>
      </c>
      <c r="C239">
        <f>IF(Inventory!A239="","",Inventory!C239)</f>
        <v/>
      </c>
      <c r="D239">
        <f>IF(Inventory!A239="","",Inventory!D239)</f>
        <v/>
      </c>
      <c r="E239">
        <f>IF(Inventory!A239="","",Inventory!K239)</f>
        <v/>
      </c>
      <c r="F239">
        <f>IF(Inventory!A239="","",Inventory!I239)</f>
        <v/>
      </c>
      <c r="G239">
        <f>IF(Inventory!A239="","",Inventory!Z239)</f>
        <v/>
      </c>
      <c r="H239">
        <f>IF(Inventory!A239="","",Inventory!Y239)</f>
        <v/>
      </c>
      <c r="I239">
        <f>IF(Inventory!A239="","",Inventory!W239)</f>
        <v/>
      </c>
      <c r="J239">
        <f>IF(Inventory!A239="","",Inventory!AA239)</f>
        <v/>
      </c>
    </row>
    <row r="240">
      <c r="A240">
        <f>IF(Inventory!A240="","",Inventory!A240)</f>
        <v/>
      </c>
      <c r="B240">
        <f>IF(Inventory!A240="","",Inventory!B240)</f>
        <v/>
      </c>
      <c r="C240">
        <f>IF(Inventory!A240="","",Inventory!C240)</f>
        <v/>
      </c>
      <c r="D240">
        <f>IF(Inventory!A240="","",Inventory!D240)</f>
        <v/>
      </c>
      <c r="E240">
        <f>IF(Inventory!A240="","",Inventory!K240)</f>
        <v/>
      </c>
      <c r="F240">
        <f>IF(Inventory!A240="","",Inventory!I240)</f>
        <v/>
      </c>
      <c r="G240">
        <f>IF(Inventory!A240="","",Inventory!Z240)</f>
        <v/>
      </c>
      <c r="H240">
        <f>IF(Inventory!A240="","",Inventory!Y240)</f>
        <v/>
      </c>
      <c r="I240">
        <f>IF(Inventory!A240="","",Inventory!W240)</f>
        <v/>
      </c>
      <c r="J240">
        <f>IF(Inventory!A240="","",Inventory!AA240)</f>
        <v/>
      </c>
    </row>
    <row r="241">
      <c r="A241">
        <f>IF(Inventory!A241="","",Inventory!A241)</f>
        <v/>
      </c>
      <c r="B241">
        <f>IF(Inventory!A241="","",Inventory!B241)</f>
        <v/>
      </c>
      <c r="C241">
        <f>IF(Inventory!A241="","",Inventory!C241)</f>
        <v/>
      </c>
      <c r="D241">
        <f>IF(Inventory!A241="","",Inventory!D241)</f>
        <v/>
      </c>
      <c r="E241">
        <f>IF(Inventory!A241="","",Inventory!K241)</f>
        <v/>
      </c>
      <c r="F241">
        <f>IF(Inventory!A241="","",Inventory!I241)</f>
        <v/>
      </c>
      <c r="G241">
        <f>IF(Inventory!A241="","",Inventory!Z241)</f>
        <v/>
      </c>
      <c r="H241">
        <f>IF(Inventory!A241="","",Inventory!Y241)</f>
        <v/>
      </c>
      <c r="I241">
        <f>IF(Inventory!A241="","",Inventory!W241)</f>
        <v/>
      </c>
      <c r="J241">
        <f>IF(Inventory!A241="","",Inventory!AA241)</f>
        <v/>
      </c>
    </row>
    <row r="242">
      <c r="A242">
        <f>IF(Inventory!A242="","",Inventory!A242)</f>
        <v/>
      </c>
      <c r="B242">
        <f>IF(Inventory!A242="","",Inventory!B242)</f>
        <v/>
      </c>
      <c r="C242">
        <f>IF(Inventory!A242="","",Inventory!C242)</f>
        <v/>
      </c>
      <c r="D242">
        <f>IF(Inventory!A242="","",Inventory!D242)</f>
        <v/>
      </c>
      <c r="E242">
        <f>IF(Inventory!A242="","",Inventory!K242)</f>
        <v/>
      </c>
      <c r="F242">
        <f>IF(Inventory!A242="","",Inventory!I242)</f>
        <v/>
      </c>
      <c r="G242">
        <f>IF(Inventory!A242="","",Inventory!Z242)</f>
        <v/>
      </c>
      <c r="H242">
        <f>IF(Inventory!A242="","",Inventory!Y242)</f>
        <v/>
      </c>
      <c r="I242">
        <f>IF(Inventory!A242="","",Inventory!W242)</f>
        <v/>
      </c>
      <c r="J242">
        <f>IF(Inventory!A242="","",Inventory!AA242)</f>
        <v/>
      </c>
    </row>
    <row r="243">
      <c r="A243">
        <f>IF(Inventory!A243="","",Inventory!A243)</f>
        <v/>
      </c>
      <c r="B243">
        <f>IF(Inventory!A243="","",Inventory!B243)</f>
        <v/>
      </c>
      <c r="C243">
        <f>IF(Inventory!A243="","",Inventory!C243)</f>
        <v/>
      </c>
      <c r="D243">
        <f>IF(Inventory!A243="","",Inventory!D243)</f>
        <v/>
      </c>
      <c r="E243">
        <f>IF(Inventory!A243="","",Inventory!K243)</f>
        <v/>
      </c>
      <c r="F243">
        <f>IF(Inventory!A243="","",Inventory!I243)</f>
        <v/>
      </c>
      <c r="G243">
        <f>IF(Inventory!A243="","",Inventory!Z243)</f>
        <v/>
      </c>
      <c r="H243">
        <f>IF(Inventory!A243="","",Inventory!Y243)</f>
        <v/>
      </c>
      <c r="I243">
        <f>IF(Inventory!A243="","",Inventory!W243)</f>
        <v/>
      </c>
      <c r="J243">
        <f>IF(Inventory!A243="","",Inventory!AA243)</f>
        <v/>
      </c>
    </row>
    <row r="244">
      <c r="A244">
        <f>IF(Inventory!A244="","",Inventory!A244)</f>
        <v/>
      </c>
      <c r="B244">
        <f>IF(Inventory!A244="","",Inventory!B244)</f>
        <v/>
      </c>
      <c r="C244">
        <f>IF(Inventory!A244="","",Inventory!C244)</f>
        <v/>
      </c>
      <c r="D244">
        <f>IF(Inventory!A244="","",Inventory!D244)</f>
        <v/>
      </c>
      <c r="E244">
        <f>IF(Inventory!A244="","",Inventory!K244)</f>
        <v/>
      </c>
      <c r="F244">
        <f>IF(Inventory!A244="","",Inventory!I244)</f>
        <v/>
      </c>
      <c r="G244">
        <f>IF(Inventory!A244="","",Inventory!Z244)</f>
        <v/>
      </c>
      <c r="H244">
        <f>IF(Inventory!A244="","",Inventory!Y244)</f>
        <v/>
      </c>
      <c r="I244">
        <f>IF(Inventory!A244="","",Inventory!W244)</f>
        <v/>
      </c>
      <c r="J244">
        <f>IF(Inventory!A244="","",Inventory!AA244)</f>
        <v/>
      </c>
    </row>
    <row r="245">
      <c r="A245">
        <f>IF(Inventory!A245="","",Inventory!A245)</f>
        <v/>
      </c>
      <c r="B245">
        <f>IF(Inventory!A245="","",Inventory!B245)</f>
        <v/>
      </c>
      <c r="C245">
        <f>IF(Inventory!A245="","",Inventory!C245)</f>
        <v/>
      </c>
      <c r="D245">
        <f>IF(Inventory!A245="","",Inventory!D245)</f>
        <v/>
      </c>
      <c r="E245">
        <f>IF(Inventory!A245="","",Inventory!K245)</f>
        <v/>
      </c>
      <c r="F245">
        <f>IF(Inventory!A245="","",Inventory!I245)</f>
        <v/>
      </c>
      <c r="G245">
        <f>IF(Inventory!A245="","",Inventory!Z245)</f>
        <v/>
      </c>
      <c r="H245">
        <f>IF(Inventory!A245="","",Inventory!Y245)</f>
        <v/>
      </c>
      <c r="I245">
        <f>IF(Inventory!A245="","",Inventory!W245)</f>
        <v/>
      </c>
      <c r="J245">
        <f>IF(Inventory!A245="","",Inventory!AA245)</f>
        <v/>
      </c>
    </row>
    <row r="246">
      <c r="A246">
        <f>IF(Inventory!A246="","",Inventory!A246)</f>
        <v/>
      </c>
      <c r="B246">
        <f>IF(Inventory!A246="","",Inventory!B246)</f>
        <v/>
      </c>
      <c r="C246">
        <f>IF(Inventory!A246="","",Inventory!C246)</f>
        <v/>
      </c>
      <c r="D246">
        <f>IF(Inventory!A246="","",Inventory!D246)</f>
        <v/>
      </c>
      <c r="E246">
        <f>IF(Inventory!A246="","",Inventory!K246)</f>
        <v/>
      </c>
      <c r="F246">
        <f>IF(Inventory!A246="","",Inventory!I246)</f>
        <v/>
      </c>
      <c r="G246">
        <f>IF(Inventory!A246="","",Inventory!Z246)</f>
        <v/>
      </c>
      <c r="H246">
        <f>IF(Inventory!A246="","",Inventory!Y246)</f>
        <v/>
      </c>
      <c r="I246">
        <f>IF(Inventory!A246="","",Inventory!W246)</f>
        <v/>
      </c>
      <c r="J246">
        <f>IF(Inventory!A246="","",Inventory!AA246)</f>
        <v/>
      </c>
    </row>
    <row r="247">
      <c r="A247">
        <f>IF(Inventory!A247="","",Inventory!A247)</f>
        <v/>
      </c>
      <c r="B247">
        <f>IF(Inventory!A247="","",Inventory!B247)</f>
        <v/>
      </c>
      <c r="C247">
        <f>IF(Inventory!A247="","",Inventory!C247)</f>
        <v/>
      </c>
      <c r="D247">
        <f>IF(Inventory!A247="","",Inventory!D247)</f>
        <v/>
      </c>
      <c r="E247">
        <f>IF(Inventory!A247="","",Inventory!K247)</f>
        <v/>
      </c>
      <c r="F247">
        <f>IF(Inventory!A247="","",Inventory!I247)</f>
        <v/>
      </c>
      <c r="G247">
        <f>IF(Inventory!A247="","",Inventory!Z247)</f>
        <v/>
      </c>
      <c r="H247">
        <f>IF(Inventory!A247="","",Inventory!Y247)</f>
        <v/>
      </c>
      <c r="I247">
        <f>IF(Inventory!A247="","",Inventory!W247)</f>
        <v/>
      </c>
      <c r="J247">
        <f>IF(Inventory!A247="","",Inventory!AA247)</f>
        <v/>
      </c>
    </row>
    <row r="248">
      <c r="A248">
        <f>IF(Inventory!A248="","",Inventory!A248)</f>
        <v/>
      </c>
      <c r="B248">
        <f>IF(Inventory!A248="","",Inventory!B248)</f>
        <v/>
      </c>
      <c r="C248">
        <f>IF(Inventory!A248="","",Inventory!C248)</f>
        <v/>
      </c>
      <c r="D248">
        <f>IF(Inventory!A248="","",Inventory!D248)</f>
        <v/>
      </c>
      <c r="E248">
        <f>IF(Inventory!A248="","",Inventory!K248)</f>
        <v/>
      </c>
      <c r="F248">
        <f>IF(Inventory!A248="","",Inventory!I248)</f>
        <v/>
      </c>
      <c r="G248">
        <f>IF(Inventory!A248="","",Inventory!Z248)</f>
        <v/>
      </c>
      <c r="H248">
        <f>IF(Inventory!A248="","",Inventory!Y248)</f>
        <v/>
      </c>
      <c r="I248">
        <f>IF(Inventory!A248="","",Inventory!W248)</f>
        <v/>
      </c>
      <c r="J248">
        <f>IF(Inventory!A248="","",Inventory!AA248)</f>
        <v/>
      </c>
    </row>
    <row r="249">
      <c r="A249">
        <f>IF(Inventory!A249="","",Inventory!A249)</f>
        <v/>
      </c>
      <c r="B249">
        <f>IF(Inventory!A249="","",Inventory!B249)</f>
        <v/>
      </c>
      <c r="C249">
        <f>IF(Inventory!A249="","",Inventory!C249)</f>
        <v/>
      </c>
      <c r="D249">
        <f>IF(Inventory!A249="","",Inventory!D249)</f>
        <v/>
      </c>
      <c r="E249">
        <f>IF(Inventory!A249="","",Inventory!K249)</f>
        <v/>
      </c>
      <c r="F249">
        <f>IF(Inventory!A249="","",Inventory!I249)</f>
        <v/>
      </c>
      <c r="G249">
        <f>IF(Inventory!A249="","",Inventory!Z249)</f>
        <v/>
      </c>
      <c r="H249">
        <f>IF(Inventory!A249="","",Inventory!Y249)</f>
        <v/>
      </c>
      <c r="I249">
        <f>IF(Inventory!A249="","",Inventory!W249)</f>
        <v/>
      </c>
      <c r="J249">
        <f>IF(Inventory!A249="","",Inventory!AA249)</f>
        <v/>
      </c>
    </row>
    <row r="250">
      <c r="A250">
        <f>IF(Inventory!A250="","",Inventory!A250)</f>
        <v/>
      </c>
      <c r="B250">
        <f>IF(Inventory!A250="","",Inventory!B250)</f>
        <v/>
      </c>
      <c r="C250">
        <f>IF(Inventory!A250="","",Inventory!C250)</f>
        <v/>
      </c>
      <c r="D250">
        <f>IF(Inventory!A250="","",Inventory!D250)</f>
        <v/>
      </c>
      <c r="E250">
        <f>IF(Inventory!A250="","",Inventory!K250)</f>
        <v/>
      </c>
      <c r="F250">
        <f>IF(Inventory!A250="","",Inventory!I250)</f>
        <v/>
      </c>
      <c r="G250">
        <f>IF(Inventory!A250="","",Inventory!Z250)</f>
        <v/>
      </c>
      <c r="H250">
        <f>IF(Inventory!A250="","",Inventory!Y250)</f>
        <v/>
      </c>
      <c r="I250">
        <f>IF(Inventory!A250="","",Inventory!W250)</f>
        <v/>
      </c>
      <c r="J250">
        <f>IF(Inventory!A250="","",Inventory!AA250)</f>
        <v/>
      </c>
    </row>
    <row r="251">
      <c r="A251">
        <f>IF(Inventory!A251="","",Inventory!A251)</f>
        <v/>
      </c>
      <c r="B251">
        <f>IF(Inventory!A251="","",Inventory!B251)</f>
        <v/>
      </c>
      <c r="C251">
        <f>IF(Inventory!A251="","",Inventory!C251)</f>
        <v/>
      </c>
      <c r="D251">
        <f>IF(Inventory!A251="","",Inventory!D251)</f>
        <v/>
      </c>
      <c r="E251">
        <f>IF(Inventory!A251="","",Inventory!K251)</f>
        <v/>
      </c>
      <c r="F251">
        <f>IF(Inventory!A251="","",Inventory!I251)</f>
        <v/>
      </c>
      <c r="G251">
        <f>IF(Inventory!A251="","",Inventory!Z251)</f>
        <v/>
      </c>
      <c r="H251">
        <f>IF(Inventory!A251="","",Inventory!Y251)</f>
        <v/>
      </c>
      <c r="I251">
        <f>IF(Inventory!A251="","",Inventory!W251)</f>
        <v/>
      </c>
      <c r="J251">
        <f>IF(Inventory!A251="","",Inventory!AA251)</f>
        <v/>
      </c>
    </row>
    <row r="252">
      <c r="A252">
        <f>IF(Inventory!A252="","",Inventory!A252)</f>
        <v/>
      </c>
      <c r="B252">
        <f>IF(Inventory!A252="","",Inventory!B252)</f>
        <v/>
      </c>
      <c r="C252">
        <f>IF(Inventory!A252="","",Inventory!C252)</f>
        <v/>
      </c>
      <c r="D252">
        <f>IF(Inventory!A252="","",Inventory!D252)</f>
        <v/>
      </c>
      <c r="E252">
        <f>IF(Inventory!A252="","",Inventory!K252)</f>
        <v/>
      </c>
      <c r="F252">
        <f>IF(Inventory!A252="","",Inventory!I252)</f>
        <v/>
      </c>
      <c r="G252">
        <f>IF(Inventory!A252="","",Inventory!Z252)</f>
        <v/>
      </c>
      <c r="H252">
        <f>IF(Inventory!A252="","",Inventory!Y252)</f>
        <v/>
      </c>
      <c r="I252">
        <f>IF(Inventory!A252="","",Inventory!W252)</f>
        <v/>
      </c>
      <c r="J252">
        <f>IF(Inventory!A252="","",Inventory!AA252)</f>
        <v/>
      </c>
    </row>
    <row r="253">
      <c r="A253">
        <f>IF(Inventory!A253="","",Inventory!A253)</f>
        <v/>
      </c>
      <c r="B253">
        <f>IF(Inventory!A253="","",Inventory!B253)</f>
        <v/>
      </c>
      <c r="C253">
        <f>IF(Inventory!A253="","",Inventory!C253)</f>
        <v/>
      </c>
      <c r="D253">
        <f>IF(Inventory!A253="","",Inventory!D253)</f>
        <v/>
      </c>
      <c r="E253">
        <f>IF(Inventory!A253="","",Inventory!K253)</f>
        <v/>
      </c>
      <c r="F253">
        <f>IF(Inventory!A253="","",Inventory!I253)</f>
        <v/>
      </c>
      <c r="G253">
        <f>IF(Inventory!A253="","",Inventory!Z253)</f>
        <v/>
      </c>
      <c r="H253">
        <f>IF(Inventory!A253="","",Inventory!Y253)</f>
        <v/>
      </c>
      <c r="I253">
        <f>IF(Inventory!A253="","",Inventory!W253)</f>
        <v/>
      </c>
      <c r="J253">
        <f>IF(Inventory!A253="","",Inventory!AA253)</f>
        <v/>
      </c>
    </row>
    <row r="254">
      <c r="A254">
        <f>IF(Inventory!A254="","",Inventory!A254)</f>
        <v/>
      </c>
      <c r="B254">
        <f>IF(Inventory!A254="","",Inventory!B254)</f>
        <v/>
      </c>
      <c r="C254">
        <f>IF(Inventory!A254="","",Inventory!C254)</f>
        <v/>
      </c>
      <c r="D254">
        <f>IF(Inventory!A254="","",Inventory!D254)</f>
        <v/>
      </c>
      <c r="E254">
        <f>IF(Inventory!A254="","",Inventory!K254)</f>
        <v/>
      </c>
      <c r="F254">
        <f>IF(Inventory!A254="","",Inventory!I254)</f>
        <v/>
      </c>
      <c r="G254">
        <f>IF(Inventory!A254="","",Inventory!Z254)</f>
        <v/>
      </c>
      <c r="H254">
        <f>IF(Inventory!A254="","",Inventory!Y254)</f>
        <v/>
      </c>
      <c r="I254">
        <f>IF(Inventory!A254="","",Inventory!W254)</f>
        <v/>
      </c>
      <c r="J254">
        <f>IF(Inventory!A254="","",Inventory!AA254)</f>
        <v/>
      </c>
    </row>
    <row r="255">
      <c r="A255">
        <f>IF(Inventory!A255="","",Inventory!A255)</f>
        <v/>
      </c>
      <c r="B255">
        <f>IF(Inventory!A255="","",Inventory!B255)</f>
        <v/>
      </c>
      <c r="C255">
        <f>IF(Inventory!A255="","",Inventory!C255)</f>
        <v/>
      </c>
      <c r="D255">
        <f>IF(Inventory!A255="","",Inventory!D255)</f>
        <v/>
      </c>
      <c r="E255">
        <f>IF(Inventory!A255="","",Inventory!K255)</f>
        <v/>
      </c>
      <c r="F255">
        <f>IF(Inventory!A255="","",Inventory!I255)</f>
        <v/>
      </c>
      <c r="G255">
        <f>IF(Inventory!A255="","",Inventory!Z255)</f>
        <v/>
      </c>
      <c r="H255">
        <f>IF(Inventory!A255="","",Inventory!Y255)</f>
        <v/>
      </c>
      <c r="I255">
        <f>IF(Inventory!A255="","",Inventory!W255)</f>
        <v/>
      </c>
      <c r="J255">
        <f>IF(Inventory!A255="","",Inventory!AA255)</f>
        <v/>
      </c>
    </row>
    <row r="256">
      <c r="A256">
        <f>IF(Inventory!A256="","",Inventory!A256)</f>
        <v/>
      </c>
      <c r="B256">
        <f>IF(Inventory!A256="","",Inventory!B256)</f>
        <v/>
      </c>
      <c r="C256">
        <f>IF(Inventory!A256="","",Inventory!C256)</f>
        <v/>
      </c>
      <c r="D256">
        <f>IF(Inventory!A256="","",Inventory!D256)</f>
        <v/>
      </c>
      <c r="E256">
        <f>IF(Inventory!A256="","",Inventory!K256)</f>
        <v/>
      </c>
      <c r="F256">
        <f>IF(Inventory!A256="","",Inventory!I256)</f>
        <v/>
      </c>
      <c r="G256">
        <f>IF(Inventory!A256="","",Inventory!Z256)</f>
        <v/>
      </c>
      <c r="H256">
        <f>IF(Inventory!A256="","",Inventory!Y256)</f>
        <v/>
      </c>
      <c r="I256">
        <f>IF(Inventory!A256="","",Inventory!W256)</f>
        <v/>
      </c>
      <c r="J256">
        <f>IF(Inventory!A256="","",Inventory!AA256)</f>
        <v/>
      </c>
    </row>
    <row r="257">
      <c r="A257">
        <f>IF(Inventory!A257="","",Inventory!A257)</f>
        <v/>
      </c>
      <c r="B257">
        <f>IF(Inventory!A257="","",Inventory!B257)</f>
        <v/>
      </c>
      <c r="C257">
        <f>IF(Inventory!A257="","",Inventory!C257)</f>
        <v/>
      </c>
      <c r="D257">
        <f>IF(Inventory!A257="","",Inventory!D257)</f>
        <v/>
      </c>
      <c r="E257">
        <f>IF(Inventory!A257="","",Inventory!K257)</f>
        <v/>
      </c>
      <c r="F257">
        <f>IF(Inventory!A257="","",Inventory!I257)</f>
        <v/>
      </c>
      <c r="G257">
        <f>IF(Inventory!A257="","",Inventory!Z257)</f>
        <v/>
      </c>
      <c r="H257">
        <f>IF(Inventory!A257="","",Inventory!Y257)</f>
        <v/>
      </c>
      <c r="I257">
        <f>IF(Inventory!A257="","",Inventory!W257)</f>
        <v/>
      </c>
      <c r="J257">
        <f>IF(Inventory!A257="","",Inventory!AA257)</f>
        <v/>
      </c>
    </row>
    <row r="258">
      <c r="A258">
        <f>IF(Inventory!A258="","",Inventory!A258)</f>
        <v/>
      </c>
      <c r="B258">
        <f>IF(Inventory!A258="","",Inventory!B258)</f>
        <v/>
      </c>
      <c r="C258">
        <f>IF(Inventory!A258="","",Inventory!C258)</f>
        <v/>
      </c>
      <c r="D258">
        <f>IF(Inventory!A258="","",Inventory!D258)</f>
        <v/>
      </c>
      <c r="E258">
        <f>IF(Inventory!A258="","",Inventory!K258)</f>
        <v/>
      </c>
      <c r="F258">
        <f>IF(Inventory!A258="","",Inventory!I258)</f>
        <v/>
      </c>
      <c r="G258">
        <f>IF(Inventory!A258="","",Inventory!Z258)</f>
        <v/>
      </c>
      <c r="H258">
        <f>IF(Inventory!A258="","",Inventory!Y258)</f>
        <v/>
      </c>
      <c r="I258">
        <f>IF(Inventory!A258="","",Inventory!W258)</f>
        <v/>
      </c>
      <c r="J258">
        <f>IF(Inventory!A258="","",Inventory!AA258)</f>
        <v/>
      </c>
    </row>
    <row r="259">
      <c r="A259">
        <f>IF(Inventory!A259="","",Inventory!A259)</f>
        <v/>
      </c>
      <c r="B259">
        <f>IF(Inventory!A259="","",Inventory!B259)</f>
        <v/>
      </c>
      <c r="C259">
        <f>IF(Inventory!A259="","",Inventory!C259)</f>
        <v/>
      </c>
      <c r="D259">
        <f>IF(Inventory!A259="","",Inventory!D259)</f>
        <v/>
      </c>
      <c r="E259">
        <f>IF(Inventory!A259="","",Inventory!K259)</f>
        <v/>
      </c>
      <c r="F259">
        <f>IF(Inventory!A259="","",Inventory!I259)</f>
        <v/>
      </c>
      <c r="G259">
        <f>IF(Inventory!A259="","",Inventory!Z259)</f>
        <v/>
      </c>
      <c r="H259">
        <f>IF(Inventory!A259="","",Inventory!Y259)</f>
        <v/>
      </c>
      <c r="I259">
        <f>IF(Inventory!A259="","",Inventory!W259)</f>
        <v/>
      </c>
      <c r="J259">
        <f>IF(Inventory!A259="","",Inventory!AA259)</f>
        <v/>
      </c>
    </row>
    <row r="260">
      <c r="A260">
        <f>IF(Inventory!A260="","",Inventory!A260)</f>
        <v/>
      </c>
      <c r="B260">
        <f>IF(Inventory!A260="","",Inventory!B260)</f>
        <v/>
      </c>
      <c r="C260">
        <f>IF(Inventory!A260="","",Inventory!C260)</f>
        <v/>
      </c>
      <c r="D260">
        <f>IF(Inventory!A260="","",Inventory!D260)</f>
        <v/>
      </c>
      <c r="E260">
        <f>IF(Inventory!A260="","",Inventory!K260)</f>
        <v/>
      </c>
      <c r="F260">
        <f>IF(Inventory!A260="","",Inventory!I260)</f>
        <v/>
      </c>
      <c r="G260">
        <f>IF(Inventory!A260="","",Inventory!Z260)</f>
        <v/>
      </c>
      <c r="H260">
        <f>IF(Inventory!A260="","",Inventory!Y260)</f>
        <v/>
      </c>
      <c r="I260">
        <f>IF(Inventory!A260="","",Inventory!W260)</f>
        <v/>
      </c>
      <c r="J260">
        <f>IF(Inventory!A260="","",Inventory!AA260)</f>
        <v/>
      </c>
    </row>
    <row r="261">
      <c r="A261">
        <f>IF(Inventory!A261="","",Inventory!A261)</f>
        <v/>
      </c>
      <c r="B261">
        <f>IF(Inventory!A261="","",Inventory!B261)</f>
        <v/>
      </c>
      <c r="C261">
        <f>IF(Inventory!A261="","",Inventory!C261)</f>
        <v/>
      </c>
      <c r="D261">
        <f>IF(Inventory!A261="","",Inventory!D261)</f>
        <v/>
      </c>
      <c r="E261">
        <f>IF(Inventory!A261="","",Inventory!K261)</f>
        <v/>
      </c>
      <c r="F261">
        <f>IF(Inventory!A261="","",Inventory!I261)</f>
        <v/>
      </c>
      <c r="G261">
        <f>IF(Inventory!A261="","",Inventory!Z261)</f>
        <v/>
      </c>
      <c r="H261">
        <f>IF(Inventory!A261="","",Inventory!Y261)</f>
        <v/>
      </c>
      <c r="I261">
        <f>IF(Inventory!A261="","",Inventory!W261)</f>
        <v/>
      </c>
      <c r="J261">
        <f>IF(Inventory!A261="","",Inventory!AA261)</f>
        <v/>
      </c>
    </row>
    <row r="262">
      <c r="A262">
        <f>IF(Inventory!A262="","",Inventory!A262)</f>
        <v/>
      </c>
      <c r="B262">
        <f>IF(Inventory!A262="","",Inventory!B262)</f>
        <v/>
      </c>
      <c r="C262">
        <f>IF(Inventory!A262="","",Inventory!C262)</f>
        <v/>
      </c>
      <c r="D262">
        <f>IF(Inventory!A262="","",Inventory!D262)</f>
        <v/>
      </c>
      <c r="E262">
        <f>IF(Inventory!A262="","",Inventory!K262)</f>
        <v/>
      </c>
      <c r="F262">
        <f>IF(Inventory!A262="","",Inventory!I262)</f>
        <v/>
      </c>
      <c r="G262">
        <f>IF(Inventory!A262="","",Inventory!Z262)</f>
        <v/>
      </c>
      <c r="H262">
        <f>IF(Inventory!A262="","",Inventory!Y262)</f>
        <v/>
      </c>
      <c r="I262">
        <f>IF(Inventory!A262="","",Inventory!W262)</f>
        <v/>
      </c>
      <c r="J262">
        <f>IF(Inventory!A262="","",Inventory!AA262)</f>
        <v/>
      </c>
    </row>
    <row r="263">
      <c r="A263">
        <f>IF(Inventory!A263="","",Inventory!A263)</f>
        <v/>
      </c>
      <c r="B263">
        <f>IF(Inventory!A263="","",Inventory!B263)</f>
        <v/>
      </c>
      <c r="C263">
        <f>IF(Inventory!A263="","",Inventory!C263)</f>
        <v/>
      </c>
      <c r="D263">
        <f>IF(Inventory!A263="","",Inventory!D263)</f>
        <v/>
      </c>
      <c r="E263">
        <f>IF(Inventory!A263="","",Inventory!K263)</f>
        <v/>
      </c>
      <c r="F263">
        <f>IF(Inventory!A263="","",Inventory!I263)</f>
        <v/>
      </c>
      <c r="G263">
        <f>IF(Inventory!A263="","",Inventory!Z263)</f>
        <v/>
      </c>
      <c r="H263">
        <f>IF(Inventory!A263="","",Inventory!Y263)</f>
        <v/>
      </c>
      <c r="I263">
        <f>IF(Inventory!A263="","",Inventory!W263)</f>
        <v/>
      </c>
      <c r="J263">
        <f>IF(Inventory!A263="","",Inventory!AA263)</f>
        <v/>
      </c>
    </row>
    <row r="264">
      <c r="A264">
        <f>IF(Inventory!A264="","",Inventory!A264)</f>
        <v/>
      </c>
      <c r="B264">
        <f>IF(Inventory!A264="","",Inventory!B264)</f>
        <v/>
      </c>
      <c r="C264">
        <f>IF(Inventory!A264="","",Inventory!C264)</f>
        <v/>
      </c>
      <c r="D264">
        <f>IF(Inventory!A264="","",Inventory!D264)</f>
        <v/>
      </c>
      <c r="E264">
        <f>IF(Inventory!A264="","",Inventory!K264)</f>
        <v/>
      </c>
      <c r="F264">
        <f>IF(Inventory!A264="","",Inventory!I264)</f>
        <v/>
      </c>
      <c r="G264">
        <f>IF(Inventory!A264="","",Inventory!Z264)</f>
        <v/>
      </c>
      <c r="H264">
        <f>IF(Inventory!A264="","",Inventory!Y264)</f>
        <v/>
      </c>
      <c r="I264">
        <f>IF(Inventory!A264="","",Inventory!W264)</f>
        <v/>
      </c>
      <c r="J264">
        <f>IF(Inventory!A264="","",Inventory!AA264)</f>
        <v/>
      </c>
    </row>
    <row r="265">
      <c r="A265">
        <f>IF(Inventory!A265="","",Inventory!A265)</f>
        <v/>
      </c>
      <c r="B265">
        <f>IF(Inventory!A265="","",Inventory!B265)</f>
        <v/>
      </c>
      <c r="C265">
        <f>IF(Inventory!A265="","",Inventory!C265)</f>
        <v/>
      </c>
      <c r="D265">
        <f>IF(Inventory!A265="","",Inventory!D265)</f>
        <v/>
      </c>
      <c r="E265">
        <f>IF(Inventory!A265="","",Inventory!K265)</f>
        <v/>
      </c>
      <c r="F265">
        <f>IF(Inventory!A265="","",Inventory!I265)</f>
        <v/>
      </c>
      <c r="G265">
        <f>IF(Inventory!A265="","",Inventory!Z265)</f>
        <v/>
      </c>
      <c r="H265">
        <f>IF(Inventory!A265="","",Inventory!Y265)</f>
        <v/>
      </c>
      <c r="I265">
        <f>IF(Inventory!A265="","",Inventory!W265)</f>
        <v/>
      </c>
      <c r="J265">
        <f>IF(Inventory!A265="","",Inventory!AA265)</f>
        <v/>
      </c>
    </row>
    <row r="266">
      <c r="A266">
        <f>IF(Inventory!A266="","",Inventory!A266)</f>
        <v/>
      </c>
      <c r="B266">
        <f>IF(Inventory!A266="","",Inventory!B266)</f>
        <v/>
      </c>
      <c r="C266">
        <f>IF(Inventory!A266="","",Inventory!C266)</f>
        <v/>
      </c>
      <c r="D266">
        <f>IF(Inventory!A266="","",Inventory!D266)</f>
        <v/>
      </c>
      <c r="E266">
        <f>IF(Inventory!A266="","",Inventory!K266)</f>
        <v/>
      </c>
      <c r="F266">
        <f>IF(Inventory!A266="","",Inventory!I266)</f>
        <v/>
      </c>
      <c r="G266">
        <f>IF(Inventory!A266="","",Inventory!Z266)</f>
        <v/>
      </c>
      <c r="H266">
        <f>IF(Inventory!A266="","",Inventory!Y266)</f>
        <v/>
      </c>
      <c r="I266">
        <f>IF(Inventory!A266="","",Inventory!W266)</f>
        <v/>
      </c>
      <c r="J266">
        <f>IF(Inventory!A266="","",Inventory!AA266)</f>
        <v/>
      </c>
    </row>
    <row r="267">
      <c r="A267">
        <f>IF(Inventory!A267="","",Inventory!A267)</f>
        <v/>
      </c>
      <c r="B267">
        <f>IF(Inventory!A267="","",Inventory!B267)</f>
        <v/>
      </c>
      <c r="C267">
        <f>IF(Inventory!A267="","",Inventory!C267)</f>
        <v/>
      </c>
      <c r="D267">
        <f>IF(Inventory!A267="","",Inventory!D267)</f>
        <v/>
      </c>
      <c r="E267">
        <f>IF(Inventory!A267="","",Inventory!K267)</f>
        <v/>
      </c>
      <c r="F267">
        <f>IF(Inventory!A267="","",Inventory!I267)</f>
        <v/>
      </c>
      <c r="G267">
        <f>IF(Inventory!A267="","",Inventory!Z267)</f>
        <v/>
      </c>
      <c r="H267">
        <f>IF(Inventory!A267="","",Inventory!Y267)</f>
        <v/>
      </c>
      <c r="I267">
        <f>IF(Inventory!A267="","",Inventory!W267)</f>
        <v/>
      </c>
      <c r="J267">
        <f>IF(Inventory!A267="","",Inventory!AA267)</f>
        <v/>
      </c>
    </row>
    <row r="268">
      <c r="A268">
        <f>IF(Inventory!A268="","",Inventory!A268)</f>
        <v/>
      </c>
      <c r="B268">
        <f>IF(Inventory!A268="","",Inventory!B268)</f>
        <v/>
      </c>
      <c r="C268">
        <f>IF(Inventory!A268="","",Inventory!C268)</f>
        <v/>
      </c>
      <c r="D268">
        <f>IF(Inventory!A268="","",Inventory!D268)</f>
        <v/>
      </c>
      <c r="E268">
        <f>IF(Inventory!A268="","",Inventory!K268)</f>
        <v/>
      </c>
      <c r="F268">
        <f>IF(Inventory!A268="","",Inventory!I268)</f>
        <v/>
      </c>
      <c r="G268">
        <f>IF(Inventory!A268="","",Inventory!Z268)</f>
        <v/>
      </c>
      <c r="H268">
        <f>IF(Inventory!A268="","",Inventory!Y268)</f>
        <v/>
      </c>
      <c r="I268">
        <f>IF(Inventory!A268="","",Inventory!W268)</f>
        <v/>
      </c>
      <c r="J268">
        <f>IF(Inventory!A268="","",Inventory!AA268)</f>
        <v/>
      </c>
    </row>
    <row r="269">
      <c r="A269">
        <f>IF(Inventory!A269="","",Inventory!A269)</f>
        <v/>
      </c>
      <c r="B269">
        <f>IF(Inventory!A269="","",Inventory!B269)</f>
        <v/>
      </c>
      <c r="C269">
        <f>IF(Inventory!A269="","",Inventory!C269)</f>
        <v/>
      </c>
      <c r="D269">
        <f>IF(Inventory!A269="","",Inventory!D269)</f>
        <v/>
      </c>
      <c r="E269">
        <f>IF(Inventory!A269="","",Inventory!K269)</f>
        <v/>
      </c>
      <c r="F269">
        <f>IF(Inventory!A269="","",Inventory!I269)</f>
        <v/>
      </c>
      <c r="G269">
        <f>IF(Inventory!A269="","",Inventory!Z269)</f>
        <v/>
      </c>
      <c r="H269">
        <f>IF(Inventory!A269="","",Inventory!Y269)</f>
        <v/>
      </c>
      <c r="I269">
        <f>IF(Inventory!A269="","",Inventory!W269)</f>
        <v/>
      </c>
      <c r="J269">
        <f>IF(Inventory!A269="","",Inventory!AA269)</f>
        <v/>
      </c>
    </row>
    <row r="270">
      <c r="A270">
        <f>IF(Inventory!A270="","",Inventory!A270)</f>
        <v/>
      </c>
      <c r="B270">
        <f>IF(Inventory!A270="","",Inventory!B270)</f>
        <v/>
      </c>
      <c r="C270">
        <f>IF(Inventory!A270="","",Inventory!C270)</f>
        <v/>
      </c>
      <c r="D270">
        <f>IF(Inventory!A270="","",Inventory!D270)</f>
        <v/>
      </c>
      <c r="E270">
        <f>IF(Inventory!A270="","",Inventory!K270)</f>
        <v/>
      </c>
      <c r="F270">
        <f>IF(Inventory!A270="","",Inventory!I270)</f>
        <v/>
      </c>
      <c r="G270">
        <f>IF(Inventory!A270="","",Inventory!Z270)</f>
        <v/>
      </c>
      <c r="H270">
        <f>IF(Inventory!A270="","",Inventory!Y270)</f>
        <v/>
      </c>
      <c r="I270">
        <f>IF(Inventory!A270="","",Inventory!W270)</f>
        <v/>
      </c>
      <c r="J270">
        <f>IF(Inventory!A270="","",Inventory!AA270)</f>
        <v/>
      </c>
    </row>
    <row r="271">
      <c r="A271">
        <f>IF(Inventory!A271="","",Inventory!A271)</f>
        <v/>
      </c>
      <c r="B271">
        <f>IF(Inventory!A271="","",Inventory!B271)</f>
        <v/>
      </c>
      <c r="C271">
        <f>IF(Inventory!A271="","",Inventory!C271)</f>
        <v/>
      </c>
      <c r="D271">
        <f>IF(Inventory!A271="","",Inventory!D271)</f>
        <v/>
      </c>
      <c r="E271">
        <f>IF(Inventory!A271="","",Inventory!K271)</f>
        <v/>
      </c>
      <c r="F271">
        <f>IF(Inventory!A271="","",Inventory!I271)</f>
        <v/>
      </c>
      <c r="G271">
        <f>IF(Inventory!A271="","",Inventory!Z271)</f>
        <v/>
      </c>
      <c r="H271">
        <f>IF(Inventory!A271="","",Inventory!Y271)</f>
        <v/>
      </c>
      <c r="I271">
        <f>IF(Inventory!A271="","",Inventory!W271)</f>
        <v/>
      </c>
      <c r="J271">
        <f>IF(Inventory!A271="","",Inventory!AA271)</f>
        <v/>
      </c>
    </row>
    <row r="272">
      <c r="A272">
        <f>IF(Inventory!A272="","",Inventory!A272)</f>
        <v/>
      </c>
      <c r="B272">
        <f>IF(Inventory!A272="","",Inventory!B272)</f>
        <v/>
      </c>
      <c r="C272">
        <f>IF(Inventory!A272="","",Inventory!C272)</f>
        <v/>
      </c>
      <c r="D272">
        <f>IF(Inventory!A272="","",Inventory!D272)</f>
        <v/>
      </c>
      <c r="E272">
        <f>IF(Inventory!A272="","",Inventory!K272)</f>
        <v/>
      </c>
      <c r="F272">
        <f>IF(Inventory!A272="","",Inventory!I272)</f>
        <v/>
      </c>
      <c r="G272">
        <f>IF(Inventory!A272="","",Inventory!Z272)</f>
        <v/>
      </c>
      <c r="H272">
        <f>IF(Inventory!A272="","",Inventory!Y272)</f>
        <v/>
      </c>
      <c r="I272">
        <f>IF(Inventory!A272="","",Inventory!W272)</f>
        <v/>
      </c>
      <c r="J272">
        <f>IF(Inventory!A272="","",Inventory!AA272)</f>
        <v/>
      </c>
    </row>
    <row r="273">
      <c r="A273">
        <f>IF(Inventory!A273="","",Inventory!A273)</f>
        <v/>
      </c>
      <c r="B273">
        <f>IF(Inventory!A273="","",Inventory!B273)</f>
        <v/>
      </c>
      <c r="C273">
        <f>IF(Inventory!A273="","",Inventory!C273)</f>
        <v/>
      </c>
      <c r="D273">
        <f>IF(Inventory!A273="","",Inventory!D273)</f>
        <v/>
      </c>
      <c r="E273">
        <f>IF(Inventory!A273="","",Inventory!K273)</f>
        <v/>
      </c>
      <c r="F273">
        <f>IF(Inventory!A273="","",Inventory!I273)</f>
        <v/>
      </c>
      <c r="G273">
        <f>IF(Inventory!A273="","",Inventory!Z273)</f>
        <v/>
      </c>
      <c r="H273">
        <f>IF(Inventory!A273="","",Inventory!Y273)</f>
        <v/>
      </c>
      <c r="I273">
        <f>IF(Inventory!A273="","",Inventory!W273)</f>
        <v/>
      </c>
      <c r="J273">
        <f>IF(Inventory!A273="","",Inventory!AA273)</f>
        <v/>
      </c>
    </row>
    <row r="274">
      <c r="A274">
        <f>IF(Inventory!A274="","",Inventory!A274)</f>
        <v/>
      </c>
      <c r="B274">
        <f>IF(Inventory!A274="","",Inventory!B274)</f>
        <v/>
      </c>
      <c r="C274">
        <f>IF(Inventory!A274="","",Inventory!C274)</f>
        <v/>
      </c>
      <c r="D274">
        <f>IF(Inventory!A274="","",Inventory!D274)</f>
        <v/>
      </c>
      <c r="E274">
        <f>IF(Inventory!A274="","",Inventory!K274)</f>
        <v/>
      </c>
      <c r="F274">
        <f>IF(Inventory!A274="","",Inventory!I274)</f>
        <v/>
      </c>
      <c r="G274">
        <f>IF(Inventory!A274="","",Inventory!Z274)</f>
        <v/>
      </c>
      <c r="H274">
        <f>IF(Inventory!A274="","",Inventory!Y274)</f>
        <v/>
      </c>
      <c r="I274">
        <f>IF(Inventory!A274="","",Inventory!W274)</f>
        <v/>
      </c>
      <c r="J274">
        <f>IF(Inventory!A274="","",Inventory!AA274)</f>
        <v/>
      </c>
    </row>
    <row r="275">
      <c r="A275">
        <f>IF(Inventory!A275="","",Inventory!A275)</f>
        <v/>
      </c>
      <c r="B275">
        <f>IF(Inventory!A275="","",Inventory!B275)</f>
        <v/>
      </c>
      <c r="C275">
        <f>IF(Inventory!A275="","",Inventory!C275)</f>
        <v/>
      </c>
      <c r="D275">
        <f>IF(Inventory!A275="","",Inventory!D275)</f>
        <v/>
      </c>
      <c r="E275">
        <f>IF(Inventory!A275="","",Inventory!K275)</f>
        <v/>
      </c>
      <c r="F275">
        <f>IF(Inventory!A275="","",Inventory!I275)</f>
        <v/>
      </c>
      <c r="G275">
        <f>IF(Inventory!A275="","",Inventory!Z275)</f>
        <v/>
      </c>
      <c r="H275">
        <f>IF(Inventory!A275="","",Inventory!Y275)</f>
        <v/>
      </c>
      <c r="I275">
        <f>IF(Inventory!A275="","",Inventory!W275)</f>
        <v/>
      </c>
      <c r="J275">
        <f>IF(Inventory!A275="","",Inventory!AA275)</f>
        <v/>
      </c>
    </row>
    <row r="276">
      <c r="A276">
        <f>IF(Inventory!A276="","",Inventory!A276)</f>
        <v/>
      </c>
      <c r="B276">
        <f>IF(Inventory!A276="","",Inventory!B276)</f>
        <v/>
      </c>
      <c r="C276">
        <f>IF(Inventory!A276="","",Inventory!C276)</f>
        <v/>
      </c>
      <c r="D276">
        <f>IF(Inventory!A276="","",Inventory!D276)</f>
        <v/>
      </c>
      <c r="E276">
        <f>IF(Inventory!A276="","",Inventory!K276)</f>
        <v/>
      </c>
      <c r="F276">
        <f>IF(Inventory!A276="","",Inventory!I276)</f>
        <v/>
      </c>
      <c r="G276">
        <f>IF(Inventory!A276="","",Inventory!Z276)</f>
        <v/>
      </c>
      <c r="H276">
        <f>IF(Inventory!A276="","",Inventory!Y276)</f>
        <v/>
      </c>
      <c r="I276">
        <f>IF(Inventory!A276="","",Inventory!W276)</f>
        <v/>
      </c>
      <c r="J276">
        <f>IF(Inventory!A276="","",Inventory!AA276)</f>
        <v/>
      </c>
    </row>
    <row r="277">
      <c r="A277">
        <f>IF(Inventory!A277="","",Inventory!A277)</f>
        <v/>
      </c>
      <c r="B277">
        <f>IF(Inventory!A277="","",Inventory!B277)</f>
        <v/>
      </c>
      <c r="C277">
        <f>IF(Inventory!A277="","",Inventory!C277)</f>
        <v/>
      </c>
      <c r="D277">
        <f>IF(Inventory!A277="","",Inventory!D277)</f>
        <v/>
      </c>
      <c r="E277">
        <f>IF(Inventory!A277="","",Inventory!K277)</f>
        <v/>
      </c>
      <c r="F277">
        <f>IF(Inventory!A277="","",Inventory!I277)</f>
        <v/>
      </c>
      <c r="G277">
        <f>IF(Inventory!A277="","",Inventory!Z277)</f>
        <v/>
      </c>
      <c r="H277">
        <f>IF(Inventory!A277="","",Inventory!Y277)</f>
        <v/>
      </c>
      <c r="I277">
        <f>IF(Inventory!A277="","",Inventory!W277)</f>
        <v/>
      </c>
      <c r="J277">
        <f>IF(Inventory!A277="","",Inventory!AA277)</f>
        <v/>
      </c>
    </row>
    <row r="278">
      <c r="A278">
        <f>IF(Inventory!A278="","",Inventory!A278)</f>
        <v/>
      </c>
      <c r="B278">
        <f>IF(Inventory!A278="","",Inventory!B278)</f>
        <v/>
      </c>
      <c r="C278">
        <f>IF(Inventory!A278="","",Inventory!C278)</f>
        <v/>
      </c>
      <c r="D278">
        <f>IF(Inventory!A278="","",Inventory!D278)</f>
        <v/>
      </c>
      <c r="E278">
        <f>IF(Inventory!A278="","",Inventory!K278)</f>
        <v/>
      </c>
      <c r="F278">
        <f>IF(Inventory!A278="","",Inventory!I278)</f>
        <v/>
      </c>
      <c r="G278">
        <f>IF(Inventory!A278="","",Inventory!Z278)</f>
        <v/>
      </c>
      <c r="H278">
        <f>IF(Inventory!A278="","",Inventory!Y278)</f>
        <v/>
      </c>
      <c r="I278">
        <f>IF(Inventory!A278="","",Inventory!W278)</f>
        <v/>
      </c>
      <c r="J278">
        <f>IF(Inventory!A278="","",Inventory!AA278)</f>
        <v/>
      </c>
    </row>
    <row r="279">
      <c r="A279">
        <f>IF(Inventory!A279="","",Inventory!A279)</f>
        <v/>
      </c>
      <c r="B279">
        <f>IF(Inventory!A279="","",Inventory!B279)</f>
        <v/>
      </c>
      <c r="C279">
        <f>IF(Inventory!A279="","",Inventory!C279)</f>
        <v/>
      </c>
      <c r="D279">
        <f>IF(Inventory!A279="","",Inventory!D279)</f>
        <v/>
      </c>
      <c r="E279">
        <f>IF(Inventory!A279="","",Inventory!K279)</f>
        <v/>
      </c>
      <c r="F279">
        <f>IF(Inventory!A279="","",Inventory!I279)</f>
        <v/>
      </c>
      <c r="G279">
        <f>IF(Inventory!A279="","",Inventory!Z279)</f>
        <v/>
      </c>
      <c r="H279">
        <f>IF(Inventory!A279="","",Inventory!Y279)</f>
        <v/>
      </c>
      <c r="I279">
        <f>IF(Inventory!A279="","",Inventory!W279)</f>
        <v/>
      </c>
      <c r="J279">
        <f>IF(Inventory!A279="","",Inventory!AA279)</f>
        <v/>
      </c>
    </row>
    <row r="280">
      <c r="A280">
        <f>IF(Inventory!A280="","",Inventory!A280)</f>
        <v/>
      </c>
      <c r="B280">
        <f>IF(Inventory!A280="","",Inventory!B280)</f>
        <v/>
      </c>
      <c r="C280">
        <f>IF(Inventory!A280="","",Inventory!C280)</f>
        <v/>
      </c>
      <c r="D280">
        <f>IF(Inventory!A280="","",Inventory!D280)</f>
        <v/>
      </c>
      <c r="E280">
        <f>IF(Inventory!A280="","",Inventory!K280)</f>
        <v/>
      </c>
      <c r="F280">
        <f>IF(Inventory!A280="","",Inventory!I280)</f>
        <v/>
      </c>
      <c r="G280">
        <f>IF(Inventory!A280="","",Inventory!Z280)</f>
        <v/>
      </c>
      <c r="H280">
        <f>IF(Inventory!A280="","",Inventory!Y280)</f>
        <v/>
      </c>
      <c r="I280">
        <f>IF(Inventory!A280="","",Inventory!W280)</f>
        <v/>
      </c>
      <c r="J280">
        <f>IF(Inventory!A280="","",Inventory!AA280)</f>
        <v/>
      </c>
    </row>
    <row r="281">
      <c r="A281">
        <f>IF(Inventory!A281="","",Inventory!A281)</f>
        <v/>
      </c>
      <c r="B281">
        <f>IF(Inventory!A281="","",Inventory!B281)</f>
        <v/>
      </c>
      <c r="C281">
        <f>IF(Inventory!A281="","",Inventory!C281)</f>
        <v/>
      </c>
      <c r="D281">
        <f>IF(Inventory!A281="","",Inventory!D281)</f>
        <v/>
      </c>
      <c r="E281">
        <f>IF(Inventory!A281="","",Inventory!K281)</f>
        <v/>
      </c>
      <c r="F281">
        <f>IF(Inventory!A281="","",Inventory!I281)</f>
        <v/>
      </c>
      <c r="G281">
        <f>IF(Inventory!A281="","",Inventory!Z281)</f>
        <v/>
      </c>
      <c r="H281">
        <f>IF(Inventory!A281="","",Inventory!Y281)</f>
        <v/>
      </c>
      <c r="I281">
        <f>IF(Inventory!A281="","",Inventory!W281)</f>
        <v/>
      </c>
      <c r="J281">
        <f>IF(Inventory!A281="","",Inventory!AA281)</f>
        <v/>
      </c>
    </row>
    <row r="282">
      <c r="A282">
        <f>IF(Inventory!A282="","",Inventory!A282)</f>
        <v/>
      </c>
      <c r="B282">
        <f>IF(Inventory!A282="","",Inventory!B282)</f>
        <v/>
      </c>
      <c r="C282">
        <f>IF(Inventory!A282="","",Inventory!C282)</f>
        <v/>
      </c>
      <c r="D282">
        <f>IF(Inventory!A282="","",Inventory!D282)</f>
        <v/>
      </c>
      <c r="E282">
        <f>IF(Inventory!A282="","",Inventory!K282)</f>
        <v/>
      </c>
      <c r="F282">
        <f>IF(Inventory!A282="","",Inventory!I282)</f>
        <v/>
      </c>
      <c r="G282">
        <f>IF(Inventory!A282="","",Inventory!Z282)</f>
        <v/>
      </c>
      <c r="H282">
        <f>IF(Inventory!A282="","",Inventory!Y282)</f>
        <v/>
      </c>
      <c r="I282">
        <f>IF(Inventory!A282="","",Inventory!W282)</f>
        <v/>
      </c>
      <c r="J282">
        <f>IF(Inventory!A282="","",Inventory!AA282)</f>
        <v/>
      </c>
    </row>
    <row r="283">
      <c r="A283">
        <f>IF(Inventory!A283="","",Inventory!A283)</f>
        <v/>
      </c>
      <c r="B283">
        <f>IF(Inventory!A283="","",Inventory!B283)</f>
        <v/>
      </c>
      <c r="C283">
        <f>IF(Inventory!A283="","",Inventory!C283)</f>
        <v/>
      </c>
      <c r="D283">
        <f>IF(Inventory!A283="","",Inventory!D283)</f>
        <v/>
      </c>
      <c r="E283">
        <f>IF(Inventory!A283="","",Inventory!K283)</f>
        <v/>
      </c>
      <c r="F283">
        <f>IF(Inventory!A283="","",Inventory!I283)</f>
        <v/>
      </c>
      <c r="G283">
        <f>IF(Inventory!A283="","",Inventory!Z283)</f>
        <v/>
      </c>
      <c r="H283">
        <f>IF(Inventory!A283="","",Inventory!Y283)</f>
        <v/>
      </c>
      <c r="I283">
        <f>IF(Inventory!A283="","",Inventory!W283)</f>
        <v/>
      </c>
      <c r="J283">
        <f>IF(Inventory!A283="","",Inventory!AA283)</f>
        <v/>
      </c>
    </row>
    <row r="284">
      <c r="A284">
        <f>IF(Inventory!A284="","",Inventory!A284)</f>
        <v/>
      </c>
      <c r="B284">
        <f>IF(Inventory!A284="","",Inventory!B284)</f>
        <v/>
      </c>
      <c r="C284">
        <f>IF(Inventory!A284="","",Inventory!C284)</f>
        <v/>
      </c>
      <c r="D284">
        <f>IF(Inventory!A284="","",Inventory!D284)</f>
        <v/>
      </c>
      <c r="E284">
        <f>IF(Inventory!A284="","",Inventory!K284)</f>
        <v/>
      </c>
      <c r="F284">
        <f>IF(Inventory!A284="","",Inventory!I284)</f>
        <v/>
      </c>
      <c r="G284">
        <f>IF(Inventory!A284="","",Inventory!Z284)</f>
        <v/>
      </c>
      <c r="H284">
        <f>IF(Inventory!A284="","",Inventory!Y284)</f>
        <v/>
      </c>
      <c r="I284">
        <f>IF(Inventory!A284="","",Inventory!W284)</f>
        <v/>
      </c>
      <c r="J284">
        <f>IF(Inventory!A284="","",Inventory!AA284)</f>
        <v/>
      </c>
    </row>
    <row r="285">
      <c r="A285">
        <f>IF(Inventory!A285="","",Inventory!A285)</f>
        <v/>
      </c>
      <c r="B285">
        <f>IF(Inventory!A285="","",Inventory!B285)</f>
        <v/>
      </c>
      <c r="C285">
        <f>IF(Inventory!A285="","",Inventory!C285)</f>
        <v/>
      </c>
      <c r="D285">
        <f>IF(Inventory!A285="","",Inventory!D285)</f>
        <v/>
      </c>
      <c r="E285">
        <f>IF(Inventory!A285="","",Inventory!K285)</f>
        <v/>
      </c>
      <c r="F285">
        <f>IF(Inventory!A285="","",Inventory!I285)</f>
        <v/>
      </c>
      <c r="G285">
        <f>IF(Inventory!A285="","",Inventory!Z285)</f>
        <v/>
      </c>
      <c r="H285">
        <f>IF(Inventory!A285="","",Inventory!Y285)</f>
        <v/>
      </c>
      <c r="I285">
        <f>IF(Inventory!A285="","",Inventory!W285)</f>
        <v/>
      </c>
      <c r="J285">
        <f>IF(Inventory!A285="","",Inventory!AA285)</f>
        <v/>
      </c>
    </row>
    <row r="286">
      <c r="A286">
        <f>IF(Inventory!A286="","",Inventory!A286)</f>
        <v/>
      </c>
      <c r="B286">
        <f>IF(Inventory!A286="","",Inventory!B286)</f>
        <v/>
      </c>
      <c r="C286">
        <f>IF(Inventory!A286="","",Inventory!C286)</f>
        <v/>
      </c>
      <c r="D286">
        <f>IF(Inventory!A286="","",Inventory!D286)</f>
        <v/>
      </c>
      <c r="E286">
        <f>IF(Inventory!A286="","",Inventory!K286)</f>
        <v/>
      </c>
      <c r="F286">
        <f>IF(Inventory!A286="","",Inventory!I286)</f>
        <v/>
      </c>
      <c r="G286">
        <f>IF(Inventory!A286="","",Inventory!Z286)</f>
        <v/>
      </c>
      <c r="H286">
        <f>IF(Inventory!A286="","",Inventory!Y286)</f>
        <v/>
      </c>
      <c r="I286">
        <f>IF(Inventory!A286="","",Inventory!W286)</f>
        <v/>
      </c>
      <c r="J286">
        <f>IF(Inventory!A286="","",Inventory!AA286)</f>
        <v/>
      </c>
    </row>
    <row r="287">
      <c r="A287">
        <f>IF(Inventory!A287="","",Inventory!A287)</f>
        <v/>
      </c>
      <c r="B287">
        <f>IF(Inventory!A287="","",Inventory!B287)</f>
        <v/>
      </c>
      <c r="C287">
        <f>IF(Inventory!A287="","",Inventory!C287)</f>
        <v/>
      </c>
      <c r="D287">
        <f>IF(Inventory!A287="","",Inventory!D287)</f>
        <v/>
      </c>
      <c r="E287">
        <f>IF(Inventory!A287="","",Inventory!K287)</f>
        <v/>
      </c>
      <c r="F287">
        <f>IF(Inventory!A287="","",Inventory!I287)</f>
        <v/>
      </c>
      <c r="G287">
        <f>IF(Inventory!A287="","",Inventory!Z287)</f>
        <v/>
      </c>
      <c r="H287">
        <f>IF(Inventory!A287="","",Inventory!Y287)</f>
        <v/>
      </c>
      <c r="I287">
        <f>IF(Inventory!A287="","",Inventory!W287)</f>
        <v/>
      </c>
      <c r="J287">
        <f>IF(Inventory!A287="","",Inventory!AA287)</f>
        <v/>
      </c>
    </row>
    <row r="288">
      <c r="A288">
        <f>IF(Inventory!A288="","",Inventory!A288)</f>
        <v/>
      </c>
      <c r="B288">
        <f>IF(Inventory!A288="","",Inventory!B288)</f>
        <v/>
      </c>
      <c r="C288">
        <f>IF(Inventory!A288="","",Inventory!C288)</f>
        <v/>
      </c>
      <c r="D288">
        <f>IF(Inventory!A288="","",Inventory!D288)</f>
        <v/>
      </c>
      <c r="E288">
        <f>IF(Inventory!A288="","",Inventory!K288)</f>
        <v/>
      </c>
      <c r="F288">
        <f>IF(Inventory!A288="","",Inventory!I288)</f>
        <v/>
      </c>
      <c r="G288">
        <f>IF(Inventory!A288="","",Inventory!Z288)</f>
        <v/>
      </c>
      <c r="H288">
        <f>IF(Inventory!A288="","",Inventory!Y288)</f>
        <v/>
      </c>
      <c r="I288">
        <f>IF(Inventory!A288="","",Inventory!W288)</f>
        <v/>
      </c>
      <c r="J288">
        <f>IF(Inventory!A288="","",Inventory!AA288)</f>
        <v/>
      </c>
    </row>
    <row r="289">
      <c r="A289">
        <f>IF(Inventory!A289="","",Inventory!A289)</f>
        <v/>
      </c>
      <c r="B289">
        <f>IF(Inventory!A289="","",Inventory!B289)</f>
        <v/>
      </c>
      <c r="C289">
        <f>IF(Inventory!A289="","",Inventory!C289)</f>
        <v/>
      </c>
      <c r="D289">
        <f>IF(Inventory!A289="","",Inventory!D289)</f>
        <v/>
      </c>
      <c r="E289">
        <f>IF(Inventory!A289="","",Inventory!K289)</f>
        <v/>
      </c>
      <c r="F289">
        <f>IF(Inventory!A289="","",Inventory!I289)</f>
        <v/>
      </c>
      <c r="G289">
        <f>IF(Inventory!A289="","",Inventory!Z289)</f>
        <v/>
      </c>
      <c r="H289">
        <f>IF(Inventory!A289="","",Inventory!Y289)</f>
        <v/>
      </c>
      <c r="I289">
        <f>IF(Inventory!A289="","",Inventory!W289)</f>
        <v/>
      </c>
      <c r="J289">
        <f>IF(Inventory!A289="","",Inventory!AA289)</f>
        <v/>
      </c>
    </row>
    <row r="290">
      <c r="A290">
        <f>IF(Inventory!A290="","",Inventory!A290)</f>
        <v/>
      </c>
      <c r="B290">
        <f>IF(Inventory!A290="","",Inventory!B290)</f>
        <v/>
      </c>
      <c r="C290">
        <f>IF(Inventory!A290="","",Inventory!C290)</f>
        <v/>
      </c>
      <c r="D290">
        <f>IF(Inventory!A290="","",Inventory!D290)</f>
        <v/>
      </c>
      <c r="E290">
        <f>IF(Inventory!A290="","",Inventory!K290)</f>
        <v/>
      </c>
      <c r="F290">
        <f>IF(Inventory!A290="","",Inventory!I290)</f>
        <v/>
      </c>
      <c r="G290">
        <f>IF(Inventory!A290="","",Inventory!Z290)</f>
        <v/>
      </c>
      <c r="H290">
        <f>IF(Inventory!A290="","",Inventory!Y290)</f>
        <v/>
      </c>
      <c r="I290">
        <f>IF(Inventory!A290="","",Inventory!W290)</f>
        <v/>
      </c>
      <c r="J290">
        <f>IF(Inventory!A290="","",Inventory!AA290)</f>
        <v/>
      </c>
    </row>
    <row r="291">
      <c r="A291">
        <f>IF(Inventory!A291="","",Inventory!A291)</f>
        <v/>
      </c>
      <c r="B291">
        <f>IF(Inventory!A291="","",Inventory!B291)</f>
        <v/>
      </c>
      <c r="C291">
        <f>IF(Inventory!A291="","",Inventory!C291)</f>
        <v/>
      </c>
      <c r="D291">
        <f>IF(Inventory!A291="","",Inventory!D291)</f>
        <v/>
      </c>
      <c r="E291">
        <f>IF(Inventory!A291="","",Inventory!K291)</f>
        <v/>
      </c>
      <c r="F291">
        <f>IF(Inventory!A291="","",Inventory!I291)</f>
        <v/>
      </c>
      <c r="G291">
        <f>IF(Inventory!A291="","",Inventory!Z291)</f>
        <v/>
      </c>
      <c r="H291">
        <f>IF(Inventory!A291="","",Inventory!Y291)</f>
        <v/>
      </c>
      <c r="I291">
        <f>IF(Inventory!A291="","",Inventory!W291)</f>
        <v/>
      </c>
      <c r="J291">
        <f>IF(Inventory!A291="","",Inventory!AA291)</f>
        <v/>
      </c>
    </row>
    <row r="292">
      <c r="A292">
        <f>IF(Inventory!A292="","",Inventory!A292)</f>
        <v/>
      </c>
      <c r="B292">
        <f>IF(Inventory!A292="","",Inventory!B292)</f>
        <v/>
      </c>
      <c r="C292">
        <f>IF(Inventory!A292="","",Inventory!C292)</f>
        <v/>
      </c>
      <c r="D292">
        <f>IF(Inventory!A292="","",Inventory!D292)</f>
        <v/>
      </c>
      <c r="E292">
        <f>IF(Inventory!A292="","",Inventory!K292)</f>
        <v/>
      </c>
      <c r="F292">
        <f>IF(Inventory!A292="","",Inventory!I292)</f>
        <v/>
      </c>
      <c r="G292">
        <f>IF(Inventory!A292="","",Inventory!Z292)</f>
        <v/>
      </c>
      <c r="H292">
        <f>IF(Inventory!A292="","",Inventory!Y292)</f>
        <v/>
      </c>
      <c r="I292">
        <f>IF(Inventory!A292="","",Inventory!W292)</f>
        <v/>
      </c>
      <c r="J292">
        <f>IF(Inventory!A292="","",Inventory!AA292)</f>
        <v/>
      </c>
    </row>
    <row r="293">
      <c r="A293">
        <f>IF(Inventory!A293="","",Inventory!A293)</f>
        <v/>
      </c>
      <c r="B293">
        <f>IF(Inventory!A293="","",Inventory!B293)</f>
        <v/>
      </c>
      <c r="C293">
        <f>IF(Inventory!A293="","",Inventory!C293)</f>
        <v/>
      </c>
      <c r="D293">
        <f>IF(Inventory!A293="","",Inventory!D293)</f>
        <v/>
      </c>
      <c r="E293">
        <f>IF(Inventory!A293="","",Inventory!K293)</f>
        <v/>
      </c>
      <c r="F293">
        <f>IF(Inventory!A293="","",Inventory!I293)</f>
        <v/>
      </c>
      <c r="G293">
        <f>IF(Inventory!A293="","",Inventory!Z293)</f>
        <v/>
      </c>
      <c r="H293">
        <f>IF(Inventory!A293="","",Inventory!Y293)</f>
        <v/>
      </c>
      <c r="I293">
        <f>IF(Inventory!A293="","",Inventory!W293)</f>
        <v/>
      </c>
      <c r="J293">
        <f>IF(Inventory!A293="","",Inventory!AA293)</f>
        <v/>
      </c>
    </row>
    <row r="294">
      <c r="A294">
        <f>IF(Inventory!A294="","",Inventory!A294)</f>
        <v/>
      </c>
      <c r="B294">
        <f>IF(Inventory!A294="","",Inventory!B294)</f>
        <v/>
      </c>
      <c r="C294">
        <f>IF(Inventory!A294="","",Inventory!C294)</f>
        <v/>
      </c>
      <c r="D294">
        <f>IF(Inventory!A294="","",Inventory!D294)</f>
        <v/>
      </c>
      <c r="E294">
        <f>IF(Inventory!A294="","",Inventory!K294)</f>
        <v/>
      </c>
      <c r="F294">
        <f>IF(Inventory!A294="","",Inventory!I294)</f>
        <v/>
      </c>
      <c r="G294">
        <f>IF(Inventory!A294="","",Inventory!Z294)</f>
        <v/>
      </c>
      <c r="H294">
        <f>IF(Inventory!A294="","",Inventory!Y294)</f>
        <v/>
      </c>
      <c r="I294">
        <f>IF(Inventory!A294="","",Inventory!W294)</f>
        <v/>
      </c>
      <c r="J294">
        <f>IF(Inventory!A294="","",Inventory!AA294)</f>
        <v/>
      </c>
    </row>
    <row r="295">
      <c r="A295">
        <f>IF(Inventory!A295="","",Inventory!A295)</f>
        <v/>
      </c>
      <c r="B295">
        <f>IF(Inventory!A295="","",Inventory!B295)</f>
        <v/>
      </c>
      <c r="C295">
        <f>IF(Inventory!A295="","",Inventory!C295)</f>
        <v/>
      </c>
      <c r="D295">
        <f>IF(Inventory!A295="","",Inventory!D295)</f>
        <v/>
      </c>
      <c r="E295">
        <f>IF(Inventory!A295="","",Inventory!K295)</f>
        <v/>
      </c>
      <c r="F295">
        <f>IF(Inventory!A295="","",Inventory!I295)</f>
        <v/>
      </c>
      <c r="G295">
        <f>IF(Inventory!A295="","",Inventory!Z295)</f>
        <v/>
      </c>
      <c r="H295">
        <f>IF(Inventory!A295="","",Inventory!Y295)</f>
        <v/>
      </c>
      <c r="I295">
        <f>IF(Inventory!A295="","",Inventory!W295)</f>
        <v/>
      </c>
      <c r="J295">
        <f>IF(Inventory!A295="","",Inventory!AA295)</f>
        <v/>
      </c>
    </row>
    <row r="296">
      <c r="A296">
        <f>IF(Inventory!A296="","",Inventory!A296)</f>
        <v/>
      </c>
      <c r="B296">
        <f>IF(Inventory!A296="","",Inventory!B296)</f>
        <v/>
      </c>
      <c r="C296">
        <f>IF(Inventory!A296="","",Inventory!C296)</f>
        <v/>
      </c>
      <c r="D296">
        <f>IF(Inventory!A296="","",Inventory!D296)</f>
        <v/>
      </c>
      <c r="E296">
        <f>IF(Inventory!A296="","",Inventory!K296)</f>
        <v/>
      </c>
      <c r="F296">
        <f>IF(Inventory!A296="","",Inventory!I296)</f>
        <v/>
      </c>
      <c r="G296">
        <f>IF(Inventory!A296="","",Inventory!Z296)</f>
        <v/>
      </c>
      <c r="H296">
        <f>IF(Inventory!A296="","",Inventory!Y296)</f>
        <v/>
      </c>
      <c r="I296">
        <f>IF(Inventory!A296="","",Inventory!W296)</f>
        <v/>
      </c>
      <c r="J296">
        <f>IF(Inventory!A296="","",Inventory!AA296)</f>
        <v/>
      </c>
    </row>
    <row r="297">
      <c r="A297">
        <f>IF(Inventory!A297="","",Inventory!A297)</f>
        <v/>
      </c>
      <c r="B297">
        <f>IF(Inventory!A297="","",Inventory!B297)</f>
        <v/>
      </c>
      <c r="C297">
        <f>IF(Inventory!A297="","",Inventory!C297)</f>
        <v/>
      </c>
      <c r="D297">
        <f>IF(Inventory!A297="","",Inventory!D297)</f>
        <v/>
      </c>
      <c r="E297">
        <f>IF(Inventory!A297="","",Inventory!K297)</f>
        <v/>
      </c>
      <c r="F297">
        <f>IF(Inventory!A297="","",Inventory!I297)</f>
        <v/>
      </c>
      <c r="G297">
        <f>IF(Inventory!A297="","",Inventory!Z297)</f>
        <v/>
      </c>
      <c r="H297">
        <f>IF(Inventory!A297="","",Inventory!Y297)</f>
        <v/>
      </c>
      <c r="I297">
        <f>IF(Inventory!A297="","",Inventory!W297)</f>
        <v/>
      </c>
      <c r="J297">
        <f>IF(Inventory!A297="","",Inventory!AA297)</f>
        <v/>
      </c>
    </row>
    <row r="298">
      <c r="A298">
        <f>IF(Inventory!A298="","",Inventory!A298)</f>
        <v/>
      </c>
      <c r="B298">
        <f>IF(Inventory!A298="","",Inventory!B298)</f>
        <v/>
      </c>
      <c r="C298">
        <f>IF(Inventory!A298="","",Inventory!C298)</f>
        <v/>
      </c>
      <c r="D298">
        <f>IF(Inventory!A298="","",Inventory!D298)</f>
        <v/>
      </c>
      <c r="E298">
        <f>IF(Inventory!A298="","",Inventory!K298)</f>
        <v/>
      </c>
      <c r="F298">
        <f>IF(Inventory!A298="","",Inventory!I298)</f>
        <v/>
      </c>
      <c r="G298">
        <f>IF(Inventory!A298="","",Inventory!Z298)</f>
        <v/>
      </c>
      <c r="H298">
        <f>IF(Inventory!A298="","",Inventory!Y298)</f>
        <v/>
      </c>
      <c r="I298">
        <f>IF(Inventory!A298="","",Inventory!W298)</f>
        <v/>
      </c>
      <c r="J298">
        <f>IF(Inventory!A298="","",Inventory!AA298)</f>
        <v/>
      </c>
    </row>
    <row r="299">
      <c r="A299">
        <f>IF(Inventory!A299="","",Inventory!A299)</f>
        <v/>
      </c>
      <c r="B299">
        <f>IF(Inventory!A299="","",Inventory!B299)</f>
        <v/>
      </c>
      <c r="C299">
        <f>IF(Inventory!A299="","",Inventory!C299)</f>
        <v/>
      </c>
      <c r="D299">
        <f>IF(Inventory!A299="","",Inventory!D299)</f>
        <v/>
      </c>
      <c r="E299">
        <f>IF(Inventory!A299="","",Inventory!K299)</f>
        <v/>
      </c>
      <c r="F299">
        <f>IF(Inventory!A299="","",Inventory!I299)</f>
        <v/>
      </c>
      <c r="G299">
        <f>IF(Inventory!A299="","",Inventory!Z299)</f>
        <v/>
      </c>
      <c r="H299">
        <f>IF(Inventory!A299="","",Inventory!Y299)</f>
        <v/>
      </c>
      <c r="I299">
        <f>IF(Inventory!A299="","",Inventory!W299)</f>
        <v/>
      </c>
      <c r="J299">
        <f>IF(Inventory!A299="","",Inventory!AA299)</f>
        <v/>
      </c>
    </row>
    <row r="300">
      <c r="A300">
        <f>IF(Inventory!A300="","",Inventory!A300)</f>
        <v/>
      </c>
      <c r="B300">
        <f>IF(Inventory!A300="","",Inventory!B300)</f>
        <v/>
      </c>
      <c r="C300">
        <f>IF(Inventory!A300="","",Inventory!C300)</f>
        <v/>
      </c>
      <c r="D300">
        <f>IF(Inventory!A300="","",Inventory!D300)</f>
        <v/>
      </c>
      <c r="E300">
        <f>IF(Inventory!A300="","",Inventory!K300)</f>
        <v/>
      </c>
      <c r="F300">
        <f>IF(Inventory!A300="","",Inventory!I300)</f>
        <v/>
      </c>
      <c r="G300">
        <f>IF(Inventory!A300="","",Inventory!Z300)</f>
        <v/>
      </c>
      <c r="H300">
        <f>IF(Inventory!A300="","",Inventory!Y300)</f>
        <v/>
      </c>
      <c r="I300">
        <f>IF(Inventory!A300="","",Inventory!W300)</f>
        <v/>
      </c>
      <c r="J300">
        <f>IF(Inventory!A300="","",Inventory!AA300)</f>
        <v/>
      </c>
    </row>
    <row r="301">
      <c r="A301">
        <f>IF(Inventory!A301="","",Inventory!A301)</f>
        <v/>
      </c>
      <c r="B301">
        <f>IF(Inventory!A301="","",Inventory!B301)</f>
        <v/>
      </c>
      <c r="C301">
        <f>IF(Inventory!A301="","",Inventory!C301)</f>
        <v/>
      </c>
      <c r="D301">
        <f>IF(Inventory!A301="","",Inventory!D301)</f>
        <v/>
      </c>
      <c r="E301">
        <f>IF(Inventory!A301="","",Inventory!K301)</f>
        <v/>
      </c>
      <c r="F301">
        <f>IF(Inventory!A301="","",Inventory!I301)</f>
        <v/>
      </c>
      <c r="G301">
        <f>IF(Inventory!A301="","",Inventory!Z301)</f>
        <v/>
      </c>
      <c r="H301">
        <f>IF(Inventory!A301="","",Inventory!Y301)</f>
        <v/>
      </c>
      <c r="I301">
        <f>IF(Inventory!A301="","",Inventory!W301)</f>
        <v/>
      </c>
      <c r="J301">
        <f>IF(Inventory!A301="","",Inventory!AA301)</f>
        <v/>
      </c>
    </row>
    <row r="302">
      <c r="A302">
        <f>IF(Inventory!A302="","",Inventory!A302)</f>
        <v/>
      </c>
      <c r="B302">
        <f>IF(Inventory!A302="","",Inventory!B302)</f>
        <v/>
      </c>
      <c r="C302">
        <f>IF(Inventory!A302="","",Inventory!C302)</f>
        <v/>
      </c>
      <c r="D302">
        <f>IF(Inventory!A302="","",Inventory!D302)</f>
        <v/>
      </c>
      <c r="E302">
        <f>IF(Inventory!A302="","",Inventory!K302)</f>
        <v/>
      </c>
      <c r="F302">
        <f>IF(Inventory!A302="","",Inventory!I302)</f>
        <v/>
      </c>
      <c r="G302">
        <f>IF(Inventory!A302="","",Inventory!Z302)</f>
        <v/>
      </c>
      <c r="H302">
        <f>IF(Inventory!A302="","",Inventory!Y302)</f>
        <v/>
      </c>
      <c r="I302">
        <f>IF(Inventory!A302="","",Inventory!W302)</f>
        <v/>
      </c>
      <c r="J302">
        <f>IF(Inventory!A302="","",Inventory!AA302)</f>
        <v/>
      </c>
    </row>
    <row r="303">
      <c r="A303">
        <f>IF(Inventory!A303="","",Inventory!A303)</f>
        <v/>
      </c>
      <c r="B303">
        <f>IF(Inventory!A303="","",Inventory!B303)</f>
        <v/>
      </c>
      <c r="C303">
        <f>IF(Inventory!A303="","",Inventory!C303)</f>
        <v/>
      </c>
      <c r="D303">
        <f>IF(Inventory!A303="","",Inventory!D303)</f>
        <v/>
      </c>
      <c r="E303">
        <f>IF(Inventory!A303="","",Inventory!K303)</f>
        <v/>
      </c>
      <c r="F303">
        <f>IF(Inventory!A303="","",Inventory!I303)</f>
        <v/>
      </c>
      <c r="G303">
        <f>IF(Inventory!A303="","",Inventory!Z303)</f>
        <v/>
      </c>
      <c r="H303">
        <f>IF(Inventory!A303="","",Inventory!Y303)</f>
        <v/>
      </c>
      <c r="I303">
        <f>IF(Inventory!A303="","",Inventory!W303)</f>
        <v/>
      </c>
      <c r="J303">
        <f>IF(Inventory!A303="","",Inventory!AA303)</f>
        <v/>
      </c>
    </row>
    <row r="304">
      <c r="A304">
        <f>IF(Inventory!A304="","",Inventory!A304)</f>
        <v/>
      </c>
      <c r="B304">
        <f>IF(Inventory!A304="","",Inventory!B304)</f>
        <v/>
      </c>
      <c r="C304">
        <f>IF(Inventory!A304="","",Inventory!C304)</f>
        <v/>
      </c>
      <c r="D304">
        <f>IF(Inventory!A304="","",Inventory!D304)</f>
        <v/>
      </c>
      <c r="E304">
        <f>IF(Inventory!A304="","",Inventory!K304)</f>
        <v/>
      </c>
      <c r="F304">
        <f>IF(Inventory!A304="","",Inventory!I304)</f>
        <v/>
      </c>
      <c r="G304">
        <f>IF(Inventory!A304="","",Inventory!Z304)</f>
        <v/>
      </c>
      <c r="H304">
        <f>IF(Inventory!A304="","",Inventory!Y304)</f>
        <v/>
      </c>
      <c r="I304">
        <f>IF(Inventory!A304="","",Inventory!W304)</f>
        <v/>
      </c>
      <c r="J304">
        <f>IF(Inventory!A304="","",Inventory!AA304)</f>
        <v/>
      </c>
    </row>
    <row r="305">
      <c r="A305">
        <f>IF(Inventory!A305="","",Inventory!A305)</f>
        <v/>
      </c>
      <c r="B305">
        <f>IF(Inventory!A305="","",Inventory!B305)</f>
        <v/>
      </c>
      <c r="C305">
        <f>IF(Inventory!A305="","",Inventory!C305)</f>
        <v/>
      </c>
      <c r="D305">
        <f>IF(Inventory!A305="","",Inventory!D305)</f>
        <v/>
      </c>
      <c r="E305">
        <f>IF(Inventory!A305="","",Inventory!K305)</f>
        <v/>
      </c>
      <c r="F305">
        <f>IF(Inventory!A305="","",Inventory!I305)</f>
        <v/>
      </c>
      <c r="G305">
        <f>IF(Inventory!A305="","",Inventory!Z305)</f>
        <v/>
      </c>
      <c r="H305">
        <f>IF(Inventory!A305="","",Inventory!Y305)</f>
        <v/>
      </c>
      <c r="I305">
        <f>IF(Inventory!A305="","",Inventory!W305)</f>
        <v/>
      </c>
      <c r="J305">
        <f>IF(Inventory!A305="","",Inventory!AA305)</f>
        <v/>
      </c>
    </row>
    <row r="306">
      <c r="A306">
        <f>IF(Inventory!A306="","",Inventory!A306)</f>
        <v/>
      </c>
      <c r="B306">
        <f>IF(Inventory!A306="","",Inventory!B306)</f>
        <v/>
      </c>
      <c r="C306">
        <f>IF(Inventory!A306="","",Inventory!C306)</f>
        <v/>
      </c>
      <c r="D306">
        <f>IF(Inventory!A306="","",Inventory!D306)</f>
        <v/>
      </c>
      <c r="E306">
        <f>IF(Inventory!A306="","",Inventory!K306)</f>
        <v/>
      </c>
      <c r="F306">
        <f>IF(Inventory!A306="","",Inventory!I306)</f>
        <v/>
      </c>
      <c r="G306">
        <f>IF(Inventory!A306="","",Inventory!Z306)</f>
        <v/>
      </c>
      <c r="H306">
        <f>IF(Inventory!A306="","",Inventory!Y306)</f>
        <v/>
      </c>
      <c r="I306">
        <f>IF(Inventory!A306="","",Inventory!W306)</f>
        <v/>
      </c>
      <c r="J306">
        <f>IF(Inventory!A306="","",Inventory!AA306)</f>
        <v/>
      </c>
    </row>
    <row r="307">
      <c r="A307">
        <f>IF(Inventory!A307="","",Inventory!A307)</f>
        <v/>
      </c>
      <c r="B307">
        <f>IF(Inventory!A307="","",Inventory!B307)</f>
        <v/>
      </c>
      <c r="C307">
        <f>IF(Inventory!A307="","",Inventory!C307)</f>
        <v/>
      </c>
      <c r="D307">
        <f>IF(Inventory!A307="","",Inventory!D307)</f>
        <v/>
      </c>
      <c r="E307">
        <f>IF(Inventory!A307="","",Inventory!K307)</f>
        <v/>
      </c>
      <c r="F307">
        <f>IF(Inventory!A307="","",Inventory!I307)</f>
        <v/>
      </c>
      <c r="G307">
        <f>IF(Inventory!A307="","",Inventory!Z307)</f>
        <v/>
      </c>
      <c r="H307">
        <f>IF(Inventory!A307="","",Inventory!Y307)</f>
        <v/>
      </c>
      <c r="I307">
        <f>IF(Inventory!A307="","",Inventory!W307)</f>
        <v/>
      </c>
      <c r="J307">
        <f>IF(Inventory!A307="","",Inventory!AA307)</f>
        <v/>
      </c>
    </row>
    <row r="308">
      <c r="A308">
        <f>IF(Inventory!A308="","",Inventory!A308)</f>
        <v/>
      </c>
      <c r="B308">
        <f>IF(Inventory!A308="","",Inventory!B308)</f>
        <v/>
      </c>
      <c r="C308">
        <f>IF(Inventory!A308="","",Inventory!C308)</f>
        <v/>
      </c>
      <c r="D308">
        <f>IF(Inventory!A308="","",Inventory!D308)</f>
        <v/>
      </c>
      <c r="E308">
        <f>IF(Inventory!A308="","",Inventory!K308)</f>
        <v/>
      </c>
      <c r="F308">
        <f>IF(Inventory!A308="","",Inventory!I308)</f>
        <v/>
      </c>
      <c r="G308">
        <f>IF(Inventory!A308="","",Inventory!Z308)</f>
        <v/>
      </c>
      <c r="H308">
        <f>IF(Inventory!A308="","",Inventory!Y308)</f>
        <v/>
      </c>
      <c r="I308">
        <f>IF(Inventory!A308="","",Inventory!W308)</f>
        <v/>
      </c>
      <c r="J308">
        <f>IF(Inventory!A308="","",Inventory!AA308)</f>
        <v/>
      </c>
    </row>
    <row r="309">
      <c r="A309">
        <f>IF(Inventory!A309="","",Inventory!A309)</f>
        <v/>
      </c>
      <c r="B309">
        <f>IF(Inventory!A309="","",Inventory!B309)</f>
        <v/>
      </c>
      <c r="C309">
        <f>IF(Inventory!A309="","",Inventory!C309)</f>
        <v/>
      </c>
      <c r="D309">
        <f>IF(Inventory!A309="","",Inventory!D309)</f>
        <v/>
      </c>
      <c r="E309">
        <f>IF(Inventory!A309="","",Inventory!K309)</f>
        <v/>
      </c>
      <c r="F309">
        <f>IF(Inventory!A309="","",Inventory!I309)</f>
        <v/>
      </c>
      <c r="G309">
        <f>IF(Inventory!A309="","",Inventory!Z309)</f>
        <v/>
      </c>
      <c r="H309">
        <f>IF(Inventory!A309="","",Inventory!Y309)</f>
        <v/>
      </c>
      <c r="I309">
        <f>IF(Inventory!A309="","",Inventory!W309)</f>
        <v/>
      </c>
      <c r="J309">
        <f>IF(Inventory!A309="","",Inventory!AA309)</f>
        <v/>
      </c>
    </row>
    <row r="310">
      <c r="A310">
        <f>IF(Inventory!A310="","",Inventory!A310)</f>
        <v/>
      </c>
      <c r="B310">
        <f>IF(Inventory!A310="","",Inventory!B310)</f>
        <v/>
      </c>
      <c r="C310">
        <f>IF(Inventory!A310="","",Inventory!C310)</f>
        <v/>
      </c>
      <c r="D310">
        <f>IF(Inventory!A310="","",Inventory!D310)</f>
        <v/>
      </c>
      <c r="E310">
        <f>IF(Inventory!A310="","",Inventory!K310)</f>
        <v/>
      </c>
      <c r="F310">
        <f>IF(Inventory!A310="","",Inventory!I310)</f>
        <v/>
      </c>
      <c r="G310">
        <f>IF(Inventory!A310="","",Inventory!Z310)</f>
        <v/>
      </c>
      <c r="H310">
        <f>IF(Inventory!A310="","",Inventory!Y310)</f>
        <v/>
      </c>
      <c r="I310">
        <f>IF(Inventory!A310="","",Inventory!W310)</f>
        <v/>
      </c>
      <c r="J310">
        <f>IF(Inventory!A310="","",Inventory!AA310)</f>
        <v/>
      </c>
    </row>
    <row r="311">
      <c r="A311">
        <f>IF(Inventory!A311="","",Inventory!A311)</f>
        <v/>
      </c>
      <c r="B311">
        <f>IF(Inventory!A311="","",Inventory!B311)</f>
        <v/>
      </c>
      <c r="C311">
        <f>IF(Inventory!A311="","",Inventory!C311)</f>
        <v/>
      </c>
      <c r="D311">
        <f>IF(Inventory!A311="","",Inventory!D311)</f>
        <v/>
      </c>
      <c r="E311">
        <f>IF(Inventory!A311="","",Inventory!K311)</f>
        <v/>
      </c>
      <c r="F311">
        <f>IF(Inventory!A311="","",Inventory!I311)</f>
        <v/>
      </c>
      <c r="G311">
        <f>IF(Inventory!A311="","",Inventory!Z311)</f>
        <v/>
      </c>
      <c r="H311">
        <f>IF(Inventory!A311="","",Inventory!Y311)</f>
        <v/>
      </c>
      <c r="I311">
        <f>IF(Inventory!A311="","",Inventory!W311)</f>
        <v/>
      </c>
      <c r="J311">
        <f>IF(Inventory!A311="","",Inventory!AA311)</f>
        <v/>
      </c>
    </row>
    <row r="312">
      <c r="A312">
        <f>IF(Inventory!A312="","",Inventory!A312)</f>
        <v/>
      </c>
      <c r="B312">
        <f>IF(Inventory!A312="","",Inventory!B312)</f>
        <v/>
      </c>
      <c r="C312">
        <f>IF(Inventory!A312="","",Inventory!C312)</f>
        <v/>
      </c>
      <c r="D312">
        <f>IF(Inventory!A312="","",Inventory!D312)</f>
        <v/>
      </c>
      <c r="E312">
        <f>IF(Inventory!A312="","",Inventory!K312)</f>
        <v/>
      </c>
      <c r="F312">
        <f>IF(Inventory!A312="","",Inventory!I312)</f>
        <v/>
      </c>
      <c r="G312">
        <f>IF(Inventory!A312="","",Inventory!Z312)</f>
        <v/>
      </c>
      <c r="H312">
        <f>IF(Inventory!A312="","",Inventory!Y312)</f>
        <v/>
      </c>
      <c r="I312">
        <f>IF(Inventory!A312="","",Inventory!W312)</f>
        <v/>
      </c>
      <c r="J312">
        <f>IF(Inventory!A312="","",Inventory!AA312)</f>
        <v/>
      </c>
    </row>
    <row r="313">
      <c r="A313">
        <f>IF(Inventory!A313="","",Inventory!A313)</f>
        <v/>
      </c>
      <c r="B313">
        <f>IF(Inventory!A313="","",Inventory!B313)</f>
        <v/>
      </c>
      <c r="C313">
        <f>IF(Inventory!A313="","",Inventory!C313)</f>
        <v/>
      </c>
      <c r="D313">
        <f>IF(Inventory!A313="","",Inventory!D313)</f>
        <v/>
      </c>
      <c r="E313">
        <f>IF(Inventory!A313="","",Inventory!K313)</f>
        <v/>
      </c>
      <c r="F313">
        <f>IF(Inventory!A313="","",Inventory!I313)</f>
        <v/>
      </c>
      <c r="G313">
        <f>IF(Inventory!A313="","",Inventory!Z313)</f>
        <v/>
      </c>
      <c r="H313">
        <f>IF(Inventory!A313="","",Inventory!Y313)</f>
        <v/>
      </c>
      <c r="I313">
        <f>IF(Inventory!A313="","",Inventory!W313)</f>
        <v/>
      </c>
      <c r="J313">
        <f>IF(Inventory!A313="","",Inventory!AA313)</f>
        <v/>
      </c>
    </row>
    <row r="314">
      <c r="A314">
        <f>IF(Inventory!A314="","",Inventory!A314)</f>
        <v/>
      </c>
      <c r="B314">
        <f>IF(Inventory!A314="","",Inventory!B314)</f>
        <v/>
      </c>
      <c r="C314">
        <f>IF(Inventory!A314="","",Inventory!C314)</f>
        <v/>
      </c>
      <c r="D314">
        <f>IF(Inventory!A314="","",Inventory!D314)</f>
        <v/>
      </c>
      <c r="E314">
        <f>IF(Inventory!A314="","",Inventory!K314)</f>
        <v/>
      </c>
      <c r="F314">
        <f>IF(Inventory!A314="","",Inventory!I314)</f>
        <v/>
      </c>
      <c r="G314">
        <f>IF(Inventory!A314="","",Inventory!Z314)</f>
        <v/>
      </c>
      <c r="H314">
        <f>IF(Inventory!A314="","",Inventory!Y314)</f>
        <v/>
      </c>
      <c r="I314">
        <f>IF(Inventory!A314="","",Inventory!W314)</f>
        <v/>
      </c>
      <c r="J314">
        <f>IF(Inventory!A314="","",Inventory!AA314)</f>
        <v/>
      </c>
    </row>
    <row r="315">
      <c r="A315">
        <f>IF(Inventory!A315="","",Inventory!A315)</f>
        <v/>
      </c>
      <c r="B315">
        <f>IF(Inventory!A315="","",Inventory!B315)</f>
        <v/>
      </c>
      <c r="C315">
        <f>IF(Inventory!A315="","",Inventory!C315)</f>
        <v/>
      </c>
      <c r="D315">
        <f>IF(Inventory!A315="","",Inventory!D315)</f>
        <v/>
      </c>
      <c r="E315">
        <f>IF(Inventory!A315="","",Inventory!K315)</f>
        <v/>
      </c>
      <c r="F315">
        <f>IF(Inventory!A315="","",Inventory!I315)</f>
        <v/>
      </c>
      <c r="G315">
        <f>IF(Inventory!A315="","",Inventory!Z315)</f>
        <v/>
      </c>
      <c r="H315">
        <f>IF(Inventory!A315="","",Inventory!Y315)</f>
        <v/>
      </c>
      <c r="I315">
        <f>IF(Inventory!A315="","",Inventory!W315)</f>
        <v/>
      </c>
      <c r="J315">
        <f>IF(Inventory!A315="","",Inventory!AA315)</f>
        <v/>
      </c>
    </row>
    <row r="316">
      <c r="A316">
        <f>IF(Inventory!A316="","",Inventory!A316)</f>
        <v/>
      </c>
      <c r="B316">
        <f>IF(Inventory!A316="","",Inventory!B316)</f>
        <v/>
      </c>
      <c r="C316">
        <f>IF(Inventory!A316="","",Inventory!C316)</f>
        <v/>
      </c>
      <c r="D316">
        <f>IF(Inventory!A316="","",Inventory!D316)</f>
        <v/>
      </c>
      <c r="E316">
        <f>IF(Inventory!A316="","",Inventory!K316)</f>
        <v/>
      </c>
      <c r="F316">
        <f>IF(Inventory!A316="","",Inventory!I316)</f>
        <v/>
      </c>
      <c r="G316">
        <f>IF(Inventory!A316="","",Inventory!Z316)</f>
        <v/>
      </c>
      <c r="H316">
        <f>IF(Inventory!A316="","",Inventory!Y316)</f>
        <v/>
      </c>
      <c r="I316">
        <f>IF(Inventory!A316="","",Inventory!W316)</f>
        <v/>
      </c>
      <c r="J316">
        <f>IF(Inventory!A316="","",Inventory!AA316)</f>
        <v/>
      </c>
    </row>
    <row r="317">
      <c r="A317">
        <f>IF(Inventory!A317="","",Inventory!A317)</f>
        <v/>
      </c>
      <c r="B317">
        <f>IF(Inventory!A317="","",Inventory!B317)</f>
        <v/>
      </c>
      <c r="C317">
        <f>IF(Inventory!A317="","",Inventory!C317)</f>
        <v/>
      </c>
      <c r="D317">
        <f>IF(Inventory!A317="","",Inventory!D317)</f>
        <v/>
      </c>
      <c r="E317">
        <f>IF(Inventory!A317="","",Inventory!K317)</f>
        <v/>
      </c>
      <c r="F317">
        <f>IF(Inventory!A317="","",Inventory!I317)</f>
        <v/>
      </c>
      <c r="G317">
        <f>IF(Inventory!A317="","",Inventory!Z317)</f>
        <v/>
      </c>
      <c r="H317">
        <f>IF(Inventory!A317="","",Inventory!Y317)</f>
        <v/>
      </c>
      <c r="I317">
        <f>IF(Inventory!A317="","",Inventory!W317)</f>
        <v/>
      </c>
      <c r="J317">
        <f>IF(Inventory!A317="","",Inventory!AA317)</f>
        <v/>
      </c>
    </row>
    <row r="318">
      <c r="A318">
        <f>IF(Inventory!A318="","",Inventory!A318)</f>
        <v/>
      </c>
      <c r="B318">
        <f>IF(Inventory!A318="","",Inventory!B318)</f>
        <v/>
      </c>
      <c r="C318">
        <f>IF(Inventory!A318="","",Inventory!C318)</f>
        <v/>
      </c>
      <c r="D318">
        <f>IF(Inventory!A318="","",Inventory!D318)</f>
        <v/>
      </c>
      <c r="E318">
        <f>IF(Inventory!A318="","",Inventory!K318)</f>
        <v/>
      </c>
      <c r="F318">
        <f>IF(Inventory!A318="","",Inventory!I318)</f>
        <v/>
      </c>
      <c r="G318">
        <f>IF(Inventory!A318="","",Inventory!Z318)</f>
        <v/>
      </c>
      <c r="H318">
        <f>IF(Inventory!A318="","",Inventory!Y318)</f>
        <v/>
      </c>
      <c r="I318">
        <f>IF(Inventory!A318="","",Inventory!W318)</f>
        <v/>
      </c>
      <c r="J318">
        <f>IF(Inventory!A318="","",Inventory!AA318)</f>
        <v/>
      </c>
    </row>
    <row r="319">
      <c r="A319">
        <f>IF(Inventory!A319="","",Inventory!A319)</f>
        <v/>
      </c>
      <c r="B319">
        <f>IF(Inventory!A319="","",Inventory!B319)</f>
        <v/>
      </c>
      <c r="C319">
        <f>IF(Inventory!A319="","",Inventory!C319)</f>
        <v/>
      </c>
      <c r="D319">
        <f>IF(Inventory!A319="","",Inventory!D319)</f>
        <v/>
      </c>
      <c r="E319">
        <f>IF(Inventory!A319="","",Inventory!K319)</f>
        <v/>
      </c>
      <c r="F319">
        <f>IF(Inventory!A319="","",Inventory!I319)</f>
        <v/>
      </c>
      <c r="G319">
        <f>IF(Inventory!A319="","",Inventory!Z319)</f>
        <v/>
      </c>
      <c r="H319">
        <f>IF(Inventory!A319="","",Inventory!Y319)</f>
        <v/>
      </c>
      <c r="I319">
        <f>IF(Inventory!A319="","",Inventory!W319)</f>
        <v/>
      </c>
      <c r="J319">
        <f>IF(Inventory!A319="","",Inventory!AA319)</f>
        <v/>
      </c>
    </row>
    <row r="320">
      <c r="A320">
        <f>IF(Inventory!A320="","",Inventory!A320)</f>
        <v/>
      </c>
      <c r="B320">
        <f>IF(Inventory!A320="","",Inventory!B320)</f>
        <v/>
      </c>
      <c r="C320">
        <f>IF(Inventory!A320="","",Inventory!C320)</f>
        <v/>
      </c>
      <c r="D320">
        <f>IF(Inventory!A320="","",Inventory!D320)</f>
        <v/>
      </c>
      <c r="E320">
        <f>IF(Inventory!A320="","",Inventory!K320)</f>
        <v/>
      </c>
      <c r="F320">
        <f>IF(Inventory!A320="","",Inventory!I320)</f>
        <v/>
      </c>
      <c r="G320">
        <f>IF(Inventory!A320="","",Inventory!Z320)</f>
        <v/>
      </c>
      <c r="H320">
        <f>IF(Inventory!A320="","",Inventory!Y320)</f>
        <v/>
      </c>
      <c r="I320">
        <f>IF(Inventory!A320="","",Inventory!W320)</f>
        <v/>
      </c>
      <c r="J320">
        <f>IF(Inventory!A320="","",Inventory!AA320)</f>
        <v/>
      </c>
    </row>
    <row r="321">
      <c r="A321">
        <f>IF(Inventory!A321="","",Inventory!A321)</f>
        <v/>
      </c>
      <c r="B321">
        <f>IF(Inventory!A321="","",Inventory!B321)</f>
        <v/>
      </c>
      <c r="C321">
        <f>IF(Inventory!A321="","",Inventory!C321)</f>
        <v/>
      </c>
      <c r="D321">
        <f>IF(Inventory!A321="","",Inventory!D321)</f>
        <v/>
      </c>
      <c r="E321">
        <f>IF(Inventory!A321="","",Inventory!K321)</f>
        <v/>
      </c>
      <c r="F321">
        <f>IF(Inventory!A321="","",Inventory!I321)</f>
        <v/>
      </c>
      <c r="G321">
        <f>IF(Inventory!A321="","",Inventory!Z321)</f>
        <v/>
      </c>
      <c r="H321">
        <f>IF(Inventory!A321="","",Inventory!Y321)</f>
        <v/>
      </c>
      <c r="I321">
        <f>IF(Inventory!A321="","",Inventory!W321)</f>
        <v/>
      </c>
      <c r="J321">
        <f>IF(Inventory!A321="","",Inventory!AA321)</f>
        <v/>
      </c>
    </row>
    <row r="322">
      <c r="A322">
        <f>IF(Inventory!A322="","",Inventory!A322)</f>
        <v/>
      </c>
      <c r="B322">
        <f>IF(Inventory!A322="","",Inventory!B322)</f>
        <v/>
      </c>
      <c r="C322">
        <f>IF(Inventory!A322="","",Inventory!C322)</f>
        <v/>
      </c>
      <c r="D322">
        <f>IF(Inventory!A322="","",Inventory!D322)</f>
        <v/>
      </c>
      <c r="E322">
        <f>IF(Inventory!A322="","",Inventory!K322)</f>
        <v/>
      </c>
      <c r="F322">
        <f>IF(Inventory!A322="","",Inventory!I322)</f>
        <v/>
      </c>
      <c r="G322">
        <f>IF(Inventory!A322="","",Inventory!Z322)</f>
        <v/>
      </c>
      <c r="H322">
        <f>IF(Inventory!A322="","",Inventory!Y322)</f>
        <v/>
      </c>
      <c r="I322">
        <f>IF(Inventory!A322="","",Inventory!W322)</f>
        <v/>
      </c>
      <c r="J322">
        <f>IF(Inventory!A322="","",Inventory!AA322)</f>
        <v/>
      </c>
    </row>
    <row r="323">
      <c r="A323">
        <f>IF(Inventory!A323="","",Inventory!A323)</f>
        <v/>
      </c>
      <c r="B323">
        <f>IF(Inventory!A323="","",Inventory!B323)</f>
        <v/>
      </c>
      <c r="C323">
        <f>IF(Inventory!A323="","",Inventory!C323)</f>
        <v/>
      </c>
      <c r="D323">
        <f>IF(Inventory!A323="","",Inventory!D323)</f>
        <v/>
      </c>
      <c r="E323">
        <f>IF(Inventory!A323="","",Inventory!K323)</f>
        <v/>
      </c>
      <c r="F323">
        <f>IF(Inventory!A323="","",Inventory!I323)</f>
        <v/>
      </c>
      <c r="G323">
        <f>IF(Inventory!A323="","",Inventory!Z323)</f>
        <v/>
      </c>
      <c r="H323">
        <f>IF(Inventory!A323="","",Inventory!Y323)</f>
        <v/>
      </c>
      <c r="I323">
        <f>IF(Inventory!A323="","",Inventory!W323)</f>
        <v/>
      </c>
      <c r="J323">
        <f>IF(Inventory!A323="","",Inventory!AA323)</f>
        <v/>
      </c>
    </row>
    <row r="324">
      <c r="A324">
        <f>IF(Inventory!A324="","",Inventory!A324)</f>
        <v/>
      </c>
      <c r="B324">
        <f>IF(Inventory!A324="","",Inventory!B324)</f>
        <v/>
      </c>
      <c r="C324">
        <f>IF(Inventory!A324="","",Inventory!C324)</f>
        <v/>
      </c>
      <c r="D324">
        <f>IF(Inventory!A324="","",Inventory!D324)</f>
        <v/>
      </c>
      <c r="E324">
        <f>IF(Inventory!A324="","",Inventory!K324)</f>
        <v/>
      </c>
      <c r="F324">
        <f>IF(Inventory!A324="","",Inventory!I324)</f>
        <v/>
      </c>
      <c r="G324">
        <f>IF(Inventory!A324="","",Inventory!Z324)</f>
        <v/>
      </c>
      <c r="H324">
        <f>IF(Inventory!A324="","",Inventory!Y324)</f>
        <v/>
      </c>
      <c r="I324">
        <f>IF(Inventory!A324="","",Inventory!W324)</f>
        <v/>
      </c>
      <c r="J324">
        <f>IF(Inventory!A324="","",Inventory!AA324)</f>
        <v/>
      </c>
    </row>
    <row r="325">
      <c r="A325">
        <f>IF(Inventory!A325="","",Inventory!A325)</f>
        <v/>
      </c>
      <c r="B325">
        <f>IF(Inventory!A325="","",Inventory!B325)</f>
        <v/>
      </c>
      <c r="C325">
        <f>IF(Inventory!A325="","",Inventory!C325)</f>
        <v/>
      </c>
      <c r="D325">
        <f>IF(Inventory!A325="","",Inventory!D325)</f>
        <v/>
      </c>
      <c r="E325">
        <f>IF(Inventory!A325="","",Inventory!K325)</f>
        <v/>
      </c>
      <c r="F325">
        <f>IF(Inventory!A325="","",Inventory!I325)</f>
        <v/>
      </c>
      <c r="G325">
        <f>IF(Inventory!A325="","",Inventory!Z325)</f>
        <v/>
      </c>
      <c r="H325">
        <f>IF(Inventory!A325="","",Inventory!Y325)</f>
        <v/>
      </c>
      <c r="I325">
        <f>IF(Inventory!A325="","",Inventory!W325)</f>
        <v/>
      </c>
      <c r="J325">
        <f>IF(Inventory!A325="","",Inventory!AA325)</f>
        <v/>
      </c>
    </row>
    <row r="326">
      <c r="A326">
        <f>IF(Inventory!A326="","",Inventory!A326)</f>
        <v/>
      </c>
      <c r="B326">
        <f>IF(Inventory!A326="","",Inventory!B326)</f>
        <v/>
      </c>
      <c r="C326">
        <f>IF(Inventory!A326="","",Inventory!C326)</f>
        <v/>
      </c>
      <c r="D326">
        <f>IF(Inventory!A326="","",Inventory!D326)</f>
        <v/>
      </c>
      <c r="E326">
        <f>IF(Inventory!A326="","",Inventory!K326)</f>
        <v/>
      </c>
      <c r="F326">
        <f>IF(Inventory!A326="","",Inventory!I326)</f>
        <v/>
      </c>
      <c r="G326">
        <f>IF(Inventory!A326="","",Inventory!Z326)</f>
        <v/>
      </c>
      <c r="H326">
        <f>IF(Inventory!A326="","",Inventory!Y326)</f>
        <v/>
      </c>
      <c r="I326">
        <f>IF(Inventory!A326="","",Inventory!W326)</f>
        <v/>
      </c>
      <c r="J326">
        <f>IF(Inventory!A326="","",Inventory!AA326)</f>
        <v/>
      </c>
    </row>
    <row r="327">
      <c r="A327">
        <f>IF(Inventory!A327="","",Inventory!A327)</f>
        <v/>
      </c>
      <c r="B327">
        <f>IF(Inventory!A327="","",Inventory!B327)</f>
        <v/>
      </c>
      <c r="C327">
        <f>IF(Inventory!A327="","",Inventory!C327)</f>
        <v/>
      </c>
      <c r="D327">
        <f>IF(Inventory!A327="","",Inventory!D327)</f>
        <v/>
      </c>
      <c r="E327">
        <f>IF(Inventory!A327="","",Inventory!K327)</f>
        <v/>
      </c>
      <c r="F327">
        <f>IF(Inventory!A327="","",Inventory!I327)</f>
        <v/>
      </c>
      <c r="G327">
        <f>IF(Inventory!A327="","",Inventory!Z327)</f>
        <v/>
      </c>
      <c r="H327">
        <f>IF(Inventory!A327="","",Inventory!Y327)</f>
        <v/>
      </c>
      <c r="I327">
        <f>IF(Inventory!A327="","",Inventory!W327)</f>
        <v/>
      </c>
      <c r="J327">
        <f>IF(Inventory!A327="","",Inventory!AA327)</f>
        <v/>
      </c>
    </row>
    <row r="328">
      <c r="A328">
        <f>IF(Inventory!A328="","",Inventory!A328)</f>
        <v/>
      </c>
      <c r="B328">
        <f>IF(Inventory!A328="","",Inventory!B328)</f>
        <v/>
      </c>
      <c r="C328">
        <f>IF(Inventory!A328="","",Inventory!C328)</f>
        <v/>
      </c>
      <c r="D328">
        <f>IF(Inventory!A328="","",Inventory!D328)</f>
        <v/>
      </c>
      <c r="E328">
        <f>IF(Inventory!A328="","",Inventory!K328)</f>
        <v/>
      </c>
      <c r="F328">
        <f>IF(Inventory!A328="","",Inventory!I328)</f>
        <v/>
      </c>
      <c r="G328">
        <f>IF(Inventory!A328="","",Inventory!Z328)</f>
        <v/>
      </c>
      <c r="H328">
        <f>IF(Inventory!A328="","",Inventory!Y328)</f>
        <v/>
      </c>
      <c r="I328">
        <f>IF(Inventory!A328="","",Inventory!W328)</f>
        <v/>
      </c>
      <c r="J328">
        <f>IF(Inventory!A328="","",Inventory!AA328)</f>
        <v/>
      </c>
    </row>
    <row r="329">
      <c r="A329">
        <f>IF(Inventory!A329="","",Inventory!A329)</f>
        <v/>
      </c>
      <c r="B329">
        <f>IF(Inventory!A329="","",Inventory!B329)</f>
        <v/>
      </c>
      <c r="C329">
        <f>IF(Inventory!A329="","",Inventory!C329)</f>
        <v/>
      </c>
      <c r="D329">
        <f>IF(Inventory!A329="","",Inventory!D329)</f>
        <v/>
      </c>
      <c r="E329">
        <f>IF(Inventory!A329="","",Inventory!K329)</f>
        <v/>
      </c>
      <c r="F329">
        <f>IF(Inventory!A329="","",Inventory!I329)</f>
        <v/>
      </c>
      <c r="G329">
        <f>IF(Inventory!A329="","",Inventory!Z329)</f>
        <v/>
      </c>
      <c r="H329">
        <f>IF(Inventory!A329="","",Inventory!Y329)</f>
        <v/>
      </c>
      <c r="I329">
        <f>IF(Inventory!A329="","",Inventory!W329)</f>
        <v/>
      </c>
      <c r="J329">
        <f>IF(Inventory!A329="","",Inventory!AA329)</f>
        <v/>
      </c>
    </row>
    <row r="330">
      <c r="A330">
        <f>IF(Inventory!A330="","",Inventory!A330)</f>
        <v/>
      </c>
      <c r="B330">
        <f>IF(Inventory!A330="","",Inventory!B330)</f>
        <v/>
      </c>
      <c r="C330">
        <f>IF(Inventory!A330="","",Inventory!C330)</f>
        <v/>
      </c>
      <c r="D330">
        <f>IF(Inventory!A330="","",Inventory!D330)</f>
        <v/>
      </c>
      <c r="E330">
        <f>IF(Inventory!A330="","",Inventory!K330)</f>
        <v/>
      </c>
      <c r="F330">
        <f>IF(Inventory!A330="","",Inventory!I330)</f>
        <v/>
      </c>
      <c r="G330">
        <f>IF(Inventory!A330="","",Inventory!Z330)</f>
        <v/>
      </c>
      <c r="H330">
        <f>IF(Inventory!A330="","",Inventory!Y330)</f>
        <v/>
      </c>
      <c r="I330">
        <f>IF(Inventory!A330="","",Inventory!W330)</f>
        <v/>
      </c>
      <c r="J330">
        <f>IF(Inventory!A330="","",Inventory!AA330)</f>
        <v/>
      </c>
    </row>
    <row r="331">
      <c r="A331">
        <f>IF(Inventory!A331="","",Inventory!A331)</f>
        <v/>
      </c>
      <c r="B331">
        <f>IF(Inventory!A331="","",Inventory!B331)</f>
        <v/>
      </c>
      <c r="C331">
        <f>IF(Inventory!A331="","",Inventory!C331)</f>
        <v/>
      </c>
      <c r="D331">
        <f>IF(Inventory!A331="","",Inventory!D331)</f>
        <v/>
      </c>
      <c r="E331">
        <f>IF(Inventory!A331="","",Inventory!K331)</f>
        <v/>
      </c>
      <c r="F331">
        <f>IF(Inventory!A331="","",Inventory!I331)</f>
        <v/>
      </c>
      <c r="G331">
        <f>IF(Inventory!A331="","",Inventory!Z331)</f>
        <v/>
      </c>
      <c r="H331">
        <f>IF(Inventory!A331="","",Inventory!Y331)</f>
        <v/>
      </c>
      <c r="I331">
        <f>IF(Inventory!A331="","",Inventory!W331)</f>
        <v/>
      </c>
      <c r="J331">
        <f>IF(Inventory!A331="","",Inventory!AA331)</f>
        <v/>
      </c>
    </row>
    <row r="332">
      <c r="A332">
        <f>IF(Inventory!A332="","",Inventory!A332)</f>
        <v/>
      </c>
      <c r="B332">
        <f>IF(Inventory!A332="","",Inventory!B332)</f>
        <v/>
      </c>
      <c r="C332">
        <f>IF(Inventory!A332="","",Inventory!C332)</f>
        <v/>
      </c>
      <c r="D332">
        <f>IF(Inventory!A332="","",Inventory!D332)</f>
        <v/>
      </c>
      <c r="E332">
        <f>IF(Inventory!A332="","",Inventory!K332)</f>
        <v/>
      </c>
      <c r="F332">
        <f>IF(Inventory!A332="","",Inventory!I332)</f>
        <v/>
      </c>
      <c r="G332">
        <f>IF(Inventory!A332="","",Inventory!Z332)</f>
        <v/>
      </c>
      <c r="H332">
        <f>IF(Inventory!A332="","",Inventory!Y332)</f>
        <v/>
      </c>
      <c r="I332">
        <f>IF(Inventory!A332="","",Inventory!W332)</f>
        <v/>
      </c>
      <c r="J332">
        <f>IF(Inventory!A332="","",Inventory!AA332)</f>
        <v/>
      </c>
    </row>
    <row r="333">
      <c r="A333">
        <f>IF(Inventory!A333="","",Inventory!A333)</f>
        <v/>
      </c>
      <c r="B333">
        <f>IF(Inventory!A333="","",Inventory!B333)</f>
        <v/>
      </c>
      <c r="C333">
        <f>IF(Inventory!A333="","",Inventory!C333)</f>
        <v/>
      </c>
      <c r="D333">
        <f>IF(Inventory!A333="","",Inventory!D333)</f>
        <v/>
      </c>
      <c r="E333">
        <f>IF(Inventory!A333="","",Inventory!K333)</f>
        <v/>
      </c>
      <c r="F333">
        <f>IF(Inventory!A333="","",Inventory!I333)</f>
        <v/>
      </c>
      <c r="G333">
        <f>IF(Inventory!A333="","",Inventory!Z333)</f>
        <v/>
      </c>
      <c r="H333">
        <f>IF(Inventory!A333="","",Inventory!Y333)</f>
        <v/>
      </c>
      <c r="I333">
        <f>IF(Inventory!A333="","",Inventory!W333)</f>
        <v/>
      </c>
      <c r="J333">
        <f>IF(Inventory!A333="","",Inventory!AA333)</f>
        <v/>
      </c>
    </row>
    <row r="334">
      <c r="A334">
        <f>IF(Inventory!A334="","",Inventory!A334)</f>
        <v/>
      </c>
      <c r="B334">
        <f>IF(Inventory!A334="","",Inventory!B334)</f>
        <v/>
      </c>
      <c r="C334">
        <f>IF(Inventory!A334="","",Inventory!C334)</f>
        <v/>
      </c>
      <c r="D334">
        <f>IF(Inventory!A334="","",Inventory!D334)</f>
        <v/>
      </c>
      <c r="E334">
        <f>IF(Inventory!A334="","",Inventory!K334)</f>
        <v/>
      </c>
      <c r="F334">
        <f>IF(Inventory!A334="","",Inventory!I334)</f>
        <v/>
      </c>
      <c r="G334">
        <f>IF(Inventory!A334="","",Inventory!Z334)</f>
        <v/>
      </c>
      <c r="H334">
        <f>IF(Inventory!A334="","",Inventory!Y334)</f>
        <v/>
      </c>
      <c r="I334">
        <f>IF(Inventory!A334="","",Inventory!W334)</f>
        <v/>
      </c>
      <c r="J334">
        <f>IF(Inventory!A334="","",Inventory!AA334)</f>
        <v/>
      </c>
    </row>
    <row r="335">
      <c r="A335">
        <f>IF(Inventory!A335="","",Inventory!A335)</f>
        <v/>
      </c>
      <c r="B335">
        <f>IF(Inventory!A335="","",Inventory!B335)</f>
        <v/>
      </c>
      <c r="C335">
        <f>IF(Inventory!A335="","",Inventory!C335)</f>
        <v/>
      </c>
      <c r="D335">
        <f>IF(Inventory!A335="","",Inventory!D335)</f>
        <v/>
      </c>
      <c r="E335">
        <f>IF(Inventory!A335="","",Inventory!K335)</f>
        <v/>
      </c>
      <c r="F335">
        <f>IF(Inventory!A335="","",Inventory!I335)</f>
        <v/>
      </c>
      <c r="G335">
        <f>IF(Inventory!A335="","",Inventory!Z335)</f>
        <v/>
      </c>
      <c r="H335">
        <f>IF(Inventory!A335="","",Inventory!Y335)</f>
        <v/>
      </c>
      <c r="I335">
        <f>IF(Inventory!A335="","",Inventory!W335)</f>
        <v/>
      </c>
      <c r="J335">
        <f>IF(Inventory!A335="","",Inventory!AA335)</f>
        <v/>
      </c>
    </row>
    <row r="336">
      <c r="A336">
        <f>IF(Inventory!A336="","",Inventory!A336)</f>
        <v/>
      </c>
      <c r="B336">
        <f>IF(Inventory!A336="","",Inventory!B336)</f>
        <v/>
      </c>
      <c r="C336">
        <f>IF(Inventory!A336="","",Inventory!C336)</f>
        <v/>
      </c>
      <c r="D336">
        <f>IF(Inventory!A336="","",Inventory!D336)</f>
        <v/>
      </c>
      <c r="E336">
        <f>IF(Inventory!A336="","",Inventory!K336)</f>
        <v/>
      </c>
      <c r="F336">
        <f>IF(Inventory!A336="","",Inventory!I336)</f>
        <v/>
      </c>
      <c r="G336">
        <f>IF(Inventory!A336="","",Inventory!Z336)</f>
        <v/>
      </c>
      <c r="H336">
        <f>IF(Inventory!A336="","",Inventory!Y336)</f>
        <v/>
      </c>
      <c r="I336">
        <f>IF(Inventory!A336="","",Inventory!W336)</f>
        <v/>
      </c>
      <c r="J336">
        <f>IF(Inventory!A336="","",Inventory!AA336)</f>
        <v/>
      </c>
    </row>
    <row r="337">
      <c r="A337">
        <f>IF(Inventory!A337="","",Inventory!A337)</f>
        <v/>
      </c>
      <c r="B337">
        <f>IF(Inventory!A337="","",Inventory!B337)</f>
        <v/>
      </c>
      <c r="C337">
        <f>IF(Inventory!A337="","",Inventory!C337)</f>
        <v/>
      </c>
      <c r="D337">
        <f>IF(Inventory!A337="","",Inventory!D337)</f>
        <v/>
      </c>
      <c r="E337">
        <f>IF(Inventory!A337="","",Inventory!K337)</f>
        <v/>
      </c>
      <c r="F337">
        <f>IF(Inventory!A337="","",Inventory!I337)</f>
        <v/>
      </c>
      <c r="G337">
        <f>IF(Inventory!A337="","",Inventory!Z337)</f>
        <v/>
      </c>
      <c r="H337">
        <f>IF(Inventory!A337="","",Inventory!Y337)</f>
        <v/>
      </c>
      <c r="I337">
        <f>IF(Inventory!A337="","",Inventory!W337)</f>
        <v/>
      </c>
      <c r="J337">
        <f>IF(Inventory!A337="","",Inventory!AA337)</f>
        <v/>
      </c>
    </row>
    <row r="338">
      <c r="A338">
        <f>IF(Inventory!A338="","",Inventory!A338)</f>
        <v/>
      </c>
      <c r="B338">
        <f>IF(Inventory!A338="","",Inventory!B338)</f>
        <v/>
      </c>
      <c r="C338">
        <f>IF(Inventory!A338="","",Inventory!C338)</f>
        <v/>
      </c>
      <c r="D338">
        <f>IF(Inventory!A338="","",Inventory!D338)</f>
        <v/>
      </c>
      <c r="E338">
        <f>IF(Inventory!A338="","",Inventory!K338)</f>
        <v/>
      </c>
      <c r="F338">
        <f>IF(Inventory!A338="","",Inventory!I338)</f>
        <v/>
      </c>
      <c r="G338">
        <f>IF(Inventory!A338="","",Inventory!Z338)</f>
        <v/>
      </c>
      <c r="H338">
        <f>IF(Inventory!A338="","",Inventory!Y338)</f>
        <v/>
      </c>
      <c r="I338">
        <f>IF(Inventory!A338="","",Inventory!W338)</f>
        <v/>
      </c>
      <c r="J338">
        <f>IF(Inventory!A338="","",Inventory!AA338)</f>
        <v/>
      </c>
    </row>
    <row r="339">
      <c r="A339">
        <f>IF(Inventory!A339="","",Inventory!A339)</f>
        <v/>
      </c>
      <c r="B339">
        <f>IF(Inventory!A339="","",Inventory!B339)</f>
        <v/>
      </c>
      <c r="C339">
        <f>IF(Inventory!A339="","",Inventory!C339)</f>
        <v/>
      </c>
      <c r="D339">
        <f>IF(Inventory!A339="","",Inventory!D339)</f>
        <v/>
      </c>
      <c r="E339">
        <f>IF(Inventory!A339="","",Inventory!K339)</f>
        <v/>
      </c>
      <c r="F339">
        <f>IF(Inventory!A339="","",Inventory!I339)</f>
        <v/>
      </c>
      <c r="G339">
        <f>IF(Inventory!A339="","",Inventory!Z339)</f>
        <v/>
      </c>
      <c r="H339">
        <f>IF(Inventory!A339="","",Inventory!Y339)</f>
        <v/>
      </c>
      <c r="I339">
        <f>IF(Inventory!A339="","",Inventory!W339)</f>
        <v/>
      </c>
      <c r="J339">
        <f>IF(Inventory!A339="","",Inventory!AA339)</f>
        <v/>
      </c>
    </row>
    <row r="340">
      <c r="A340">
        <f>IF(Inventory!A340="","",Inventory!A340)</f>
        <v/>
      </c>
      <c r="B340">
        <f>IF(Inventory!A340="","",Inventory!B340)</f>
        <v/>
      </c>
      <c r="C340">
        <f>IF(Inventory!A340="","",Inventory!C340)</f>
        <v/>
      </c>
      <c r="D340">
        <f>IF(Inventory!A340="","",Inventory!D340)</f>
        <v/>
      </c>
      <c r="E340">
        <f>IF(Inventory!A340="","",Inventory!K340)</f>
        <v/>
      </c>
      <c r="F340">
        <f>IF(Inventory!A340="","",Inventory!I340)</f>
        <v/>
      </c>
      <c r="G340">
        <f>IF(Inventory!A340="","",Inventory!Z340)</f>
        <v/>
      </c>
      <c r="H340">
        <f>IF(Inventory!A340="","",Inventory!Y340)</f>
        <v/>
      </c>
      <c r="I340">
        <f>IF(Inventory!A340="","",Inventory!W340)</f>
        <v/>
      </c>
      <c r="J340">
        <f>IF(Inventory!A340="","",Inventory!AA340)</f>
        <v/>
      </c>
    </row>
    <row r="341">
      <c r="A341">
        <f>IF(Inventory!A341="","",Inventory!A341)</f>
        <v/>
      </c>
      <c r="B341">
        <f>IF(Inventory!A341="","",Inventory!B341)</f>
        <v/>
      </c>
      <c r="C341">
        <f>IF(Inventory!A341="","",Inventory!C341)</f>
        <v/>
      </c>
      <c r="D341">
        <f>IF(Inventory!A341="","",Inventory!D341)</f>
        <v/>
      </c>
      <c r="E341">
        <f>IF(Inventory!A341="","",Inventory!K341)</f>
        <v/>
      </c>
      <c r="F341">
        <f>IF(Inventory!A341="","",Inventory!I341)</f>
        <v/>
      </c>
      <c r="G341">
        <f>IF(Inventory!A341="","",Inventory!Z341)</f>
        <v/>
      </c>
      <c r="H341">
        <f>IF(Inventory!A341="","",Inventory!Y341)</f>
        <v/>
      </c>
      <c r="I341">
        <f>IF(Inventory!A341="","",Inventory!W341)</f>
        <v/>
      </c>
      <c r="J341">
        <f>IF(Inventory!A341="","",Inventory!AA341)</f>
        <v/>
      </c>
    </row>
    <row r="342">
      <c r="A342">
        <f>IF(Inventory!A342="","",Inventory!A342)</f>
        <v/>
      </c>
      <c r="B342">
        <f>IF(Inventory!A342="","",Inventory!B342)</f>
        <v/>
      </c>
      <c r="C342">
        <f>IF(Inventory!A342="","",Inventory!C342)</f>
        <v/>
      </c>
      <c r="D342">
        <f>IF(Inventory!A342="","",Inventory!D342)</f>
        <v/>
      </c>
      <c r="E342">
        <f>IF(Inventory!A342="","",Inventory!K342)</f>
        <v/>
      </c>
      <c r="F342">
        <f>IF(Inventory!A342="","",Inventory!I342)</f>
        <v/>
      </c>
      <c r="G342">
        <f>IF(Inventory!A342="","",Inventory!Z342)</f>
        <v/>
      </c>
      <c r="H342">
        <f>IF(Inventory!A342="","",Inventory!Y342)</f>
        <v/>
      </c>
      <c r="I342">
        <f>IF(Inventory!A342="","",Inventory!W342)</f>
        <v/>
      </c>
      <c r="J342">
        <f>IF(Inventory!A342="","",Inventory!AA342)</f>
        <v/>
      </c>
    </row>
    <row r="343">
      <c r="A343">
        <f>IF(Inventory!A343="","",Inventory!A343)</f>
        <v/>
      </c>
      <c r="B343">
        <f>IF(Inventory!A343="","",Inventory!B343)</f>
        <v/>
      </c>
      <c r="C343">
        <f>IF(Inventory!A343="","",Inventory!C343)</f>
        <v/>
      </c>
      <c r="D343">
        <f>IF(Inventory!A343="","",Inventory!D343)</f>
        <v/>
      </c>
      <c r="E343">
        <f>IF(Inventory!A343="","",Inventory!K343)</f>
        <v/>
      </c>
      <c r="F343">
        <f>IF(Inventory!A343="","",Inventory!I343)</f>
        <v/>
      </c>
      <c r="G343">
        <f>IF(Inventory!A343="","",Inventory!Z343)</f>
        <v/>
      </c>
      <c r="H343">
        <f>IF(Inventory!A343="","",Inventory!Y343)</f>
        <v/>
      </c>
      <c r="I343">
        <f>IF(Inventory!A343="","",Inventory!W343)</f>
        <v/>
      </c>
      <c r="J343">
        <f>IF(Inventory!A343="","",Inventory!AA343)</f>
        <v/>
      </c>
    </row>
    <row r="344">
      <c r="A344">
        <f>IF(Inventory!A344="","",Inventory!A344)</f>
        <v/>
      </c>
      <c r="B344">
        <f>IF(Inventory!A344="","",Inventory!B344)</f>
        <v/>
      </c>
      <c r="C344">
        <f>IF(Inventory!A344="","",Inventory!C344)</f>
        <v/>
      </c>
      <c r="D344">
        <f>IF(Inventory!A344="","",Inventory!D344)</f>
        <v/>
      </c>
      <c r="E344">
        <f>IF(Inventory!A344="","",Inventory!K344)</f>
        <v/>
      </c>
      <c r="F344">
        <f>IF(Inventory!A344="","",Inventory!I344)</f>
        <v/>
      </c>
      <c r="G344">
        <f>IF(Inventory!A344="","",Inventory!Z344)</f>
        <v/>
      </c>
      <c r="H344">
        <f>IF(Inventory!A344="","",Inventory!Y344)</f>
        <v/>
      </c>
      <c r="I344">
        <f>IF(Inventory!A344="","",Inventory!W344)</f>
        <v/>
      </c>
      <c r="J344">
        <f>IF(Inventory!A344="","",Inventory!AA344)</f>
        <v/>
      </c>
    </row>
    <row r="345">
      <c r="A345">
        <f>IF(Inventory!A345="","",Inventory!A345)</f>
        <v/>
      </c>
      <c r="B345">
        <f>IF(Inventory!A345="","",Inventory!B345)</f>
        <v/>
      </c>
      <c r="C345">
        <f>IF(Inventory!A345="","",Inventory!C345)</f>
        <v/>
      </c>
      <c r="D345">
        <f>IF(Inventory!A345="","",Inventory!D345)</f>
        <v/>
      </c>
      <c r="E345">
        <f>IF(Inventory!A345="","",Inventory!K345)</f>
        <v/>
      </c>
      <c r="F345">
        <f>IF(Inventory!A345="","",Inventory!I345)</f>
        <v/>
      </c>
      <c r="G345">
        <f>IF(Inventory!A345="","",Inventory!Z345)</f>
        <v/>
      </c>
      <c r="H345">
        <f>IF(Inventory!A345="","",Inventory!Y345)</f>
        <v/>
      </c>
      <c r="I345">
        <f>IF(Inventory!A345="","",Inventory!W345)</f>
        <v/>
      </c>
      <c r="J345">
        <f>IF(Inventory!A345="","",Inventory!AA345)</f>
        <v/>
      </c>
    </row>
    <row r="346">
      <c r="A346">
        <f>IF(Inventory!A346="","",Inventory!A346)</f>
        <v/>
      </c>
      <c r="B346">
        <f>IF(Inventory!A346="","",Inventory!B346)</f>
        <v/>
      </c>
      <c r="C346">
        <f>IF(Inventory!A346="","",Inventory!C346)</f>
        <v/>
      </c>
      <c r="D346">
        <f>IF(Inventory!A346="","",Inventory!D346)</f>
        <v/>
      </c>
      <c r="E346">
        <f>IF(Inventory!A346="","",Inventory!K346)</f>
        <v/>
      </c>
      <c r="F346">
        <f>IF(Inventory!A346="","",Inventory!I346)</f>
        <v/>
      </c>
      <c r="G346">
        <f>IF(Inventory!A346="","",Inventory!Z346)</f>
        <v/>
      </c>
      <c r="H346">
        <f>IF(Inventory!A346="","",Inventory!Y346)</f>
        <v/>
      </c>
      <c r="I346">
        <f>IF(Inventory!A346="","",Inventory!W346)</f>
        <v/>
      </c>
      <c r="J346">
        <f>IF(Inventory!A346="","",Inventory!AA346)</f>
        <v/>
      </c>
    </row>
    <row r="347">
      <c r="A347">
        <f>IF(Inventory!A347="","",Inventory!A347)</f>
        <v/>
      </c>
      <c r="B347">
        <f>IF(Inventory!A347="","",Inventory!B347)</f>
        <v/>
      </c>
      <c r="C347">
        <f>IF(Inventory!A347="","",Inventory!C347)</f>
        <v/>
      </c>
      <c r="D347">
        <f>IF(Inventory!A347="","",Inventory!D347)</f>
        <v/>
      </c>
      <c r="E347">
        <f>IF(Inventory!A347="","",Inventory!K347)</f>
        <v/>
      </c>
      <c r="F347">
        <f>IF(Inventory!A347="","",Inventory!I347)</f>
        <v/>
      </c>
      <c r="G347">
        <f>IF(Inventory!A347="","",Inventory!Z347)</f>
        <v/>
      </c>
      <c r="H347">
        <f>IF(Inventory!A347="","",Inventory!Y347)</f>
        <v/>
      </c>
      <c r="I347">
        <f>IF(Inventory!A347="","",Inventory!W347)</f>
        <v/>
      </c>
      <c r="J347">
        <f>IF(Inventory!A347="","",Inventory!AA347)</f>
        <v/>
      </c>
    </row>
    <row r="348">
      <c r="A348">
        <f>IF(Inventory!A348="","",Inventory!A348)</f>
        <v/>
      </c>
      <c r="B348">
        <f>IF(Inventory!A348="","",Inventory!B348)</f>
        <v/>
      </c>
      <c r="C348">
        <f>IF(Inventory!A348="","",Inventory!C348)</f>
        <v/>
      </c>
      <c r="D348">
        <f>IF(Inventory!A348="","",Inventory!D348)</f>
        <v/>
      </c>
      <c r="E348">
        <f>IF(Inventory!A348="","",Inventory!K348)</f>
        <v/>
      </c>
      <c r="F348">
        <f>IF(Inventory!A348="","",Inventory!I348)</f>
        <v/>
      </c>
      <c r="G348">
        <f>IF(Inventory!A348="","",Inventory!Z348)</f>
        <v/>
      </c>
      <c r="H348">
        <f>IF(Inventory!A348="","",Inventory!Y348)</f>
        <v/>
      </c>
      <c r="I348">
        <f>IF(Inventory!A348="","",Inventory!W348)</f>
        <v/>
      </c>
      <c r="J348">
        <f>IF(Inventory!A348="","",Inventory!AA348)</f>
        <v/>
      </c>
    </row>
    <row r="349">
      <c r="A349">
        <f>IF(Inventory!A349="","",Inventory!A349)</f>
        <v/>
      </c>
      <c r="B349">
        <f>IF(Inventory!A349="","",Inventory!B349)</f>
        <v/>
      </c>
      <c r="C349">
        <f>IF(Inventory!A349="","",Inventory!C349)</f>
        <v/>
      </c>
      <c r="D349">
        <f>IF(Inventory!A349="","",Inventory!D349)</f>
        <v/>
      </c>
      <c r="E349">
        <f>IF(Inventory!A349="","",Inventory!K349)</f>
        <v/>
      </c>
      <c r="F349">
        <f>IF(Inventory!A349="","",Inventory!I349)</f>
        <v/>
      </c>
      <c r="G349">
        <f>IF(Inventory!A349="","",Inventory!Z349)</f>
        <v/>
      </c>
      <c r="H349">
        <f>IF(Inventory!A349="","",Inventory!Y349)</f>
        <v/>
      </c>
      <c r="I349">
        <f>IF(Inventory!A349="","",Inventory!W349)</f>
        <v/>
      </c>
      <c r="J349">
        <f>IF(Inventory!A349="","",Inventory!AA349)</f>
        <v/>
      </c>
    </row>
    <row r="350">
      <c r="A350">
        <f>IF(Inventory!A350="","",Inventory!A350)</f>
        <v/>
      </c>
      <c r="B350">
        <f>IF(Inventory!A350="","",Inventory!B350)</f>
        <v/>
      </c>
      <c r="C350">
        <f>IF(Inventory!A350="","",Inventory!C350)</f>
        <v/>
      </c>
      <c r="D350">
        <f>IF(Inventory!A350="","",Inventory!D350)</f>
        <v/>
      </c>
      <c r="E350">
        <f>IF(Inventory!A350="","",Inventory!K350)</f>
        <v/>
      </c>
      <c r="F350">
        <f>IF(Inventory!A350="","",Inventory!I350)</f>
        <v/>
      </c>
      <c r="G350">
        <f>IF(Inventory!A350="","",Inventory!Z350)</f>
        <v/>
      </c>
      <c r="H350">
        <f>IF(Inventory!A350="","",Inventory!Y350)</f>
        <v/>
      </c>
      <c r="I350">
        <f>IF(Inventory!A350="","",Inventory!W350)</f>
        <v/>
      </c>
      <c r="J350">
        <f>IF(Inventory!A350="","",Inventory!AA350)</f>
        <v/>
      </c>
    </row>
    <row r="351">
      <c r="A351">
        <f>IF(Inventory!A351="","",Inventory!A351)</f>
        <v/>
      </c>
      <c r="B351">
        <f>IF(Inventory!A351="","",Inventory!B351)</f>
        <v/>
      </c>
      <c r="C351">
        <f>IF(Inventory!A351="","",Inventory!C351)</f>
        <v/>
      </c>
      <c r="D351">
        <f>IF(Inventory!A351="","",Inventory!D351)</f>
        <v/>
      </c>
      <c r="E351">
        <f>IF(Inventory!A351="","",Inventory!K351)</f>
        <v/>
      </c>
      <c r="F351">
        <f>IF(Inventory!A351="","",Inventory!I351)</f>
        <v/>
      </c>
      <c r="G351">
        <f>IF(Inventory!A351="","",Inventory!Z351)</f>
        <v/>
      </c>
      <c r="H351">
        <f>IF(Inventory!A351="","",Inventory!Y351)</f>
        <v/>
      </c>
      <c r="I351">
        <f>IF(Inventory!A351="","",Inventory!W351)</f>
        <v/>
      </c>
      <c r="J351">
        <f>IF(Inventory!A351="","",Inventory!AA351)</f>
        <v/>
      </c>
    </row>
    <row r="352">
      <c r="A352">
        <f>IF(Inventory!A352="","",Inventory!A352)</f>
        <v/>
      </c>
      <c r="B352">
        <f>IF(Inventory!A352="","",Inventory!B352)</f>
        <v/>
      </c>
      <c r="C352">
        <f>IF(Inventory!A352="","",Inventory!C352)</f>
        <v/>
      </c>
      <c r="D352">
        <f>IF(Inventory!A352="","",Inventory!D352)</f>
        <v/>
      </c>
      <c r="E352">
        <f>IF(Inventory!A352="","",Inventory!K352)</f>
        <v/>
      </c>
      <c r="F352">
        <f>IF(Inventory!A352="","",Inventory!I352)</f>
        <v/>
      </c>
      <c r="G352">
        <f>IF(Inventory!A352="","",Inventory!Z352)</f>
        <v/>
      </c>
      <c r="H352">
        <f>IF(Inventory!A352="","",Inventory!Y352)</f>
        <v/>
      </c>
      <c r="I352">
        <f>IF(Inventory!A352="","",Inventory!W352)</f>
        <v/>
      </c>
      <c r="J352">
        <f>IF(Inventory!A352="","",Inventory!AA352)</f>
        <v/>
      </c>
    </row>
    <row r="353">
      <c r="A353">
        <f>IF(Inventory!A353="","",Inventory!A353)</f>
        <v/>
      </c>
      <c r="B353">
        <f>IF(Inventory!A353="","",Inventory!B353)</f>
        <v/>
      </c>
      <c r="C353">
        <f>IF(Inventory!A353="","",Inventory!C353)</f>
        <v/>
      </c>
      <c r="D353">
        <f>IF(Inventory!A353="","",Inventory!D353)</f>
        <v/>
      </c>
      <c r="E353">
        <f>IF(Inventory!A353="","",Inventory!K353)</f>
        <v/>
      </c>
      <c r="F353">
        <f>IF(Inventory!A353="","",Inventory!I353)</f>
        <v/>
      </c>
      <c r="G353">
        <f>IF(Inventory!A353="","",Inventory!Z353)</f>
        <v/>
      </c>
      <c r="H353">
        <f>IF(Inventory!A353="","",Inventory!Y353)</f>
        <v/>
      </c>
      <c r="I353">
        <f>IF(Inventory!A353="","",Inventory!W353)</f>
        <v/>
      </c>
      <c r="J353">
        <f>IF(Inventory!A353="","",Inventory!AA353)</f>
        <v/>
      </c>
    </row>
    <row r="354">
      <c r="A354">
        <f>IF(Inventory!A354="","",Inventory!A354)</f>
        <v/>
      </c>
      <c r="B354">
        <f>IF(Inventory!A354="","",Inventory!B354)</f>
        <v/>
      </c>
      <c r="C354">
        <f>IF(Inventory!A354="","",Inventory!C354)</f>
        <v/>
      </c>
      <c r="D354">
        <f>IF(Inventory!A354="","",Inventory!D354)</f>
        <v/>
      </c>
      <c r="E354">
        <f>IF(Inventory!A354="","",Inventory!K354)</f>
        <v/>
      </c>
      <c r="F354">
        <f>IF(Inventory!A354="","",Inventory!I354)</f>
        <v/>
      </c>
      <c r="G354">
        <f>IF(Inventory!A354="","",Inventory!Z354)</f>
        <v/>
      </c>
      <c r="H354">
        <f>IF(Inventory!A354="","",Inventory!Y354)</f>
        <v/>
      </c>
      <c r="I354">
        <f>IF(Inventory!A354="","",Inventory!W354)</f>
        <v/>
      </c>
      <c r="J354">
        <f>IF(Inventory!A354="","",Inventory!AA354)</f>
        <v/>
      </c>
    </row>
    <row r="355">
      <c r="A355">
        <f>IF(Inventory!A355="","",Inventory!A355)</f>
        <v/>
      </c>
      <c r="B355">
        <f>IF(Inventory!A355="","",Inventory!B355)</f>
        <v/>
      </c>
      <c r="C355">
        <f>IF(Inventory!A355="","",Inventory!C355)</f>
        <v/>
      </c>
      <c r="D355">
        <f>IF(Inventory!A355="","",Inventory!D355)</f>
        <v/>
      </c>
      <c r="E355">
        <f>IF(Inventory!A355="","",Inventory!K355)</f>
        <v/>
      </c>
      <c r="F355">
        <f>IF(Inventory!A355="","",Inventory!I355)</f>
        <v/>
      </c>
      <c r="G355">
        <f>IF(Inventory!A355="","",Inventory!Z355)</f>
        <v/>
      </c>
      <c r="H355">
        <f>IF(Inventory!A355="","",Inventory!Y355)</f>
        <v/>
      </c>
      <c r="I355">
        <f>IF(Inventory!A355="","",Inventory!W355)</f>
        <v/>
      </c>
      <c r="J355">
        <f>IF(Inventory!A355="","",Inventory!AA355)</f>
        <v/>
      </c>
    </row>
    <row r="356">
      <c r="A356">
        <f>IF(Inventory!A356="","",Inventory!A356)</f>
        <v/>
      </c>
      <c r="B356">
        <f>IF(Inventory!A356="","",Inventory!B356)</f>
        <v/>
      </c>
      <c r="C356">
        <f>IF(Inventory!A356="","",Inventory!C356)</f>
        <v/>
      </c>
      <c r="D356">
        <f>IF(Inventory!A356="","",Inventory!D356)</f>
        <v/>
      </c>
      <c r="E356">
        <f>IF(Inventory!A356="","",Inventory!K356)</f>
        <v/>
      </c>
      <c r="F356">
        <f>IF(Inventory!A356="","",Inventory!I356)</f>
        <v/>
      </c>
      <c r="G356">
        <f>IF(Inventory!A356="","",Inventory!Z356)</f>
        <v/>
      </c>
      <c r="H356">
        <f>IF(Inventory!A356="","",Inventory!Y356)</f>
        <v/>
      </c>
      <c r="I356">
        <f>IF(Inventory!A356="","",Inventory!W356)</f>
        <v/>
      </c>
      <c r="J356">
        <f>IF(Inventory!A356="","",Inventory!AA356)</f>
        <v/>
      </c>
    </row>
    <row r="357">
      <c r="A357">
        <f>IF(Inventory!A357="","",Inventory!A357)</f>
        <v/>
      </c>
      <c r="B357">
        <f>IF(Inventory!A357="","",Inventory!B357)</f>
        <v/>
      </c>
      <c r="C357">
        <f>IF(Inventory!A357="","",Inventory!C357)</f>
        <v/>
      </c>
      <c r="D357">
        <f>IF(Inventory!A357="","",Inventory!D357)</f>
        <v/>
      </c>
      <c r="E357">
        <f>IF(Inventory!A357="","",Inventory!K357)</f>
        <v/>
      </c>
      <c r="F357">
        <f>IF(Inventory!A357="","",Inventory!I357)</f>
        <v/>
      </c>
      <c r="G357">
        <f>IF(Inventory!A357="","",Inventory!Z357)</f>
        <v/>
      </c>
      <c r="H357">
        <f>IF(Inventory!A357="","",Inventory!Y357)</f>
        <v/>
      </c>
      <c r="I357">
        <f>IF(Inventory!A357="","",Inventory!W357)</f>
        <v/>
      </c>
      <c r="J357">
        <f>IF(Inventory!A357="","",Inventory!AA357)</f>
        <v/>
      </c>
    </row>
    <row r="358">
      <c r="A358">
        <f>IF(Inventory!A358="","",Inventory!A358)</f>
        <v/>
      </c>
      <c r="B358">
        <f>IF(Inventory!A358="","",Inventory!B358)</f>
        <v/>
      </c>
      <c r="C358">
        <f>IF(Inventory!A358="","",Inventory!C358)</f>
        <v/>
      </c>
      <c r="D358">
        <f>IF(Inventory!A358="","",Inventory!D358)</f>
        <v/>
      </c>
      <c r="E358">
        <f>IF(Inventory!A358="","",Inventory!K358)</f>
        <v/>
      </c>
      <c r="F358">
        <f>IF(Inventory!A358="","",Inventory!I358)</f>
        <v/>
      </c>
      <c r="G358">
        <f>IF(Inventory!A358="","",Inventory!Z358)</f>
        <v/>
      </c>
      <c r="H358">
        <f>IF(Inventory!A358="","",Inventory!Y358)</f>
        <v/>
      </c>
      <c r="I358">
        <f>IF(Inventory!A358="","",Inventory!W358)</f>
        <v/>
      </c>
      <c r="J358">
        <f>IF(Inventory!A358="","",Inventory!AA358)</f>
        <v/>
      </c>
    </row>
    <row r="359">
      <c r="A359">
        <f>IF(Inventory!A359="","",Inventory!A359)</f>
        <v/>
      </c>
      <c r="B359">
        <f>IF(Inventory!A359="","",Inventory!B359)</f>
        <v/>
      </c>
      <c r="C359">
        <f>IF(Inventory!A359="","",Inventory!C359)</f>
        <v/>
      </c>
      <c r="D359">
        <f>IF(Inventory!A359="","",Inventory!D359)</f>
        <v/>
      </c>
      <c r="E359">
        <f>IF(Inventory!A359="","",Inventory!K359)</f>
        <v/>
      </c>
      <c r="F359">
        <f>IF(Inventory!A359="","",Inventory!I359)</f>
        <v/>
      </c>
      <c r="G359">
        <f>IF(Inventory!A359="","",Inventory!Z359)</f>
        <v/>
      </c>
      <c r="H359">
        <f>IF(Inventory!A359="","",Inventory!Y359)</f>
        <v/>
      </c>
      <c r="I359">
        <f>IF(Inventory!A359="","",Inventory!W359)</f>
        <v/>
      </c>
      <c r="J359">
        <f>IF(Inventory!A359="","",Inventory!AA359)</f>
        <v/>
      </c>
    </row>
    <row r="360">
      <c r="A360">
        <f>IF(Inventory!A360="","",Inventory!A360)</f>
        <v/>
      </c>
      <c r="B360">
        <f>IF(Inventory!A360="","",Inventory!B360)</f>
        <v/>
      </c>
      <c r="C360">
        <f>IF(Inventory!A360="","",Inventory!C360)</f>
        <v/>
      </c>
      <c r="D360">
        <f>IF(Inventory!A360="","",Inventory!D360)</f>
        <v/>
      </c>
      <c r="E360">
        <f>IF(Inventory!A360="","",Inventory!K360)</f>
        <v/>
      </c>
      <c r="F360">
        <f>IF(Inventory!A360="","",Inventory!I360)</f>
        <v/>
      </c>
      <c r="G360">
        <f>IF(Inventory!A360="","",Inventory!Z360)</f>
        <v/>
      </c>
      <c r="H360">
        <f>IF(Inventory!A360="","",Inventory!Y360)</f>
        <v/>
      </c>
      <c r="I360">
        <f>IF(Inventory!A360="","",Inventory!W360)</f>
        <v/>
      </c>
      <c r="J360">
        <f>IF(Inventory!A360="","",Inventory!AA360)</f>
        <v/>
      </c>
    </row>
    <row r="361">
      <c r="A361">
        <f>IF(Inventory!A361="","",Inventory!A361)</f>
        <v/>
      </c>
      <c r="B361">
        <f>IF(Inventory!A361="","",Inventory!B361)</f>
        <v/>
      </c>
      <c r="C361">
        <f>IF(Inventory!A361="","",Inventory!C361)</f>
        <v/>
      </c>
      <c r="D361">
        <f>IF(Inventory!A361="","",Inventory!D361)</f>
        <v/>
      </c>
      <c r="E361">
        <f>IF(Inventory!A361="","",Inventory!K361)</f>
        <v/>
      </c>
      <c r="F361">
        <f>IF(Inventory!A361="","",Inventory!I361)</f>
        <v/>
      </c>
      <c r="G361">
        <f>IF(Inventory!A361="","",Inventory!Z361)</f>
        <v/>
      </c>
      <c r="H361">
        <f>IF(Inventory!A361="","",Inventory!Y361)</f>
        <v/>
      </c>
      <c r="I361">
        <f>IF(Inventory!A361="","",Inventory!W361)</f>
        <v/>
      </c>
      <c r="J361">
        <f>IF(Inventory!A361="","",Inventory!AA361)</f>
        <v/>
      </c>
    </row>
    <row r="362">
      <c r="A362">
        <f>IF(Inventory!A362="","",Inventory!A362)</f>
        <v/>
      </c>
      <c r="B362">
        <f>IF(Inventory!A362="","",Inventory!B362)</f>
        <v/>
      </c>
      <c r="C362">
        <f>IF(Inventory!A362="","",Inventory!C362)</f>
        <v/>
      </c>
      <c r="D362">
        <f>IF(Inventory!A362="","",Inventory!D362)</f>
        <v/>
      </c>
      <c r="E362">
        <f>IF(Inventory!A362="","",Inventory!K362)</f>
        <v/>
      </c>
      <c r="F362">
        <f>IF(Inventory!A362="","",Inventory!I362)</f>
        <v/>
      </c>
      <c r="G362">
        <f>IF(Inventory!A362="","",Inventory!Z362)</f>
        <v/>
      </c>
      <c r="H362">
        <f>IF(Inventory!A362="","",Inventory!Y362)</f>
        <v/>
      </c>
      <c r="I362">
        <f>IF(Inventory!A362="","",Inventory!W362)</f>
        <v/>
      </c>
      <c r="J362">
        <f>IF(Inventory!A362="","",Inventory!AA362)</f>
        <v/>
      </c>
    </row>
    <row r="363">
      <c r="A363">
        <f>IF(Inventory!A363="","",Inventory!A363)</f>
        <v/>
      </c>
      <c r="B363">
        <f>IF(Inventory!A363="","",Inventory!B363)</f>
        <v/>
      </c>
      <c r="C363">
        <f>IF(Inventory!A363="","",Inventory!C363)</f>
        <v/>
      </c>
      <c r="D363">
        <f>IF(Inventory!A363="","",Inventory!D363)</f>
        <v/>
      </c>
      <c r="E363">
        <f>IF(Inventory!A363="","",Inventory!K363)</f>
        <v/>
      </c>
      <c r="F363">
        <f>IF(Inventory!A363="","",Inventory!I363)</f>
        <v/>
      </c>
      <c r="G363">
        <f>IF(Inventory!A363="","",Inventory!Z363)</f>
        <v/>
      </c>
      <c r="H363">
        <f>IF(Inventory!A363="","",Inventory!Y363)</f>
        <v/>
      </c>
      <c r="I363">
        <f>IF(Inventory!A363="","",Inventory!W363)</f>
        <v/>
      </c>
      <c r="J363">
        <f>IF(Inventory!A363="","",Inventory!AA363)</f>
        <v/>
      </c>
    </row>
    <row r="364">
      <c r="A364">
        <f>IF(Inventory!A364="","",Inventory!A364)</f>
        <v/>
      </c>
      <c r="B364">
        <f>IF(Inventory!A364="","",Inventory!B364)</f>
        <v/>
      </c>
      <c r="C364">
        <f>IF(Inventory!A364="","",Inventory!C364)</f>
        <v/>
      </c>
      <c r="D364">
        <f>IF(Inventory!A364="","",Inventory!D364)</f>
        <v/>
      </c>
      <c r="E364">
        <f>IF(Inventory!A364="","",Inventory!K364)</f>
        <v/>
      </c>
      <c r="F364">
        <f>IF(Inventory!A364="","",Inventory!I364)</f>
        <v/>
      </c>
      <c r="G364">
        <f>IF(Inventory!A364="","",Inventory!Z364)</f>
        <v/>
      </c>
      <c r="H364">
        <f>IF(Inventory!A364="","",Inventory!Y364)</f>
        <v/>
      </c>
      <c r="I364">
        <f>IF(Inventory!A364="","",Inventory!W364)</f>
        <v/>
      </c>
      <c r="J364">
        <f>IF(Inventory!A364="","",Inventory!AA364)</f>
        <v/>
      </c>
    </row>
    <row r="365">
      <c r="A365">
        <f>IF(Inventory!A365="","",Inventory!A365)</f>
        <v/>
      </c>
      <c r="B365">
        <f>IF(Inventory!A365="","",Inventory!B365)</f>
        <v/>
      </c>
      <c r="C365">
        <f>IF(Inventory!A365="","",Inventory!C365)</f>
        <v/>
      </c>
      <c r="D365">
        <f>IF(Inventory!A365="","",Inventory!D365)</f>
        <v/>
      </c>
      <c r="E365">
        <f>IF(Inventory!A365="","",Inventory!K365)</f>
        <v/>
      </c>
      <c r="F365">
        <f>IF(Inventory!A365="","",Inventory!I365)</f>
        <v/>
      </c>
      <c r="G365">
        <f>IF(Inventory!A365="","",Inventory!Z365)</f>
        <v/>
      </c>
      <c r="H365">
        <f>IF(Inventory!A365="","",Inventory!Y365)</f>
        <v/>
      </c>
      <c r="I365">
        <f>IF(Inventory!A365="","",Inventory!W365)</f>
        <v/>
      </c>
      <c r="J365">
        <f>IF(Inventory!A365="","",Inventory!AA365)</f>
        <v/>
      </c>
    </row>
    <row r="366">
      <c r="A366">
        <f>IF(Inventory!A366="","",Inventory!A366)</f>
        <v/>
      </c>
      <c r="B366">
        <f>IF(Inventory!A366="","",Inventory!B366)</f>
        <v/>
      </c>
      <c r="C366">
        <f>IF(Inventory!A366="","",Inventory!C366)</f>
        <v/>
      </c>
      <c r="D366">
        <f>IF(Inventory!A366="","",Inventory!D366)</f>
        <v/>
      </c>
      <c r="E366">
        <f>IF(Inventory!A366="","",Inventory!K366)</f>
        <v/>
      </c>
      <c r="F366">
        <f>IF(Inventory!A366="","",Inventory!I366)</f>
        <v/>
      </c>
      <c r="G366">
        <f>IF(Inventory!A366="","",Inventory!Z366)</f>
        <v/>
      </c>
      <c r="H366">
        <f>IF(Inventory!A366="","",Inventory!Y366)</f>
        <v/>
      </c>
      <c r="I366">
        <f>IF(Inventory!A366="","",Inventory!W366)</f>
        <v/>
      </c>
      <c r="J366">
        <f>IF(Inventory!A366="","",Inventory!AA366)</f>
        <v/>
      </c>
    </row>
    <row r="367">
      <c r="A367">
        <f>IF(Inventory!A367="","",Inventory!A367)</f>
        <v/>
      </c>
      <c r="B367">
        <f>IF(Inventory!A367="","",Inventory!B367)</f>
        <v/>
      </c>
      <c r="C367">
        <f>IF(Inventory!A367="","",Inventory!C367)</f>
        <v/>
      </c>
      <c r="D367">
        <f>IF(Inventory!A367="","",Inventory!D367)</f>
        <v/>
      </c>
      <c r="E367">
        <f>IF(Inventory!A367="","",Inventory!K367)</f>
        <v/>
      </c>
      <c r="F367">
        <f>IF(Inventory!A367="","",Inventory!I367)</f>
        <v/>
      </c>
      <c r="G367">
        <f>IF(Inventory!A367="","",Inventory!Z367)</f>
        <v/>
      </c>
      <c r="H367">
        <f>IF(Inventory!A367="","",Inventory!Y367)</f>
        <v/>
      </c>
      <c r="I367">
        <f>IF(Inventory!A367="","",Inventory!W367)</f>
        <v/>
      </c>
      <c r="J367">
        <f>IF(Inventory!A367="","",Inventory!AA367)</f>
        <v/>
      </c>
    </row>
    <row r="368">
      <c r="A368">
        <f>IF(Inventory!A368="","",Inventory!A368)</f>
        <v/>
      </c>
      <c r="B368">
        <f>IF(Inventory!A368="","",Inventory!B368)</f>
        <v/>
      </c>
      <c r="C368">
        <f>IF(Inventory!A368="","",Inventory!C368)</f>
        <v/>
      </c>
      <c r="D368">
        <f>IF(Inventory!A368="","",Inventory!D368)</f>
        <v/>
      </c>
      <c r="E368">
        <f>IF(Inventory!A368="","",Inventory!K368)</f>
        <v/>
      </c>
      <c r="F368">
        <f>IF(Inventory!A368="","",Inventory!I368)</f>
        <v/>
      </c>
      <c r="G368">
        <f>IF(Inventory!A368="","",Inventory!Z368)</f>
        <v/>
      </c>
      <c r="H368">
        <f>IF(Inventory!A368="","",Inventory!Y368)</f>
        <v/>
      </c>
      <c r="I368">
        <f>IF(Inventory!A368="","",Inventory!W368)</f>
        <v/>
      </c>
      <c r="J368">
        <f>IF(Inventory!A368="","",Inventory!AA368)</f>
        <v/>
      </c>
    </row>
    <row r="369">
      <c r="A369">
        <f>IF(Inventory!A369="","",Inventory!A369)</f>
        <v/>
      </c>
      <c r="B369">
        <f>IF(Inventory!A369="","",Inventory!B369)</f>
        <v/>
      </c>
      <c r="C369">
        <f>IF(Inventory!A369="","",Inventory!C369)</f>
        <v/>
      </c>
      <c r="D369">
        <f>IF(Inventory!A369="","",Inventory!D369)</f>
        <v/>
      </c>
      <c r="E369">
        <f>IF(Inventory!A369="","",Inventory!K369)</f>
        <v/>
      </c>
      <c r="F369">
        <f>IF(Inventory!A369="","",Inventory!I369)</f>
        <v/>
      </c>
      <c r="G369">
        <f>IF(Inventory!A369="","",Inventory!Z369)</f>
        <v/>
      </c>
      <c r="H369">
        <f>IF(Inventory!A369="","",Inventory!Y369)</f>
        <v/>
      </c>
      <c r="I369">
        <f>IF(Inventory!A369="","",Inventory!W369)</f>
        <v/>
      </c>
      <c r="J369">
        <f>IF(Inventory!A369="","",Inventory!AA369)</f>
        <v/>
      </c>
    </row>
    <row r="370">
      <c r="A370">
        <f>IF(Inventory!A370="","",Inventory!A370)</f>
        <v/>
      </c>
      <c r="B370">
        <f>IF(Inventory!A370="","",Inventory!B370)</f>
        <v/>
      </c>
      <c r="C370">
        <f>IF(Inventory!A370="","",Inventory!C370)</f>
        <v/>
      </c>
      <c r="D370">
        <f>IF(Inventory!A370="","",Inventory!D370)</f>
        <v/>
      </c>
      <c r="E370">
        <f>IF(Inventory!A370="","",Inventory!K370)</f>
        <v/>
      </c>
      <c r="F370">
        <f>IF(Inventory!A370="","",Inventory!I370)</f>
        <v/>
      </c>
      <c r="G370">
        <f>IF(Inventory!A370="","",Inventory!Z370)</f>
        <v/>
      </c>
      <c r="H370">
        <f>IF(Inventory!A370="","",Inventory!Y370)</f>
        <v/>
      </c>
      <c r="I370">
        <f>IF(Inventory!A370="","",Inventory!W370)</f>
        <v/>
      </c>
      <c r="J370">
        <f>IF(Inventory!A370="","",Inventory!AA370)</f>
        <v/>
      </c>
    </row>
    <row r="371">
      <c r="A371">
        <f>IF(Inventory!A371="","",Inventory!A371)</f>
        <v/>
      </c>
      <c r="B371">
        <f>IF(Inventory!A371="","",Inventory!B371)</f>
        <v/>
      </c>
      <c r="C371">
        <f>IF(Inventory!A371="","",Inventory!C371)</f>
        <v/>
      </c>
      <c r="D371">
        <f>IF(Inventory!A371="","",Inventory!D371)</f>
        <v/>
      </c>
      <c r="E371">
        <f>IF(Inventory!A371="","",Inventory!K371)</f>
        <v/>
      </c>
      <c r="F371">
        <f>IF(Inventory!A371="","",Inventory!I371)</f>
        <v/>
      </c>
      <c r="G371">
        <f>IF(Inventory!A371="","",Inventory!Z371)</f>
        <v/>
      </c>
      <c r="H371">
        <f>IF(Inventory!A371="","",Inventory!Y371)</f>
        <v/>
      </c>
      <c r="I371">
        <f>IF(Inventory!A371="","",Inventory!W371)</f>
        <v/>
      </c>
      <c r="J371">
        <f>IF(Inventory!A371="","",Inventory!AA371)</f>
        <v/>
      </c>
    </row>
    <row r="372">
      <c r="A372">
        <f>IF(Inventory!A372="","",Inventory!A372)</f>
        <v/>
      </c>
      <c r="B372">
        <f>IF(Inventory!A372="","",Inventory!B372)</f>
        <v/>
      </c>
      <c r="C372">
        <f>IF(Inventory!A372="","",Inventory!C372)</f>
        <v/>
      </c>
      <c r="D372">
        <f>IF(Inventory!A372="","",Inventory!D372)</f>
        <v/>
      </c>
      <c r="E372">
        <f>IF(Inventory!A372="","",Inventory!K372)</f>
        <v/>
      </c>
      <c r="F372">
        <f>IF(Inventory!A372="","",Inventory!I372)</f>
        <v/>
      </c>
      <c r="G372">
        <f>IF(Inventory!A372="","",Inventory!Z372)</f>
        <v/>
      </c>
      <c r="H372">
        <f>IF(Inventory!A372="","",Inventory!Y372)</f>
        <v/>
      </c>
      <c r="I372">
        <f>IF(Inventory!A372="","",Inventory!W372)</f>
        <v/>
      </c>
      <c r="J372">
        <f>IF(Inventory!A372="","",Inventory!AA372)</f>
        <v/>
      </c>
    </row>
    <row r="373">
      <c r="A373">
        <f>IF(Inventory!A373="","",Inventory!A373)</f>
        <v/>
      </c>
      <c r="B373">
        <f>IF(Inventory!A373="","",Inventory!B373)</f>
        <v/>
      </c>
      <c r="C373">
        <f>IF(Inventory!A373="","",Inventory!C373)</f>
        <v/>
      </c>
      <c r="D373">
        <f>IF(Inventory!A373="","",Inventory!D373)</f>
        <v/>
      </c>
      <c r="E373">
        <f>IF(Inventory!A373="","",Inventory!K373)</f>
        <v/>
      </c>
      <c r="F373">
        <f>IF(Inventory!A373="","",Inventory!I373)</f>
        <v/>
      </c>
      <c r="G373">
        <f>IF(Inventory!A373="","",Inventory!Z373)</f>
        <v/>
      </c>
      <c r="H373">
        <f>IF(Inventory!A373="","",Inventory!Y373)</f>
        <v/>
      </c>
      <c r="I373">
        <f>IF(Inventory!A373="","",Inventory!W373)</f>
        <v/>
      </c>
      <c r="J373">
        <f>IF(Inventory!A373="","",Inventory!AA373)</f>
        <v/>
      </c>
    </row>
    <row r="374">
      <c r="A374">
        <f>IF(Inventory!A374="","",Inventory!A374)</f>
        <v/>
      </c>
      <c r="B374">
        <f>IF(Inventory!A374="","",Inventory!B374)</f>
        <v/>
      </c>
      <c r="C374">
        <f>IF(Inventory!A374="","",Inventory!C374)</f>
        <v/>
      </c>
      <c r="D374">
        <f>IF(Inventory!A374="","",Inventory!D374)</f>
        <v/>
      </c>
      <c r="E374">
        <f>IF(Inventory!A374="","",Inventory!K374)</f>
        <v/>
      </c>
      <c r="F374">
        <f>IF(Inventory!A374="","",Inventory!I374)</f>
        <v/>
      </c>
      <c r="G374">
        <f>IF(Inventory!A374="","",Inventory!Z374)</f>
        <v/>
      </c>
      <c r="H374">
        <f>IF(Inventory!A374="","",Inventory!Y374)</f>
        <v/>
      </c>
      <c r="I374">
        <f>IF(Inventory!A374="","",Inventory!W374)</f>
        <v/>
      </c>
      <c r="J374">
        <f>IF(Inventory!A374="","",Inventory!AA374)</f>
        <v/>
      </c>
    </row>
    <row r="375">
      <c r="A375">
        <f>IF(Inventory!A375="","",Inventory!A375)</f>
        <v/>
      </c>
      <c r="B375">
        <f>IF(Inventory!A375="","",Inventory!B375)</f>
        <v/>
      </c>
      <c r="C375">
        <f>IF(Inventory!A375="","",Inventory!C375)</f>
        <v/>
      </c>
      <c r="D375">
        <f>IF(Inventory!A375="","",Inventory!D375)</f>
        <v/>
      </c>
      <c r="E375">
        <f>IF(Inventory!A375="","",Inventory!K375)</f>
        <v/>
      </c>
      <c r="F375">
        <f>IF(Inventory!A375="","",Inventory!I375)</f>
        <v/>
      </c>
      <c r="G375">
        <f>IF(Inventory!A375="","",Inventory!Z375)</f>
        <v/>
      </c>
      <c r="H375">
        <f>IF(Inventory!A375="","",Inventory!Y375)</f>
        <v/>
      </c>
      <c r="I375">
        <f>IF(Inventory!A375="","",Inventory!W375)</f>
        <v/>
      </c>
      <c r="J375">
        <f>IF(Inventory!A375="","",Inventory!AA375)</f>
        <v/>
      </c>
    </row>
    <row r="376">
      <c r="A376">
        <f>IF(Inventory!A376="","",Inventory!A376)</f>
        <v/>
      </c>
      <c r="B376">
        <f>IF(Inventory!A376="","",Inventory!B376)</f>
        <v/>
      </c>
      <c r="C376">
        <f>IF(Inventory!A376="","",Inventory!C376)</f>
        <v/>
      </c>
      <c r="D376">
        <f>IF(Inventory!A376="","",Inventory!D376)</f>
        <v/>
      </c>
      <c r="E376">
        <f>IF(Inventory!A376="","",Inventory!K376)</f>
        <v/>
      </c>
      <c r="F376">
        <f>IF(Inventory!A376="","",Inventory!I376)</f>
        <v/>
      </c>
      <c r="G376">
        <f>IF(Inventory!A376="","",Inventory!Z376)</f>
        <v/>
      </c>
      <c r="H376">
        <f>IF(Inventory!A376="","",Inventory!Y376)</f>
        <v/>
      </c>
      <c r="I376">
        <f>IF(Inventory!A376="","",Inventory!W376)</f>
        <v/>
      </c>
      <c r="J376">
        <f>IF(Inventory!A376="","",Inventory!AA376)</f>
        <v/>
      </c>
    </row>
    <row r="377">
      <c r="A377">
        <f>IF(Inventory!A377="","",Inventory!A377)</f>
        <v/>
      </c>
      <c r="B377">
        <f>IF(Inventory!A377="","",Inventory!B377)</f>
        <v/>
      </c>
      <c r="C377">
        <f>IF(Inventory!A377="","",Inventory!C377)</f>
        <v/>
      </c>
      <c r="D377">
        <f>IF(Inventory!A377="","",Inventory!D377)</f>
        <v/>
      </c>
      <c r="E377">
        <f>IF(Inventory!A377="","",Inventory!K377)</f>
        <v/>
      </c>
      <c r="F377">
        <f>IF(Inventory!A377="","",Inventory!I377)</f>
        <v/>
      </c>
      <c r="G377">
        <f>IF(Inventory!A377="","",Inventory!Z377)</f>
        <v/>
      </c>
      <c r="H377">
        <f>IF(Inventory!A377="","",Inventory!Y377)</f>
        <v/>
      </c>
      <c r="I377">
        <f>IF(Inventory!A377="","",Inventory!W377)</f>
        <v/>
      </c>
      <c r="J377">
        <f>IF(Inventory!A377="","",Inventory!AA377)</f>
        <v/>
      </c>
    </row>
    <row r="378">
      <c r="A378">
        <f>IF(Inventory!A378="","",Inventory!A378)</f>
        <v/>
      </c>
      <c r="B378">
        <f>IF(Inventory!A378="","",Inventory!B378)</f>
        <v/>
      </c>
      <c r="C378">
        <f>IF(Inventory!A378="","",Inventory!C378)</f>
        <v/>
      </c>
      <c r="D378">
        <f>IF(Inventory!A378="","",Inventory!D378)</f>
        <v/>
      </c>
      <c r="E378">
        <f>IF(Inventory!A378="","",Inventory!K378)</f>
        <v/>
      </c>
      <c r="F378">
        <f>IF(Inventory!A378="","",Inventory!I378)</f>
        <v/>
      </c>
      <c r="G378">
        <f>IF(Inventory!A378="","",Inventory!Z378)</f>
        <v/>
      </c>
      <c r="H378">
        <f>IF(Inventory!A378="","",Inventory!Y378)</f>
        <v/>
      </c>
      <c r="I378">
        <f>IF(Inventory!A378="","",Inventory!W378)</f>
        <v/>
      </c>
      <c r="J378">
        <f>IF(Inventory!A378="","",Inventory!AA378)</f>
        <v/>
      </c>
    </row>
    <row r="379">
      <c r="A379">
        <f>IF(Inventory!A379="","",Inventory!A379)</f>
        <v/>
      </c>
      <c r="B379">
        <f>IF(Inventory!A379="","",Inventory!B379)</f>
        <v/>
      </c>
      <c r="C379">
        <f>IF(Inventory!A379="","",Inventory!C379)</f>
        <v/>
      </c>
      <c r="D379">
        <f>IF(Inventory!A379="","",Inventory!D379)</f>
        <v/>
      </c>
      <c r="E379">
        <f>IF(Inventory!A379="","",Inventory!K379)</f>
        <v/>
      </c>
      <c r="F379">
        <f>IF(Inventory!A379="","",Inventory!I379)</f>
        <v/>
      </c>
      <c r="G379">
        <f>IF(Inventory!A379="","",Inventory!Z379)</f>
        <v/>
      </c>
      <c r="H379">
        <f>IF(Inventory!A379="","",Inventory!Y379)</f>
        <v/>
      </c>
      <c r="I379">
        <f>IF(Inventory!A379="","",Inventory!W379)</f>
        <v/>
      </c>
      <c r="J379">
        <f>IF(Inventory!A379="","",Inventory!AA379)</f>
        <v/>
      </c>
    </row>
    <row r="380">
      <c r="A380">
        <f>IF(Inventory!A380="","",Inventory!A380)</f>
        <v/>
      </c>
      <c r="B380">
        <f>IF(Inventory!A380="","",Inventory!B380)</f>
        <v/>
      </c>
      <c r="C380">
        <f>IF(Inventory!A380="","",Inventory!C380)</f>
        <v/>
      </c>
      <c r="D380">
        <f>IF(Inventory!A380="","",Inventory!D380)</f>
        <v/>
      </c>
      <c r="E380">
        <f>IF(Inventory!A380="","",Inventory!K380)</f>
        <v/>
      </c>
      <c r="F380">
        <f>IF(Inventory!A380="","",Inventory!I380)</f>
        <v/>
      </c>
      <c r="G380">
        <f>IF(Inventory!A380="","",Inventory!Z380)</f>
        <v/>
      </c>
      <c r="H380">
        <f>IF(Inventory!A380="","",Inventory!Y380)</f>
        <v/>
      </c>
      <c r="I380">
        <f>IF(Inventory!A380="","",Inventory!W380)</f>
        <v/>
      </c>
      <c r="J380">
        <f>IF(Inventory!A380="","",Inventory!AA380)</f>
        <v/>
      </c>
    </row>
    <row r="381">
      <c r="A381">
        <f>IF(Inventory!A381="","",Inventory!A381)</f>
        <v/>
      </c>
      <c r="B381">
        <f>IF(Inventory!A381="","",Inventory!B381)</f>
        <v/>
      </c>
      <c r="C381">
        <f>IF(Inventory!A381="","",Inventory!C381)</f>
        <v/>
      </c>
      <c r="D381">
        <f>IF(Inventory!A381="","",Inventory!D381)</f>
        <v/>
      </c>
      <c r="E381">
        <f>IF(Inventory!A381="","",Inventory!K381)</f>
        <v/>
      </c>
      <c r="F381">
        <f>IF(Inventory!A381="","",Inventory!I381)</f>
        <v/>
      </c>
      <c r="G381">
        <f>IF(Inventory!A381="","",Inventory!Z381)</f>
        <v/>
      </c>
      <c r="H381">
        <f>IF(Inventory!A381="","",Inventory!Y381)</f>
        <v/>
      </c>
      <c r="I381">
        <f>IF(Inventory!A381="","",Inventory!W381)</f>
        <v/>
      </c>
      <c r="J381">
        <f>IF(Inventory!A381="","",Inventory!AA381)</f>
        <v/>
      </c>
    </row>
    <row r="382">
      <c r="A382">
        <f>IF(Inventory!A382="","",Inventory!A382)</f>
        <v/>
      </c>
      <c r="B382">
        <f>IF(Inventory!A382="","",Inventory!B382)</f>
        <v/>
      </c>
      <c r="C382">
        <f>IF(Inventory!A382="","",Inventory!C382)</f>
        <v/>
      </c>
      <c r="D382">
        <f>IF(Inventory!A382="","",Inventory!D382)</f>
        <v/>
      </c>
      <c r="E382">
        <f>IF(Inventory!A382="","",Inventory!K382)</f>
        <v/>
      </c>
      <c r="F382">
        <f>IF(Inventory!A382="","",Inventory!I382)</f>
        <v/>
      </c>
      <c r="G382">
        <f>IF(Inventory!A382="","",Inventory!Z382)</f>
        <v/>
      </c>
      <c r="H382">
        <f>IF(Inventory!A382="","",Inventory!Y382)</f>
        <v/>
      </c>
      <c r="I382">
        <f>IF(Inventory!A382="","",Inventory!W382)</f>
        <v/>
      </c>
      <c r="J382">
        <f>IF(Inventory!A382="","",Inventory!AA382)</f>
        <v/>
      </c>
    </row>
    <row r="383">
      <c r="A383">
        <f>IF(Inventory!A383="","",Inventory!A383)</f>
        <v/>
      </c>
      <c r="B383">
        <f>IF(Inventory!A383="","",Inventory!B383)</f>
        <v/>
      </c>
      <c r="C383">
        <f>IF(Inventory!A383="","",Inventory!C383)</f>
        <v/>
      </c>
      <c r="D383">
        <f>IF(Inventory!A383="","",Inventory!D383)</f>
        <v/>
      </c>
      <c r="E383">
        <f>IF(Inventory!A383="","",Inventory!K383)</f>
        <v/>
      </c>
      <c r="F383">
        <f>IF(Inventory!A383="","",Inventory!I383)</f>
        <v/>
      </c>
      <c r="G383">
        <f>IF(Inventory!A383="","",Inventory!Z383)</f>
        <v/>
      </c>
      <c r="H383">
        <f>IF(Inventory!A383="","",Inventory!Y383)</f>
        <v/>
      </c>
      <c r="I383">
        <f>IF(Inventory!A383="","",Inventory!W383)</f>
        <v/>
      </c>
      <c r="J383">
        <f>IF(Inventory!A383="","",Inventory!AA383)</f>
        <v/>
      </c>
    </row>
    <row r="384">
      <c r="A384">
        <f>IF(Inventory!A384="","",Inventory!A384)</f>
        <v/>
      </c>
      <c r="B384">
        <f>IF(Inventory!A384="","",Inventory!B384)</f>
        <v/>
      </c>
      <c r="C384">
        <f>IF(Inventory!A384="","",Inventory!C384)</f>
        <v/>
      </c>
      <c r="D384">
        <f>IF(Inventory!A384="","",Inventory!D384)</f>
        <v/>
      </c>
      <c r="E384">
        <f>IF(Inventory!A384="","",Inventory!K384)</f>
        <v/>
      </c>
      <c r="F384">
        <f>IF(Inventory!A384="","",Inventory!I384)</f>
        <v/>
      </c>
      <c r="G384">
        <f>IF(Inventory!A384="","",Inventory!Z384)</f>
        <v/>
      </c>
      <c r="H384">
        <f>IF(Inventory!A384="","",Inventory!Y384)</f>
        <v/>
      </c>
      <c r="I384">
        <f>IF(Inventory!A384="","",Inventory!W384)</f>
        <v/>
      </c>
      <c r="J384">
        <f>IF(Inventory!A384="","",Inventory!AA384)</f>
        <v/>
      </c>
    </row>
    <row r="385">
      <c r="A385">
        <f>IF(Inventory!A385="","",Inventory!A385)</f>
        <v/>
      </c>
      <c r="B385">
        <f>IF(Inventory!A385="","",Inventory!B385)</f>
        <v/>
      </c>
      <c r="C385">
        <f>IF(Inventory!A385="","",Inventory!C385)</f>
        <v/>
      </c>
      <c r="D385">
        <f>IF(Inventory!A385="","",Inventory!D385)</f>
        <v/>
      </c>
      <c r="E385">
        <f>IF(Inventory!A385="","",Inventory!K385)</f>
        <v/>
      </c>
      <c r="F385">
        <f>IF(Inventory!A385="","",Inventory!I385)</f>
        <v/>
      </c>
      <c r="G385">
        <f>IF(Inventory!A385="","",Inventory!Z385)</f>
        <v/>
      </c>
      <c r="H385">
        <f>IF(Inventory!A385="","",Inventory!Y385)</f>
        <v/>
      </c>
      <c r="I385">
        <f>IF(Inventory!A385="","",Inventory!W385)</f>
        <v/>
      </c>
      <c r="J385">
        <f>IF(Inventory!A385="","",Inventory!AA385)</f>
        <v/>
      </c>
    </row>
    <row r="386">
      <c r="A386">
        <f>IF(Inventory!A386="","",Inventory!A386)</f>
        <v/>
      </c>
      <c r="B386">
        <f>IF(Inventory!A386="","",Inventory!B386)</f>
        <v/>
      </c>
      <c r="C386">
        <f>IF(Inventory!A386="","",Inventory!C386)</f>
        <v/>
      </c>
      <c r="D386">
        <f>IF(Inventory!A386="","",Inventory!D386)</f>
        <v/>
      </c>
      <c r="E386">
        <f>IF(Inventory!A386="","",Inventory!K386)</f>
        <v/>
      </c>
      <c r="F386">
        <f>IF(Inventory!A386="","",Inventory!I386)</f>
        <v/>
      </c>
      <c r="G386">
        <f>IF(Inventory!A386="","",Inventory!Z386)</f>
        <v/>
      </c>
      <c r="H386">
        <f>IF(Inventory!A386="","",Inventory!Y386)</f>
        <v/>
      </c>
      <c r="I386">
        <f>IF(Inventory!A386="","",Inventory!W386)</f>
        <v/>
      </c>
      <c r="J386">
        <f>IF(Inventory!A386="","",Inventory!AA386)</f>
        <v/>
      </c>
    </row>
    <row r="387">
      <c r="A387">
        <f>IF(Inventory!A387="","",Inventory!A387)</f>
        <v/>
      </c>
      <c r="B387">
        <f>IF(Inventory!A387="","",Inventory!B387)</f>
        <v/>
      </c>
      <c r="C387">
        <f>IF(Inventory!A387="","",Inventory!C387)</f>
        <v/>
      </c>
      <c r="D387">
        <f>IF(Inventory!A387="","",Inventory!D387)</f>
        <v/>
      </c>
      <c r="E387">
        <f>IF(Inventory!A387="","",Inventory!K387)</f>
        <v/>
      </c>
      <c r="F387">
        <f>IF(Inventory!A387="","",Inventory!I387)</f>
        <v/>
      </c>
      <c r="G387">
        <f>IF(Inventory!A387="","",Inventory!Z387)</f>
        <v/>
      </c>
      <c r="H387">
        <f>IF(Inventory!A387="","",Inventory!Y387)</f>
        <v/>
      </c>
      <c r="I387">
        <f>IF(Inventory!A387="","",Inventory!W387)</f>
        <v/>
      </c>
      <c r="J387">
        <f>IF(Inventory!A387="","",Inventory!AA387)</f>
        <v/>
      </c>
    </row>
    <row r="388">
      <c r="A388">
        <f>IF(Inventory!A388="","",Inventory!A388)</f>
        <v/>
      </c>
      <c r="B388">
        <f>IF(Inventory!A388="","",Inventory!B388)</f>
        <v/>
      </c>
      <c r="C388">
        <f>IF(Inventory!A388="","",Inventory!C388)</f>
        <v/>
      </c>
      <c r="D388">
        <f>IF(Inventory!A388="","",Inventory!D388)</f>
        <v/>
      </c>
      <c r="E388">
        <f>IF(Inventory!A388="","",Inventory!K388)</f>
        <v/>
      </c>
      <c r="F388">
        <f>IF(Inventory!A388="","",Inventory!I388)</f>
        <v/>
      </c>
      <c r="G388">
        <f>IF(Inventory!A388="","",Inventory!Z388)</f>
        <v/>
      </c>
      <c r="H388">
        <f>IF(Inventory!A388="","",Inventory!Y388)</f>
        <v/>
      </c>
      <c r="I388">
        <f>IF(Inventory!A388="","",Inventory!W388)</f>
        <v/>
      </c>
      <c r="J388">
        <f>IF(Inventory!A388="","",Inventory!AA388)</f>
        <v/>
      </c>
    </row>
    <row r="389">
      <c r="A389">
        <f>IF(Inventory!A389="","",Inventory!A389)</f>
        <v/>
      </c>
      <c r="B389">
        <f>IF(Inventory!A389="","",Inventory!B389)</f>
        <v/>
      </c>
      <c r="C389">
        <f>IF(Inventory!A389="","",Inventory!C389)</f>
        <v/>
      </c>
      <c r="D389">
        <f>IF(Inventory!A389="","",Inventory!D389)</f>
        <v/>
      </c>
      <c r="E389">
        <f>IF(Inventory!A389="","",Inventory!K389)</f>
        <v/>
      </c>
      <c r="F389">
        <f>IF(Inventory!A389="","",Inventory!I389)</f>
        <v/>
      </c>
      <c r="G389">
        <f>IF(Inventory!A389="","",Inventory!Z389)</f>
        <v/>
      </c>
      <c r="H389">
        <f>IF(Inventory!A389="","",Inventory!Y389)</f>
        <v/>
      </c>
      <c r="I389">
        <f>IF(Inventory!A389="","",Inventory!W389)</f>
        <v/>
      </c>
      <c r="J389">
        <f>IF(Inventory!A389="","",Inventory!AA389)</f>
        <v/>
      </c>
    </row>
    <row r="390">
      <c r="A390">
        <f>IF(Inventory!A390="","",Inventory!A390)</f>
        <v/>
      </c>
      <c r="B390">
        <f>IF(Inventory!A390="","",Inventory!B390)</f>
        <v/>
      </c>
      <c r="C390">
        <f>IF(Inventory!A390="","",Inventory!C390)</f>
        <v/>
      </c>
      <c r="D390">
        <f>IF(Inventory!A390="","",Inventory!D390)</f>
        <v/>
      </c>
      <c r="E390">
        <f>IF(Inventory!A390="","",Inventory!K390)</f>
        <v/>
      </c>
      <c r="F390">
        <f>IF(Inventory!A390="","",Inventory!I390)</f>
        <v/>
      </c>
      <c r="G390">
        <f>IF(Inventory!A390="","",Inventory!Z390)</f>
        <v/>
      </c>
      <c r="H390">
        <f>IF(Inventory!A390="","",Inventory!Y390)</f>
        <v/>
      </c>
      <c r="I390">
        <f>IF(Inventory!A390="","",Inventory!W390)</f>
        <v/>
      </c>
      <c r="J390">
        <f>IF(Inventory!A390="","",Inventory!AA390)</f>
        <v/>
      </c>
    </row>
    <row r="391">
      <c r="A391">
        <f>IF(Inventory!A391="","",Inventory!A391)</f>
        <v/>
      </c>
      <c r="B391">
        <f>IF(Inventory!A391="","",Inventory!B391)</f>
        <v/>
      </c>
      <c r="C391">
        <f>IF(Inventory!A391="","",Inventory!C391)</f>
        <v/>
      </c>
      <c r="D391">
        <f>IF(Inventory!A391="","",Inventory!D391)</f>
        <v/>
      </c>
      <c r="E391">
        <f>IF(Inventory!A391="","",Inventory!K391)</f>
        <v/>
      </c>
      <c r="F391">
        <f>IF(Inventory!A391="","",Inventory!I391)</f>
        <v/>
      </c>
      <c r="G391">
        <f>IF(Inventory!A391="","",Inventory!Z391)</f>
        <v/>
      </c>
      <c r="H391">
        <f>IF(Inventory!A391="","",Inventory!Y391)</f>
        <v/>
      </c>
      <c r="I391">
        <f>IF(Inventory!A391="","",Inventory!W391)</f>
        <v/>
      </c>
      <c r="J391">
        <f>IF(Inventory!A391="","",Inventory!AA391)</f>
        <v/>
      </c>
    </row>
    <row r="392">
      <c r="A392">
        <f>IF(Inventory!A392="","",Inventory!A392)</f>
        <v/>
      </c>
      <c r="B392">
        <f>IF(Inventory!A392="","",Inventory!B392)</f>
        <v/>
      </c>
      <c r="C392">
        <f>IF(Inventory!A392="","",Inventory!C392)</f>
        <v/>
      </c>
      <c r="D392">
        <f>IF(Inventory!A392="","",Inventory!D392)</f>
        <v/>
      </c>
      <c r="E392">
        <f>IF(Inventory!A392="","",Inventory!K392)</f>
        <v/>
      </c>
      <c r="F392">
        <f>IF(Inventory!A392="","",Inventory!I392)</f>
        <v/>
      </c>
      <c r="G392">
        <f>IF(Inventory!A392="","",Inventory!Z392)</f>
        <v/>
      </c>
      <c r="H392">
        <f>IF(Inventory!A392="","",Inventory!Y392)</f>
        <v/>
      </c>
      <c r="I392">
        <f>IF(Inventory!A392="","",Inventory!W392)</f>
        <v/>
      </c>
      <c r="J392">
        <f>IF(Inventory!A392="","",Inventory!AA392)</f>
        <v/>
      </c>
    </row>
    <row r="393">
      <c r="A393">
        <f>IF(Inventory!A393="","",Inventory!A393)</f>
        <v/>
      </c>
      <c r="B393">
        <f>IF(Inventory!A393="","",Inventory!B393)</f>
        <v/>
      </c>
      <c r="C393">
        <f>IF(Inventory!A393="","",Inventory!C393)</f>
        <v/>
      </c>
      <c r="D393">
        <f>IF(Inventory!A393="","",Inventory!D393)</f>
        <v/>
      </c>
      <c r="E393">
        <f>IF(Inventory!A393="","",Inventory!K393)</f>
        <v/>
      </c>
      <c r="F393">
        <f>IF(Inventory!A393="","",Inventory!I393)</f>
        <v/>
      </c>
      <c r="G393">
        <f>IF(Inventory!A393="","",Inventory!Z393)</f>
        <v/>
      </c>
      <c r="H393">
        <f>IF(Inventory!A393="","",Inventory!Y393)</f>
        <v/>
      </c>
      <c r="I393">
        <f>IF(Inventory!A393="","",Inventory!W393)</f>
        <v/>
      </c>
      <c r="J393">
        <f>IF(Inventory!A393="","",Inventory!AA393)</f>
        <v/>
      </c>
    </row>
    <row r="394">
      <c r="A394">
        <f>IF(Inventory!A394="","",Inventory!A394)</f>
        <v/>
      </c>
      <c r="B394">
        <f>IF(Inventory!A394="","",Inventory!B394)</f>
        <v/>
      </c>
      <c r="C394">
        <f>IF(Inventory!A394="","",Inventory!C394)</f>
        <v/>
      </c>
      <c r="D394">
        <f>IF(Inventory!A394="","",Inventory!D394)</f>
        <v/>
      </c>
      <c r="E394">
        <f>IF(Inventory!A394="","",Inventory!K394)</f>
        <v/>
      </c>
      <c r="F394">
        <f>IF(Inventory!A394="","",Inventory!I394)</f>
        <v/>
      </c>
      <c r="G394">
        <f>IF(Inventory!A394="","",Inventory!Z394)</f>
        <v/>
      </c>
      <c r="H394">
        <f>IF(Inventory!A394="","",Inventory!Y394)</f>
        <v/>
      </c>
      <c r="I394">
        <f>IF(Inventory!A394="","",Inventory!W394)</f>
        <v/>
      </c>
      <c r="J394">
        <f>IF(Inventory!A394="","",Inventory!AA394)</f>
        <v/>
      </c>
    </row>
    <row r="395">
      <c r="A395">
        <f>IF(Inventory!A395="","",Inventory!A395)</f>
        <v/>
      </c>
      <c r="B395">
        <f>IF(Inventory!A395="","",Inventory!B395)</f>
        <v/>
      </c>
      <c r="C395">
        <f>IF(Inventory!A395="","",Inventory!C395)</f>
        <v/>
      </c>
      <c r="D395">
        <f>IF(Inventory!A395="","",Inventory!D395)</f>
        <v/>
      </c>
      <c r="E395">
        <f>IF(Inventory!A395="","",Inventory!K395)</f>
        <v/>
      </c>
      <c r="F395">
        <f>IF(Inventory!A395="","",Inventory!I395)</f>
        <v/>
      </c>
      <c r="G395">
        <f>IF(Inventory!A395="","",Inventory!Z395)</f>
        <v/>
      </c>
      <c r="H395">
        <f>IF(Inventory!A395="","",Inventory!Y395)</f>
        <v/>
      </c>
      <c r="I395">
        <f>IF(Inventory!A395="","",Inventory!W395)</f>
        <v/>
      </c>
      <c r="J395">
        <f>IF(Inventory!A395="","",Inventory!AA395)</f>
        <v/>
      </c>
    </row>
    <row r="396">
      <c r="A396">
        <f>IF(Inventory!A396="","",Inventory!A396)</f>
        <v/>
      </c>
      <c r="B396">
        <f>IF(Inventory!A396="","",Inventory!B396)</f>
        <v/>
      </c>
      <c r="C396">
        <f>IF(Inventory!A396="","",Inventory!C396)</f>
        <v/>
      </c>
      <c r="D396">
        <f>IF(Inventory!A396="","",Inventory!D396)</f>
        <v/>
      </c>
      <c r="E396">
        <f>IF(Inventory!A396="","",Inventory!K396)</f>
        <v/>
      </c>
      <c r="F396">
        <f>IF(Inventory!A396="","",Inventory!I396)</f>
        <v/>
      </c>
      <c r="G396">
        <f>IF(Inventory!A396="","",Inventory!Z396)</f>
        <v/>
      </c>
      <c r="H396">
        <f>IF(Inventory!A396="","",Inventory!Y396)</f>
        <v/>
      </c>
      <c r="I396">
        <f>IF(Inventory!A396="","",Inventory!W396)</f>
        <v/>
      </c>
      <c r="J396">
        <f>IF(Inventory!A396="","",Inventory!AA396)</f>
        <v/>
      </c>
    </row>
    <row r="397">
      <c r="A397">
        <f>IF(Inventory!A397="","",Inventory!A397)</f>
        <v/>
      </c>
      <c r="B397">
        <f>IF(Inventory!A397="","",Inventory!B397)</f>
        <v/>
      </c>
      <c r="C397">
        <f>IF(Inventory!A397="","",Inventory!C397)</f>
        <v/>
      </c>
      <c r="D397">
        <f>IF(Inventory!A397="","",Inventory!D397)</f>
        <v/>
      </c>
      <c r="E397">
        <f>IF(Inventory!A397="","",Inventory!K397)</f>
        <v/>
      </c>
      <c r="F397">
        <f>IF(Inventory!A397="","",Inventory!I397)</f>
        <v/>
      </c>
      <c r="G397">
        <f>IF(Inventory!A397="","",Inventory!Z397)</f>
        <v/>
      </c>
      <c r="H397">
        <f>IF(Inventory!A397="","",Inventory!Y397)</f>
        <v/>
      </c>
      <c r="I397">
        <f>IF(Inventory!A397="","",Inventory!W397)</f>
        <v/>
      </c>
      <c r="J397">
        <f>IF(Inventory!A397="","",Inventory!AA397)</f>
        <v/>
      </c>
    </row>
    <row r="398">
      <c r="A398">
        <f>IF(Inventory!A398="","",Inventory!A398)</f>
        <v/>
      </c>
      <c r="B398">
        <f>IF(Inventory!A398="","",Inventory!B398)</f>
        <v/>
      </c>
      <c r="C398">
        <f>IF(Inventory!A398="","",Inventory!C398)</f>
        <v/>
      </c>
      <c r="D398">
        <f>IF(Inventory!A398="","",Inventory!D398)</f>
        <v/>
      </c>
      <c r="E398">
        <f>IF(Inventory!A398="","",Inventory!K398)</f>
        <v/>
      </c>
      <c r="F398">
        <f>IF(Inventory!A398="","",Inventory!I398)</f>
        <v/>
      </c>
      <c r="G398">
        <f>IF(Inventory!A398="","",Inventory!Z398)</f>
        <v/>
      </c>
      <c r="H398">
        <f>IF(Inventory!A398="","",Inventory!Y398)</f>
        <v/>
      </c>
      <c r="I398">
        <f>IF(Inventory!A398="","",Inventory!W398)</f>
        <v/>
      </c>
      <c r="J398">
        <f>IF(Inventory!A398="","",Inventory!AA398)</f>
        <v/>
      </c>
    </row>
    <row r="399">
      <c r="A399">
        <f>IF(Inventory!A399="","",Inventory!A399)</f>
        <v/>
      </c>
      <c r="B399">
        <f>IF(Inventory!A399="","",Inventory!B399)</f>
        <v/>
      </c>
      <c r="C399">
        <f>IF(Inventory!A399="","",Inventory!C399)</f>
        <v/>
      </c>
      <c r="D399">
        <f>IF(Inventory!A399="","",Inventory!D399)</f>
        <v/>
      </c>
      <c r="E399">
        <f>IF(Inventory!A399="","",Inventory!K399)</f>
        <v/>
      </c>
      <c r="F399">
        <f>IF(Inventory!A399="","",Inventory!I399)</f>
        <v/>
      </c>
      <c r="G399">
        <f>IF(Inventory!A399="","",Inventory!Z399)</f>
        <v/>
      </c>
      <c r="H399">
        <f>IF(Inventory!A399="","",Inventory!Y399)</f>
        <v/>
      </c>
      <c r="I399">
        <f>IF(Inventory!A399="","",Inventory!W399)</f>
        <v/>
      </c>
      <c r="J399">
        <f>IF(Inventory!A399="","",Inventory!AA399)</f>
        <v/>
      </c>
    </row>
    <row r="400">
      <c r="A400">
        <f>IF(Inventory!A400="","",Inventory!A400)</f>
        <v/>
      </c>
      <c r="B400">
        <f>IF(Inventory!A400="","",Inventory!B400)</f>
        <v/>
      </c>
      <c r="C400">
        <f>IF(Inventory!A400="","",Inventory!C400)</f>
        <v/>
      </c>
      <c r="D400">
        <f>IF(Inventory!A400="","",Inventory!D400)</f>
        <v/>
      </c>
      <c r="E400">
        <f>IF(Inventory!A400="","",Inventory!K400)</f>
        <v/>
      </c>
      <c r="F400">
        <f>IF(Inventory!A400="","",Inventory!I400)</f>
        <v/>
      </c>
      <c r="G400">
        <f>IF(Inventory!A400="","",Inventory!Z400)</f>
        <v/>
      </c>
      <c r="H400">
        <f>IF(Inventory!A400="","",Inventory!Y400)</f>
        <v/>
      </c>
      <c r="I400">
        <f>IF(Inventory!A400="","",Inventory!W400)</f>
        <v/>
      </c>
      <c r="J400">
        <f>IF(Inventory!A400="","",Inventory!AA400)</f>
        <v/>
      </c>
    </row>
    <row r="401">
      <c r="A401">
        <f>IF(Inventory!A401="","",Inventory!A401)</f>
        <v/>
      </c>
      <c r="B401">
        <f>IF(Inventory!A401="","",Inventory!B401)</f>
        <v/>
      </c>
      <c r="C401">
        <f>IF(Inventory!A401="","",Inventory!C401)</f>
        <v/>
      </c>
      <c r="D401">
        <f>IF(Inventory!A401="","",Inventory!D401)</f>
        <v/>
      </c>
      <c r="E401">
        <f>IF(Inventory!A401="","",Inventory!K401)</f>
        <v/>
      </c>
      <c r="F401">
        <f>IF(Inventory!A401="","",Inventory!I401)</f>
        <v/>
      </c>
      <c r="G401">
        <f>IF(Inventory!A401="","",Inventory!Z401)</f>
        <v/>
      </c>
      <c r="H401">
        <f>IF(Inventory!A401="","",Inventory!Y401)</f>
        <v/>
      </c>
      <c r="I401">
        <f>IF(Inventory!A401="","",Inventory!W401)</f>
        <v/>
      </c>
      <c r="J401">
        <f>IF(Inventory!A401="","",Inventory!AA401)</f>
        <v/>
      </c>
    </row>
    <row r="402">
      <c r="A402">
        <f>IF(Inventory!A402="","",Inventory!A402)</f>
        <v/>
      </c>
      <c r="B402">
        <f>IF(Inventory!A402="","",Inventory!B402)</f>
        <v/>
      </c>
      <c r="C402">
        <f>IF(Inventory!A402="","",Inventory!C402)</f>
        <v/>
      </c>
      <c r="D402">
        <f>IF(Inventory!A402="","",Inventory!D402)</f>
        <v/>
      </c>
      <c r="E402">
        <f>IF(Inventory!A402="","",Inventory!K402)</f>
        <v/>
      </c>
      <c r="F402">
        <f>IF(Inventory!A402="","",Inventory!I402)</f>
        <v/>
      </c>
      <c r="G402">
        <f>IF(Inventory!A402="","",Inventory!Z402)</f>
        <v/>
      </c>
      <c r="H402">
        <f>IF(Inventory!A402="","",Inventory!Y402)</f>
        <v/>
      </c>
      <c r="I402">
        <f>IF(Inventory!A402="","",Inventory!W402)</f>
        <v/>
      </c>
      <c r="J402">
        <f>IF(Inventory!A402="","",Inventory!AA402)</f>
        <v/>
      </c>
    </row>
    <row r="403">
      <c r="A403">
        <f>IF(Inventory!A403="","",Inventory!A403)</f>
        <v/>
      </c>
      <c r="B403">
        <f>IF(Inventory!A403="","",Inventory!B403)</f>
        <v/>
      </c>
      <c r="C403">
        <f>IF(Inventory!A403="","",Inventory!C403)</f>
        <v/>
      </c>
      <c r="D403">
        <f>IF(Inventory!A403="","",Inventory!D403)</f>
        <v/>
      </c>
      <c r="E403">
        <f>IF(Inventory!A403="","",Inventory!K403)</f>
        <v/>
      </c>
      <c r="F403">
        <f>IF(Inventory!A403="","",Inventory!I403)</f>
        <v/>
      </c>
      <c r="G403">
        <f>IF(Inventory!A403="","",Inventory!Z403)</f>
        <v/>
      </c>
      <c r="H403">
        <f>IF(Inventory!A403="","",Inventory!Y403)</f>
        <v/>
      </c>
      <c r="I403">
        <f>IF(Inventory!A403="","",Inventory!W403)</f>
        <v/>
      </c>
      <c r="J403">
        <f>IF(Inventory!A403="","",Inventory!AA403)</f>
        <v/>
      </c>
    </row>
    <row r="404">
      <c r="A404">
        <f>IF(Inventory!A404="","",Inventory!A404)</f>
        <v/>
      </c>
      <c r="B404">
        <f>IF(Inventory!A404="","",Inventory!B404)</f>
        <v/>
      </c>
      <c r="C404">
        <f>IF(Inventory!A404="","",Inventory!C404)</f>
        <v/>
      </c>
      <c r="D404">
        <f>IF(Inventory!A404="","",Inventory!D404)</f>
        <v/>
      </c>
      <c r="E404">
        <f>IF(Inventory!A404="","",Inventory!K404)</f>
        <v/>
      </c>
      <c r="F404">
        <f>IF(Inventory!A404="","",Inventory!I404)</f>
        <v/>
      </c>
      <c r="G404">
        <f>IF(Inventory!A404="","",Inventory!Z404)</f>
        <v/>
      </c>
      <c r="H404">
        <f>IF(Inventory!A404="","",Inventory!Y404)</f>
        <v/>
      </c>
      <c r="I404">
        <f>IF(Inventory!A404="","",Inventory!W404)</f>
        <v/>
      </c>
      <c r="J404">
        <f>IF(Inventory!A404="","",Inventory!AA404)</f>
        <v/>
      </c>
    </row>
    <row r="405">
      <c r="A405">
        <f>IF(Inventory!A405="","",Inventory!A405)</f>
        <v/>
      </c>
      <c r="B405">
        <f>IF(Inventory!A405="","",Inventory!B405)</f>
        <v/>
      </c>
      <c r="C405">
        <f>IF(Inventory!A405="","",Inventory!C405)</f>
        <v/>
      </c>
      <c r="D405">
        <f>IF(Inventory!A405="","",Inventory!D405)</f>
        <v/>
      </c>
      <c r="E405">
        <f>IF(Inventory!A405="","",Inventory!K405)</f>
        <v/>
      </c>
      <c r="F405">
        <f>IF(Inventory!A405="","",Inventory!I405)</f>
        <v/>
      </c>
      <c r="G405">
        <f>IF(Inventory!A405="","",Inventory!Z405)</f>
        <v/>
      </c>
      <c r="H405">
        <f>IF(Inventory!A405="","",Inventory!Y405)</f>
        <v/>
      </c>
      <c r="I405">
        <f>IF(Inventory!A405="","",Inventory!W405)</f>
        <v/>
      </c>
      <c r="J405">
        <f>IF(Inventory!A405="","",Inventory!AA405)</f>
        <v/>
      </c>
    </row>
    <row r="406">
      <c r="A406">
        <f>IF(Inventory!A406="","",Inventory!A406)</f>
        <v/>
      </c>
      <c r="B406">
        <f>IF(Inventory!A406="","",Inventory!B406)</f>
        <v/>
      </c>
      <c r="C406">
        <f>IF(Inventory!A406="","",Inventory!C406)</f>
        <v/>
      </c>
      <c r="D406">
        <f>IF(Inventory!A406="","",Inventory!D406)</f>
        <v/>
      </c>
      <c r="E406">
        <f>IF(Inventory!A406="","",Inventory!K406)</f>
        <v/>
      </c>
      <c r="F406">
        <f>IF(Inventory!A406="","",Inventory!I406)</f>
        <v/>
      </c>
      <c r="G406">
        <f>IF(Inventory!A406="","",Inventory!Z406)</f>
        <v/>
      </c>
      <c r="H406">
        <f>IF(Inventory!A406="","",Inventory!Y406)</f>
        <v/>
      </c>
      <c r="I406">
        <f>IF(Inventory!A406="","",Inventory!W406)</f>
        <v/>
      </c>
      <c r="J406">
        <f>IF(Inventory!A406="","",Inventory!AA406)</f>
        <v/>
      </c>
    </row>
    <row r="407">
      <c r="A407">
        <f>IF(Inventory!A407="","",Inventory!A407)</f>
        <v/>
      </c>
      <c r="B407">
        <f>IF(Inventory!A407="","",Inventory!B407)</f>
        <v/>
      </c>
      <c r="C407">
        <f>IF(Inventory!A407="","",Inventory!C407)</f>
        <v/>
      </c>
      <c r="D407">
        <f>IF(Inventory!A407="","",Inventory!D407)</f>
        <v/>
      </c>
      <c r="E407">
        <f>IF(Inventory!A407="","",Inventory!K407)</f>
        <v/>
      </c>
      <c r="F407">
        <f>IF(Inventory!A407="","",Inventory!I407)</f>
        <v/>
      </c>
      <c r="G407">
        <f>IF(Inventory!A407="","",Inventory!Z407)</f>
        <v/>
      </c>
      <c r="H407">
        <f>IF(Inventory!A407="","",Inventory!Y407)</f>
        <v/>
      </c>
      <c r="I407">
        <f>IF(Inventory!A407="","",Inventory!W407)</f>
        <v/>
      </c>
      <c r="J407">
        <f>IF(Inventory!A407="","",Inventory!AA407)</f>
        <v/>
      </c>
    </row>
    <row r="408">
      <c r="A408">
        <f>IF(Inventory!A408="","",Inventory!A408)</f>
        <v/>
      </c>
      <c r="B408">
        <f>IF(Inventory!A408="","",Inventory!B408)</f>
        <v/>
      </c>
      <c r="C408">
        <f>IF(Inventory!A408="","",Inventory!C408)</f>
        <v/>
      </c>
      <c r="D408">
        <f>IF(Inventory!A408="","",Inventory!D408)</f>
        <v/>
      </c>
      <c r="E408">
        <f>IF(Inventory!A408="","",Inventory!K408)</f>
        <v/>
      </c>
      <c r="F408">
        <f>IF(Inventory!A408="","",Inventory!I408)</f>
        <v/>
      </c>
      <c r="G408">
        <f>IF(Inventory!A408="","",Inventory!Z408)</f>
        <v/>
      </c>
      <c r="H408">
        <f>IF(Inventory!A408="","",Inventory!Y408)</f>
        <v/>
      </c>
      <c r="I408">
        <f>IF(Inventory!A408="","",Inventory!W408)</f>
        <v/>
      </c>
      <c r="J408">
        <f>IF(Inventory!A408="","",Inventory!AA408)</f>
        <v/>
      </c>
    </row>
    <row r="409">
      <c r="A409">
        <f>IF(Inventory!A409="","",Inventory!A409)</f>
        <v/>
      </c>
      <c r="B409">
        <f>IF(Inventory!A409="","",Inventory!B409)</f>
        <v/>
      </c>
      <c r="C409">
        <f>IF(Inventory!A409="","",Inventory!C409)</f>
        <v/>
      </c>
      <c r="D409">
        <f>IF(Inventory!A409="","",Inventory!D409)</f>
        <v/>
      </c>
      <c r="E409">
        <f>IF(Inventory!A409="","",Inventory!K409)</f>
        <v/>
      </c>
      <c r="F409">
        <f>IF(Inventory!A409="","",Inventory!I409)</f>
        <v/>
      </c>
      <c r="G409">
        <f>IF(Inventory!A409="","",Inventory!Z409)</f>
        <v/>
      </c>
      <c r="H409">
        <f>IF(Inventory!A409="","",Inventory!Y409)</f>
        <v/>
      </c>
      <c r="I409">
        <f>IF(Inventory!A409="","",Inventory!W409)</f>
        <v/>
      </c>
      <c r="J409">
        <f>IF(Inventory!A409="","",Inventory!AA409)</f>
        <v/>
      </c>
    </row>
    <row r="410">
      <c r="A410">
        <f>IF(Inventory!A410="","",Inventory!A410)</f>
        <v/>
      </c>
      <c r="B410">
        <f>IF(Inventory!A410="","",Inventory!B410)</f>
        <v/>
      </c>
      <c r="C410">
        <f>IF(Inventory!A410="","",Inventory!C410)</f>
        <v/>
      </c>
      <c r="D410">
        <f>IF(Inventory!A410="","",Inventory!D410)</f>
        <v/>
      </c>
      <c r="E410">
        <f>IF(Inventory!A410="","",Inventory!K410)</f>
        <v/>
      </c>
      <c r="F410">
        <f>IF(Inventory!A410="","",Inventory!I410)</f>
        <v/>
      </c>
      <c r="G410">
        <f>IF(Inventory!A410="","",Inventory!Z410)</f>
        <v/>
      </c>
      <c r="H410">
        <f>IF(Inventory!A410="","",Inventory!Y410)</f>
        <v/>
      </c>
      <c r="I410">
        <f>IF(Inventory!A410="","",Inventory!W410)</f>
        <v/>
      </c>
      <c r="J410">
        <f>IF(Inventory!A410="","",Inventory!AA410)</f>
        <v/>
      </c>
    </row>
    <row r="411">
      <c r="A411">
        <f>IF(Inventory!A411="","",Inventory!A411)</f>
        <v/>
      </c>
      <c r="B411">
        <f>IF(Inventory!A411="","",Inventory!B411)</f>
        <v/>
      </c>
      <c r="C411">
        <f>IF(Inventory!A411="","",Inventory!C411)</f>
        <v/>
      </c>
      <c r="D411">
        <f>IF(Inventory!A411="","",Inventory!D411)</f>
        <v/>
      </c>
      <c r="E411">
        <f>IF(Inventory!A411="","",Inventory!K411)</f>
        <v/>
      </c>
      <c r="F411">
        <f>IF(Inventory!A411="","",Inventory!I411)</f>
        <v/>
      </c>
      <c r="G411">
        <f>IF(Inventory!A411="","",Inventory!Z411)</f>
        <v/>
      </c>
      <c r="H411">
        <f>IF(Inventory!A411="","",Inventory!Y411)</f>
        <v/>
      </c>
      <c r="I411">
        <f>IF(Inventory!A411="","",Inventory!W411)</f>
        <v/>
      </c>
      <c r="J411">
        <f>IF(Inventory!A411="","",Inventory!AA411)</f>
        <v/>
      </c>
    </row>
    <row r="412">
      <c r="A412">
        <f>IF(Inventory!A412="","",Inventory!A412)</f>
        <v/>
      </c>
      <c r="B412">
        <f>IF(Inventory!A412="","",Inventory!B412)</f>
        <v/>
      </c>
      <c r="C412">
        <f>IF(Inventory!A412="","",Inventory!C412)</f>
        <v/>
      </c>
      <c r="D412">
        <f>IF(Inventory!A412="","",Inventory!D412)</f>
        <v/>
      </c>
      <c r="E412">
        <f>IF(Inventory!A412="","",Inventory!K412)</f>
        <v/>
      </c>
      <c r="F412">
        <f>IF(Inventory!A412="","",Inventory!I412)</f>
        <v/>
      </c>
      <c r="G412">
        <f>IF(Inventory!A412="","",Inventory!Z412)</f>
        <v/>
      </c>
      <c r="H412">
        <f>IF(Inventory!A412="","",Inventory!Y412)</f>
        <v/>
      </c>
      <c r="I412">
        <f>IF(Inventory!A412="","",Inventory!W412)</f>
        <v/>
      </c>
      <c r="J412">
        <f>IF(Inventory!A412="","",Inventory!AA412)</f>
        <v/>
      </c>
    </row>
    <row r="413">
      <c r="A413">
        <f>IF(Inventory!A413="","",Inventory!A413)</f>
        <v/>
      </c>
      <c r="B413">
        <f>IF(Inventory!A413="","",Inventory!B413)</f>
        <v/>
      </c>
      <c r="C413">
        <f>IF(Inventory!A413="","",Inventory!C413)</f>
        <v/>
      </c>
      <c r="D413">
        <f>IF(Inventory!A413="","",Inventory!D413)</f>
        <v/>
      </c>
      <c r="E413">
        <f>IF(Inventory!A413="","",Inventory!K413)</f>
        <v/>
      </c>
      <c r="F413">
        <f>IF(Inventory!A413="","",Inventory!I413)</f>
        <v/>
      </c>
      <c r="G413">
        <f>IF(Inventory!A413="","",Inventory!Z413)</f>
        <v/>
      </c>
      <c r="H413">
        <f>IF(Inventory!A413="","",Inventory!Y413)</f>
        <v/>
      </c>
      <c r="I413">
        <f>IF(Inventory!A413="","",Inventory!W413)</f>
        <v/>
      </c>
      <c r="J413">
        <f>IF(Inventory!A413="","",Inventory!AA413)</f>
        <v/>
      </c>
    </row>
    <row r="414">
      <c r="A414">
        <f>IF(Inventory!A414="","",Inventory!A414)</f>
        <v/>
      </c>
      <c r="B414">
        <f>IF(Inventory!A414="","",Inventory!B414)</f>
        <v/>
      </c>
      <c r="C414">
        <f>IF(Inventory!A414="","",Inventory!C414)</f>
        <v/>
      </c>
      <c r="D414">
        <f>IF(Inventory!A414="","",Inventory!D414)</f>
        <v/>
      </c>
      <c r="E414">
        <f>IF(Inventory!A414="","",Inventory!K414)</f>
        <v/>
      </c>
      <c r="F414">
        <f>IF(Inventory!A414="","",Inventory!I414)</f>
        <v/>
      </c>
      <c r="G414">
        <f>IF(Inventory!A414="","",Inventory!Z414)</f>
        <v/>
      </c>
      <c r="H414">
        <f>IF(Inventory!A414="","",Inventory!Y414)</f>
        <v/>
      </c>
      <c r="I414">
        <f>IF(Inventory!A414="","",Inventory!W414)</f>
        <v/>
      </c>
      <c r="J414">
        <f>IF(Inventory!A414="","",Inventory!AA414)</f>
        <v/>
      </c>
    </row>
    <row r="415">
      <c r="A415">
        <f>IF(Inventory!A415="","",Inventory!A415)</f>
        <v/>
      </c>
      <c r="B415">
        <f>IF(Inventory!A415="","",Inventory!B415)</f>
        <v/>
      </c>
      <c r="C415">
        <f>IF(Inventory!A415="","",Inventory!C415)</f>
        <v/>
      </c>
      <c r="D415">
        <f>IF(Inventory!A415="","",Inventory!D415)</f>
        <v/>
      </c>
      <c r="E415">
        <f>IF(Inventory!A415="","",Inventory!K415)</f>
        <v/>
      </c>
      <c r="F415">
        <f>IF(Inventory!A415="","",Inventory!I415)</f>
        <v/>
      </c>
      <c r="G415">
        <f>IF(Inventory!A415="","",Inventory!Z415)</f>
        <v/>
      </c>
      <c r="H415">
        <f>IF(Inventory!A415="","",Inventory!Y415)</f>
        <v/>
      </c>
      <c r="I415">
        <f>IF(Inventory!A415="","",Inventory!W415)</f>
        <v/>
      </c>
      <c r="J415">
        <f>IF(Inventory!A415="","",Inventory!AA415)</f>
        <v/>
      </c>
    </row>
    <row r="416">
      <c r="A416">
        <f>IF(Inventory!A416="","",Inventory!A416)</f>
        <v/>
      </c>
      <c r="B416">
        <f>IF(Inventory!A416="","",Inventory!B416)</f>
        <v/>
      </c>
      <c r="C416">
        <f>IF(Inventory!A416="","",Inventory!C416)</f>
        <v/>
      </c>
      <c r="D416">
        <f>IF(Inventory!A416="","",Inventory!D416)</f>
        <v/>
      </c>
      <c r="E416">
        <f>IF(Inventory!A416="","",Inventory!K416)</f>
        <v/>
      </c>
      <c r="F416">
        <f>IF(Inventory!A416="","",Inventory!I416)</f>
        <v/>
      </c>
      <c r="G416">
        <f>IF(Inventory!A416="","",Inventory!Z416)</f>
        <v/>
      </c>
      <c r="H416">
        <f>IF(Inventory!A416="","",Inventory!Y416)</f>
        <v/>
      </c>
      <c r="I416">
        <f>IF(Inventory!A416="","",Inventory!W416)</f>
        <v/>
      </c>
      <c r="J416">
        <f>IF(Inventory!A416="","",Inventory!AA416)</f>
        <v/>
      </c>
    </row>
    <row r="417">
      <c r="A417">
        <f>IF(Inventory!A417="","",Inventory!A417)</f>
        <v/>
      </c>
      <c r="B417">
        <f>IF(Inventory!A417="","",Inventory!B417)</f>
        <v/>
      </c>
      <c r="C417">
        <f>IF(Inventory!A417="","",Inventory!C417)</f>
        <v/>
      </c>
      <c r="D417">
        <f>IF(Inventory!A417="","",Inventory!D417)</f>
        <v/>
      </c>
      <c r="E417">
        <f>IF(Inventory!A417="","",Inventory!K417)</f>
        <v/>
      </c>
      <c r="F417">
        <f>IF(Inventory!A417="","",Inventory!I417)</f>
        <v/>
      </c>
      <c r="G417">
        <f>IF(Inventory!A417="","",Inventory!Z417)</f>
        <v/>
      </c>
      <c r="H417">
        <f>IF(Inventory!A417="","",Inventory!Y417)</f>
        <v/>
      </c>
      <c r="I417">
        <f>IF(Inventory!A417="","",Inventory!W417)</f>
        <v/>
      </c>
      <c r="J417">
        <f>IF(Inventory!A417="","",Inventory!AA417)</f>
        <v/>
      </c>
    </row>
    <row r="418">
      <c r="A418">
        <f>IF(Inventory!A418="","",Inventory!A418)</f>
        <v/>
      </c>
      <c r="B418">
        <f>IF(Inventory!A418="","",Inventory!B418)</f>
        <v/>
      </c>
      <c r="C418">
        <f>IF(Inventory!A418="","",Inventory!C418)</f>
        <v/>
      </c>
      <c r="D418">
        <f>IF(Inventory!A418="","",Inventory!D418)</f>
        <v/>
      </c>
      <c r="E418">
        <f>IF(Inventory!A418="","",Inventory!K418)</f>
        <v/>
      </c>
      <c r="F418">
        <f>IF(Inventory!A418="","",Inventory!I418)</f>
        <v/>
      </c>
      <c r="G418">
        <f>IF(Inventory!A418="","",Inventory!Z418)</f>
        <v/>
      </c>
      <c r="H418">
        <f>IF(Inventory!A418="","",Inventory!Y418)</f>
        <v/>
      </c>
      <c r="I418">
        <f>IF(Inventory!A418="","",Inventory!W418)</f>
        <v/>
      </c>
      <c r="J418">
        <f>IF(Inventory!A418="","",Inventory!AA418)</f>
        <v/>
      </c>
    </row>
    <row r="419">
      <c r="A419">
        <f>IF(Inventory!A419="","",Inventory!A419)</f>
        <v/>
      </c>
      <c r="B419">
        <f>IF(Inventory!A419="","",Inventory!B419)</f>
        <v/>
      </c>
      <c r="C419">
        <f>IF(Inventory!A419="","",Inventory!C419)</f>
        <v/>
      </c>
      <c r="D419">
        <f>IF(Inventory!A419="","",Inventory!D419)</f>
        <v/>
      </c>
      <c r="E419">
        <f>IF(Inventory!A419="","",Inventory!K419)</f>
        <v/>
      </c>
      <c r="F419">
        <f>IF(Inventory!A419="","",Inventory!I419)</f>
        <v/>
      </c>
      <c r="G419">
        <f>IF(Inventory!A419="","",Inventory!Z419)</f>
        <v/>
      </c>
      <c r="H419">
        <f>IF(Inventory!A419="","",Inventory!Y419)</f>
        <v/>
      </c>
      <c r="I419">
        <f>IF(Inventory!A419="","",Inventory!W419)</f>
        <v/>
      </c>
      <c r="J419">
        <f>IF(Inventory!A419="","",Inventory!AA419)</f>
        <v/>
      </c>
    </row>
    <row r="420">
      <c r="A420">
        <f>IF(Inventory!A420="","",Inventory!A420)</f>
        <v/>
      </c>
      <c r="B420">
        <f>IF(Inventory!A420="","",Inventory!B420)</f>
        <v/>
      </c>
      <c r="C420">
        <f>IF(Inventory!A420="","",Inventory!C420)</f>
        <v/>
      </c>
      <c r="D420">
        <f>IF(Inventory!A420="","",Inventory!D420)</f>
        <v/>
      </c>
      <c r="E420">
        <f>IF(Inventory!A420="","",Inventory!K420)</f>
        <v/>
      </c>
      <c r="F420">
        <f>IF(Inventory!A420="","",Inventory!I420)</f>
        <v/>
      </c>
      <c r="G420">
        <f>IF(Inventory!A420="","",Inventory!Z420)</f>
        <v/>
      </c>
      <c r="H420">
        <f>IF(Inventory!A420="","",Inventory!Y420)</f>
        <v/>
      </c>
      <c r="I420">
        <f>IF(Inventory!A420="","",Inventory!W420)</f>
        <v/>
      </c>
      <c r="J420">
        <f>IF(Inventory!A420="","",Inventory!AA420)</f>
        <v/>
      </c>
    </row>
    <row r="421">
      <c r="A421">
        <f>IF(Inventory!A421="","",Inventory!A421)</f>
        <v/>
      </c>
      <c r="B421">
        <f>IF(Inventory!A421="","",Inventory!B421)</f>
        <v/>
      </c>
      <c r="C421">
        <f>IF(Inventory!A421="","",Inventory!C421)</f>
        <v/>
      </c>
      <c r="D421">
        <f>IF(Inventory!A421="","",Inventory!D421)</f>
        <v/>
      </c>
      <c r="E421">
        <f>IF(Inventory!A421="","",Inventory!K421)</f>
        <v/>
      </c>
      <c r="F421">
        <f>IF(Inventory!A421="","",Inventory!I421)</f>
        <v/>
      </c>
      <c r="G421">
        <f>IF(Inventory!A421="","",Inventory!Z421)</f>
        <v/>
      </c>
      <c r="H421">
        <f>IF(Inventory!A421="","",Inventory!Y421)</f>
        <v/>
      </c>
      <c r="I421">
        <f>IF(Inventory!A421="","",Inventory!W421)</f>
        <v/>
      </c>
      <c r="J421">
        <f>IF(Inventory!A421="","",Inventory!AA421)</f>
        <v/>
      </c>
    </row>
    <row r="422">
      <c r="A422">
        <f>IF(Inventory!A422="","",Inventory!A422)</f>
        <v/>
      </c>
      <c r="B422">
        <f>IF(Inventory!A422="","",Inventory!B422)</f>
        <v/>
      </c>
      <c r="C422">
        <f>IF(Inventory!A422="","",Inventory!C422)</f>
        <v/>
      </c>
      <c r="D422">
        <f>IF(Inventory!A422="","",Inventory!D422)</f>
        <v/>
      </c>
      <c r="E422">
        <f>IF(Inventory!A422="","",Inventory!K422)</f>
        <v/>
      </c>
      <c r="F422">
        <f>IF(Inventory!A422="","",Inventory!I422)</f>
        <v/>
      </c>
      <c r="G422">
        <f>IF(Inventory!A422="","",Inventory!Z422)</f>
        <v/>
      </c>
      <c r="H422">
        <f>IF(Inventory!A422="","",Inventory!Y422)</f>
        <v/>
      </c>
      <c r="I422">
        <f>IF(Inventory!A422="","",Inventory!W422)</f>
        <v/>
      </c>
      <c r="J422">
        <f>IF(Inventory!A422="","",Inventory!AA422)</f>
        <v/>
      </c>
    </row>
    <row r="423">
      <c r="A423">
        <f>IF(Inventory!A423="","",Inventory!A423)</f>
        <v/>
      </c>
      <c r="B423">
        <f>IF(Inventory!A423="","",Inventory!B423)</f>
        <v/>
      </c>
      <c r="C423">
        <f>IF(Inventory!A423="","",Inventory!C423)</f>
        <v/>
      </c>
      <c r="D423">
        <f>IF(Inventory!A423="","",Inventory!D423)</f>
        <v/>
      </c>
      <c r="E423">
        <f>IF(Inventory!A423="","",Inventory!K423)</f>
        <v/>
      </c>
      <c r="F423">
        <f>IF(Inventory!A423="","",Inventory!I423)</f>
        <v/>
      </c>
      <c r="G423">
        <f>IF(Inventory!A423="","",Inventory!Z423)</f>
        <v/>
      </c>
      <c r="H423">
        <f>IF(Inventory!A423="","",Inventory!Y423)</f>
        <v/>
      </c>
      <c r="I423">
        <f>IF(Inventory!A423="","",Inventory!W423)</f>
        <v/>
      </c>
      <c r="J423">
        <f>IF(Inventory!A423="","",Inventory!AA423)</f>
        <v/>
      </c>
    </row>
    <row r="424">
      <c r="A424">
        <f>IF(Inventory!A424="","",Inventory!A424)</f>
        <v/>
      </c>
      <c r="B424">
        <f>IF(Inventory!A424="","",Inventory!B424)</f>
        <v/>
      </c>
      <c r="C424">
        <f>IF(Inventory!A424="","",Inventory!C424)</f>
        <v/>
      </c>
      <c r="D424">
        <f>IF(Inventory!A424="","",Inventory!D424)</f>
        <v/>
      </c>
      <c r="E424">
        <f>IF(Inventory!A424="","",Inventory!K424)</f>
        <v/>
      </c>
      <c r="F424">
        <f>IF(Inventory!A424="","",Inventory!I424)</f>
        <v/>
      </c>
      <c r="G424">
        <f>IF(Inventory!A424="","",Inventory!Z424)</f>
        <v/>
      </c>
      <c r="H424">
        <f>IF(Inventory!A424="","",Inventory!Y424)</f>
        <v/>
      </c>
      <c r="I424">
        <f>IF(Inventory!A424="","",Inventory!W424)</f>
        <v/>
      </c>
      <c r="J424">
        <f>IF(Inventory!A424="","",Inventory!AA424)</f>
        <v/>
      </c>
    </row>
    <row r="425">
      <c r="A425">
        <f>IF(Inventory!A425="","",Inventory!A425)</f>
        <v/>
      </c>
      <c r="B425">
        <f>IF(Inventory!A425="","",Inventory!B425)</f>
        <v/>
      </c>
      <c r="C425">
        <f>IF(Inventory!A425="","",Inventory!C425)</f>
        <v/>
      </c>
      <c r="D425">
        <f>IF(Inventory!A425="","",Inventory!D425)</f>
        <v/>
      </c>
      <c r="E425">
        <f>IF(Inventory!A425="","",Inventory!K425)</f>
        <v/>
      </c>
      <c r="F425">
        <f>IF(Inventory!A425="","",Inventory!I425)</f>
        <v/>
      </c>
      <c r="G425">
        <f>IF(Inventory!A425="","",Inventory!Z425)</f>
        <v/>
      </c>
      <c r="H425">
        <f>IF(Inventory!A425="","",Inventory!Y425)</f>
        <v/>
      </c>
      <c r="I425">
        <f>IF(Inventory!A425="","",Inventory!W425)</f>
        <v/>
      </c>
      <c r="J425">
        <f>IF(Inventory!A425="","",Inventory!AA425)</f>
        <v/>
      </c>
    </row>
    <row r="426">
      <c r="A426">
        <f>IF(Inventory!A426="","",Inventory!A426)</f>
        <v/>
      </c>
      <c r="B426">
        <f>IF(Inventory!A426="","",Inventory!B426)</f>
        <v/>
      </c>
      <c r="C426">
        <f>IF(Inventory!A426="","",Inventory!C426)</f>
        <v/>
      </c>
      <c r="D426">
        <f>IF(Inventory!A426="","",Inventory!D426)</f>
        <v/>
      </c>
      <c r="E426">
        <f>IF(Inventory!A426="","",Inventory!K426)</f>
        <v/>
      </c>
      <c r="F426">
        <f>IF(Inventory!A426="","",Inventory!I426)</f>
        <v/>
      </c>
      <c r="G426">
        <f>IF(Inventory!A426="","",Inventory!Z426)</f>
        <v/>
      </c>
      <c r="H426">
        <f>IF(Inventory!A426="","",Inventory!Y426)</f>
        <v/>
      </c>
      <c r="I426">
        <f>IF(Inventory!A426="","",Inventory!W426)</f>
        <v/>
      </c>
      <c r="J426">
        <f>IF(Inventory!A426="","",Inventory!AA426)</f>
        <v/>
      </c>
    </row>
    <row r="427">
      <c r="A427">
        <f>IF(Inventory!A427="","",Inventory!A427)</f>
        <v/>
      </c>
      <c r="B427">
        <f>IF(Inventory!A427="","",Inventory!B427)</f>
        <v/>
      </c>
      <c r="C427">
        <f>IF(Inventory!A427="","",Inventory!C427)</f>
        <v/>
      </c>
      <c r="D427">
        <f>IF(Inventory!A427="","",Inventory!D427)</f>
        <v/>
      </c>
      <c r="E427">
        <f>IF(Inventory!A427="","",Inventory!K427)</f>
        <v/>
      </c>
      <c r="F427">
        <f>IF(Inventory!A427="","",Inventory!I427)</f>
        <v/>
      </c>
      <c r="G427">
        <f>IF(Inventory!A427="","",Inventory!Z427)</f>
        <v/>
      </c>
      <c r="H427">
        <f>IF(Inventory!A427="","",Inventory!Y427)</f>
        <v/>
      </c>
      <c r="I427">
        <f>IF(Inventory!A427="","",Inventory!W427)</f>
        <v/>
      </c>
      <c r="J427">
        <f>IF(Inventory!A427="","",Inventory!AA427)</f>
        <v/>
      </c>
    </row>
    <row r="428">
      <c r="A428">
        <f>IF(Inventory!A428="","",Inventory!A428)</f>
        <v/>
      </c>
      <c r="B428">
        <f>IF(Inventory!A428="","",Inventory!B428)</f>
        <v/>
      </c>
      <c r="C428">
        <f>IF(Inventory!A428="","",Inventory!C428)</f>
        <v/>
      </c>
      <c r="D428">
        <f>IF(Inventory!A428="","",Inventory!D428)</f>
        <v/>
      </c>
      <c r="E428">
        <f>IF(Inventory!A428="","",Inventory!K428)</f>
        <v/>
      </c>
      <c r="F428">
        <f>IF(Inventory!A428="","",Inventory!I428)</f>
        <v/>
      </c>
      <c r="G428">
        <f>IF(Inventory!A428="","",Inventory!Z428)</f>
        <v/>
      </c>
      <c r="H428">
        <f>IF(Inventory!A428="","",Inventory!Y428)</f>
        <v/>
      </c>
      <c r="I428">
        <f>IF(Inventory!A428="","",Inventory!W428)</f>
        <v/>
      </c>
      <c r="J428">
        <f>IF(Inventory!A428="","",Inventory!AA428)</f>
        <v/>
      </c>
    </row>
    <row r="429">
      <c r="A429">
        <f>IF(Inventory!A429="","",Inventory!A429)</f>
        <v/>
      </c>
      <c r="B429">
        <f>IF(Inventory!A429="","",Inventory!B429)</f>
        <v/>
      </c>
      <c r="C429">
        <f>IF(Inventory!A429="","",Inventory!C429)</f>
        <v/>
      </c>
      <c r="D429">
        <f>IF(Inventory!A429="","",Inventory!D429)</f>
        <v/>
      </c>
      <c r="E429">
        <f>IF(Inventory!A429="","",Inventory!K429)</f>
        <v/>
      </c>
      <c r="F429">
        <f>IF(Inventory!A429="","",Inventory!I429)</f>
        <v/>
      </c>
      <c r="G429">
        <f>IF(Inventory!A429="","",Inventory!Z429)</f>
        <v/>
      </c>
      <c r="H429">
        <f>IF(Inventory!A429="","",Inventory!Y429)</f>
        <v/>
      </c>
      <c r="I429">
        <f>IF(Inventory!A429="","",Inventory!W429)</f>
        <v/>
      </c>
      <c r="J429">
        <f>IF(Inventory!A429="","",Inventory!AA429)</f>
        <v/>
      </c>
    </row>
    <row r="430">
      <c r="A430">
        <f>IF(Inventory!A430="","",Inventory!A430)</f>
        <v/>
      </c>
      <c r="B430">
        <f>IF(Inventory!A430="","",Inventory!B430)</f>
        <v/>
      </c>
      <c r="C430">
        <f>IF(Inventory!A430="","",Inventory!C430)</f>
        <v/>
      </c>
      <c r="D430">
        <f>IF(Inventory!A430="","",Inventory!D430)</f>
        <v/>
      </c>
      <c r="E430">
        <f>IF(Inventory!A430="","",Inventory!K430)</f>
        <v/>
      </c>
      <c r="F430">
        <f>IF(Inventory!A430="","",Inventory!I430)</f>
        <v/>
      </c>
      <c r="G430">
        <f>IF(Inventory!A430="","",Inventory!Z430)</f>
        <v/>
      </c>
      <c r="H430">
        <f>IF(Inventory!A430="","",Inventory!Y430)</f>
        <v/>
      </c>
      <c r="I430">
        <f>IF(Inventory!A430="","",Inventory!W430)</f>
        <v/>
      </c>
      <c r="J430">
        <f>IF(Inventory!A430="","",Inventory!AA430)</f>
        <v/>
      </c>
    </row>
    <row r="431">
      <c r="A431">
        <f>IF(Inventory!A431="","",Inventory!A431)</f>
        <v/>
      </c>
      <c r="B431">
        <f>IF(Inventory!A431="","",Inventory!B431)</f>
        <v/>
      </c>
      <c r="C431">
        <f>IF(Inventory!A431="","",Inventory!C431)</f>
        <v/>
      </c>
      <c r="D431">
        <f>IF(Inventory!A431="","",Inventory!D431)</f>
        <v/>
      </c>
      <c r="E431">
        <f>IF(Inventory!A431="","",Inventory!K431)</f>
        <v/>
      </c>
      <c r="F431">
        <f>IF(Inventory!A431="","",Inventory!I431)</f>
        <v/>
      </c>
      <c r="G431">
        <f>IF(Inventory!A431="","",Inventory!Z431)</f>
        <v/>
      </c>
      <c r="H431">
        <f>IF(Inventory!A431="","",Inventory!Y431)</f>
        <v/>
      </c>
      <c r="I431">
        <f>IF(Inventory!A431="","",Inventory!W431)</f>
        <v/>
      </c>
      <c r="J431">
        <f>IF(Inventory!A431="","",Inventory!AA431)</f>
        <v/>
      </c>
    </row>
    <row r="432">
      <c r="A432">
        <f>IF(Inventory!A432="","",Inventory!A432)</f>
        <v/>
      </c>
      <c r="B432">
        <f>IF(Inventory!A432="","",Inventory!B432)</f>
        <v/>
      </c>
      <c r="C432">
        <f>IF(Inventory!A432="","",Inventory!C432)</f>
        <v/>
      </c>
      <c r="D432">
        <f>IF(Inventory!A432="","",Inventory!D432)</f>
        <v/>
      </c>
      <c r="E432">
        <f>IF(Inventory!A432="","",Inventory!K432)</f>
        <v/>
      </c>
      <c r="F432">
        <f>IF(Inventory!A432="","",Inventory!I432)</f>
        <v/>
      </c>
      <c r="G432">
        <f>IF(Inventory!A432="","",Inventory!Z432)</f>
        <v/>
      </c>
      <c r="H432">
        <f>IF(Inventory!A432="","",Inventory!Y432)</f>
        <v/>
      </c>
      <c r="I432">
        <f>IF(Inventory!A432="","",Inventory!W432)</f>
        <v/>
      </c>
      <c r="J432">
        <f>IF(Inventory!A432="","",Inventory!AA432)</f>
        <v/>
      </c>
    </row>
    <row r="433">
      <c r="A433">
        <f>IF(Inventory!A433="","",Inventory!A433)</f>
        <v/>
      </c>
      <c r="B433">
        <f>IF(Inventory!A433="","",Inventory!B433)</f>
        <v/>
      </c>
      <c r="C433">
        <f>IF(Inventory!A433="","",Inventory!C433)</f>
        <v/>
      </c>
      <c r="D433">
        <f>IF(Inventory!A433="","",Inventory!D433)</f>
        <v/>
      </c>
      <c r="E433">
        <f>IF(Inventory!A433="","",Inventory!K433)</f>
        <v/>
      </c>
      <c r="F433">
        <f>IF(Inventory!A433="","",Inventory!I433)</f>
        <v/>
      </c>
      <c r="G433">
        <f>IF(Inventory!A433="","",Inventory!Z433)</f>
        <v/>
      </c>
      <c r="H433">
        <f>IF(Inventory!A433="","",Inventory!Y433)</f>
        <v/>
      </c>
      <c r="I433">
        <f>IF(Inventory!A433="","",Inventory!W433)</f>
        <v/>
      </c>
      <c r="J433">
        <f>IF(Inventory!A433="","",Inventory!AA433)</f>
        <v/>
      </c>
    </row>
    <row r="434">
      <c r="A434">
        <f>IF(Inventory!A434="","",Inventory!A434)</f>
        <v/>
      </c>
      <c r="B434">
        <f>IF(Inventory!A434="","",Inventory!B434)</f>
        <v/>
      </c>
      <c r="C434">
        <f>IF(Inventory!A434="","",Inventory!C434)</f>
        <v/>
      </c>
      <c r="D434">
        <f>IF(Inventory!A434="","",Inventory!D434)</f>
        <v/>
      </c>
      <c r="E434">
        <f>IF(Inventory!A434="","",Inventory!K434)</f>
        <v/>
      </c>
      <c r="F434">
        <f>IF(Inventory!A434="","",Inventory!I434)</f>
        <v/>
      </c>
      <c r="G434">
        <f>IF(Inventory!A434="","",Inventory!Z434)</f>
        <v/>
      </c>
      <c r="H434">
        <f>IF(Inventory!A434="","",Inventory!Y434)</f>
        <v/>
      </c>
      <c r="I434">
        <f>IF(Inventory!A434="","",Inventory!W434)</f>
        <v/>
      </c>
      <c r="J434">
        <f>IF(Inventory!A434="","",Inventory!AA434)</f>
        <v/>
      </c>
    </row>
    <row r="435">
      <c r="A435">
        <f>IF(Inventory!A435="","",Inventory!A435)</f>
        <v/>
      </c>
      <c r="B435">
        <f>IF(Inventory!A435="","",Inventory!B435)</f>
        <v/>
      </c>
      <c r="C435">
        <f>IF(Inventory!A435="","",Inventory!C435)</f>
        <v/>
      </c>
      <c r="D435">
        <f>IF(Inventory!A435="","",Inventory!D435)</f>
        <v/>
      </c>
      <c r="E435">
        <f>IF(Inventory!A435="","",Inventory!K435)</f>
        <v/>
      </c>
      <c r="F435">
        <f>IF(Inventory!A435="","",Inventory!I435)</f>
        <v/>
      </c>
      <c r="G435">
        <f>IF(Inventory!A435="","",Inventory!Z435)</f>
        <v/>
      </c>
      <c r="H435">
        <f>IF(Inventory!A435="","",Inventory!Y435)</f>
        <v/>
      </c>
      <c r="I435">
        <f>IF(Inventory!A435="","",Inventory!W435)</f>
        <v/>
      </c>
      <c r="J435">
        <f>IF(Inventory!A435="","",Inventory!AA435)</f>
        <v/>
      </c>
    </row>
    <row r="436">
      <c r="A436">
        <f>IF(Inventory!A436="","",Inventory!A436)</f>
        <v/>
      </c>
      <c r="B436">
        <f>IF(Inventory!A436="","",Inventory!B436)</f>
        <v/>
      </c>
      <c r="C436">
        <f>IF(Inventory!A436="","",Inventory!C436)</f>
        <v/>
      </c>
      <c r="D436">
        <f>IF(Inventory!A436="","",Inventory!D436)</f>
        <v/>
      </c>
      <c r="E436">
        <f>IF(Inventory!A436="","",Inventory!K436)</f>
        <v/>
      </c>
      <c r="F436">
        <f>IF(Inventory!A436="","",Inventory!I436)</f>
        <v/>
      </c>
      <c r="G436">
        <f>IF(Inventory!A436="","",Inventory!Z436)</f>
        <v/>
      </c>
      <c r="H436">
        <f>IF(Inventory!A436="","",Inventory!Y436)</f>
        <v/>
      </c>
      <c r="I436">
        <f>IF(Inventory!A436="","",Inventory!W436)</f>
        <v/>
      </c>
      <c r="J436">
        <f>IF(Inventory!A436="","",Inventory!AA436)</f>
        <v/>
      </c>
    </row>
    <row r="437">
      <c r="A437">
        <f>IF(Inventory!A437="","",Inventory!A437)</f>
        <v/>
      </c>
      <c r="B437">
        <f>IF(Inventory!A437="","",Inventory!B437)</f>
        <v/>
      </c>
      <c r="C437">
        <f>IF(Inventory!A437="","",Inventory!C437)</f>
        <v/>
      </c>
      <c r="D437">
        <f>IF(Inventory!A437="","",Inventory!D437)</f>
        <v/>
      </c>
      <c r="E437">
        <f>IF(Inventory!A437="","",Inventory!K437)</f>
        <v/>
      </c>
      <c r="F437">
        <f>IF(Inventory!A437="","",Inventory!I437)</f>
        <v/>
      </c>
      <c r="G437">
        <f>IF(Inventory!A437="","",Inventory!Z437)</f>
        <v/>
      </c>
      <c r="H437">
        <f>IF(Inventory!A437="","",Inventory!Y437)</f>
        <v/>
      </c>
      <c r="I437">
        <f>IF(Inventory!A437="","",Inventory!W437)</f>
        <v/>
      </c>
      <c r="J437">
        <f>IF(Inventory!A437="","",Inventory!AA437)</f>
        <v/>
      </c>
    </row>
    <row r="438">
      <c r="A438">
        <f>IF(Inventory!A438="","",Inventory!A438)</f>
        <v/>
      </c>
      <c r="B438">
        <f>IF(Inventory!A438="","",Inventory!B438)</f>
        <v/>
      </c>
      <c r="C438">
        <f>IF(Inventory!A438="","",Inventory!C438)</f>
        <v/>
      </c>
      <c r="D438">
        <f>IF(Inventory!A438="","",Inventory!D438)</f>
        <v/>
      </c>
      <c r="E438">
        <f>IF(Inventory!A438="","",Inventory!K438)</f>
        <v/>
      </c>
      <c r="F438">
        <f>IF(Inventory!A438="","",Inventory!I438)</f>
        <v/>
      </c>
      <c r="G438">
        <f>IF(Inventory!A438="","",Inventory!Z438)</f>
        <v/>
      </c>
      <c r="H438">
        <f>IF(Inventory!A438="","",Inventory!Y438)</f>
        <v/>
      </c>
      <c r="I438">
        <f>IF(Inventory!A438="","",Inventory!W438)</f>
        <v/>
      </c>
      <c r="J438">
        <f>IF(Inventory!A438="","",Inventory!AA438)</f>
        <v/>
      </c>
    </row>
    <row r="439">
      <c r="A439">
        <f>IF(Inventory!A439="","",Inventory!A439)</f>
        <v/>
      </c>
      <c r="B439">
        <f>IF(Inventory!A439="","",Inventory!B439)</f>
        <v/>
      </c>
      <c r="C439">
        <f>IF(Inventory!A439="","",Inventory!C439)</f>
        <v/>
      </c>
      <c r="D439">
        <f>IF(Inventory!A439="","",Inventory!D439)</f>
        <v/>
      </c>
      <c r="E439">
        <f>IF(Inventory!A439="","",Inventory!K439)</f>
        <v/>
      </c>
      <c r="F439">
        <f>IF(Inventory!A439="","",Inventory!I439)</f>
        <v/>
      </c>
      <c r="G439">
        <f>IF(Inventory!A439="","",Inventory!Z439)</f>
        <v/>
      </c>
      <c r="H439">
        <f>IF(Inventory!A439="","",Inventory!Y439)</f>
        <v/>
      </c>
      <c r="I439">
        <f>IF(Inventory!A439="","",Inventory!W439)</f>
        <v/>
      </c>
      <c r="J439">
        <f>IF(Inventory!A439="","",Inventory!AA439)</f>
        <v/>
      </c>
    </row>
    <row r="440">
      <c r="A440">
        <f>IF(Inventory!A440="","",Inventory!A440)</f>
        <v/>
      </c>
      <c r="B440">
        <f>IF(Inventory!A440="","",Inventory!B440)</f>
        <v/>
      </c>
      <c r="C440">
        <f>IF(Inventory!A440="","",Inventory!C440)</f>
        <v/>
      </c>
      <c r="D440">
        <f>IF(Inventory!A440="","",Inventory!D440)</f>
        <v/>
      </c>
      <c r="E440">
        <f>IF(Inventory!A440="","",Inventory!K440)</f>
        <v/>
      </c>
      <c r="F440">
        <f>IF(Inventory!A440="","",Inventory!I440)</f>
        <v/>
      </c>
      <c r="G440">
        <f>IF(Inventory!A440="","",Inventory!Z440)</f>
        <v/>
      </c>
      <c r="H440">
        <f>IF(Inventory!A440="","",Inventory!Y440)</f>
        <v/>
      </c>
      <c r="I440">
        <f>IF(Inventory!A440="","",Inventory!W440)</f>
        <v/>
      </c>
      <c r="J440">
        <f>IF(Inventory!A440="","",Inventory!AA440)</f>
        <v/>
      </c>
    </row>
    <row r="441">
      <c r="A441">
        <f>IF(Inventory!A441="","",Inventory!A441)</f>
        <v/>
      </c>
      <c r="B441">
        <f>IF(Inventory!A441="","",Inventory!B441)</f>
        <v/>
      </c>
      <c r="C441">
        <f>IF(Inventory!A441="","",Inventory!C441)</f>
        <v/>
      </c>
      <c r="D441">
        <f>IF(Inventory!A441="","",Inventory!D441)</f>
        <v/>
      </c>
      <c r="E441">
        <f>IF(Inventory!A441="","",Inventory!K441)</f>
        <v/>
      </c>
      <c r="F441">
        <f>IF(Inventory!A441="","",Inventory!I441)</f>
        <v/>
      </c>
      <c r="G441">
        <f>IF(Inventory!A441="","",Inventory!Z441)</f>
        <v/>
      </c>
      <c r="H441">
        <f>IF(Inventory!A441="","",Inventory!Y441)</f>
        <v/>
      </c>
      <c r="I441">
        <f>IF(Inventory!A441="","",Inventory!W441)</f>
        <v/>
      </c>
      <c r="J441">
        <f>IF(Inventory!A441="","",Inventory!AA441)</f>
        <v/>
      </c>
    </row>
    <row r="442">
      <c r="A442">
        <f>IF(Inventory!A442="","",Inventory!A442)</f>
        <v/>
      </c>
      <c r="B442">
        <f>IF(Inventory!A442="","",Inventory!B442)</f>
        <v/>
      </c>
      <c r="C442">
        <f>IF(Inventory!A442="","",Inventory!C442)</f>
        <v/>
      </c>
      <c r="D442">
        <f>IF(Inventory!A442="","",Inventory!D442)</f>
        <v/>
      </c>
      <c r="E442">
        <f>IF(Inventory!A442="","",Inventory!K442)</f>
        <v/>
      </c>
      <c r="F442">
        <f>IF(Inventory!A442="","",Inventory!I442)</f>
        <v/>
      </c>
      <c r="G442">
        <f>IF(Inventory!A442="","",Inventory!Z442)</f>
        <v/>
      </c>
      <c r="H442">
        <f>IF(Inventory!A442="","",Inventory!Y442)</f>
        <v/>
      </c>
      <c r="I442">
        <f>IF(Inventory!A442="","",Inventory!W442)</f>
        <v/>
      </c>
      <c r="J442">
        <f>IF(Inventory!A442="","",Inventory!AA442)</f>
        <v/>
      </c>
    </row>
    <row r="443">
      <c r="A443">
        <f>IF(Inventory!A443="","",Inventory!A443)</f>
        <v/>
      </c>
      <c r="B443">
        <f>IF(Inventory!A443="","",Inventory!B443)</f>
        <v/>
      </c>
      <c r="C443">
        <f>IF(Inventory!A443="","",Inventory!C443)</f>
        <v/>
      </c>
      <c r="D443">
        <f>IF(Inventory!A443="","",Inventory!D443)</f>
        <v/>
      </c>
      <c r="E443">
        <f>IF(Inventory!A443="","",Inventory!K443)</f>
        <v/>
      </c>
      <c r="F443">
        <f>IF(Inventory!A443="","",Inventory!I443)</f>
        <v/>
      </c>
      <c r="G443">
        <f>IF(Inventory!A443="","",Inventory!Z443)</f>
        <v/>
      </c>
      <c r="H443">
        <f>IF(Inventory!A443="","",Inventory!Y443)</f>
        <v/>
      </c>
      <c r="I443">
        <f>IF(Inventory!A443="","",Inventory!W443)</f>
        <v/>
      </c>
      <c r="J443">
        <f>IF(Inventory!A443="","",Inventory!AA443)</f>
        <v/>
      </c>
    </row>
    <row r="444">
      <c r="A444">
        <f>IF(Inventory!A444="","",Inventory!A444)</f>
        <v/>
      </c>
      <c r="B444">
        <f>IF(Inventory!A444="","",Inventory!B444)</f>
        <v/>
      </c>
      <c r="C444">
        <f>IF(Inventory!A444="","",Inventory!C444)</f>
        <v/>
      </c>
      <c r="D444">
        <f>IF(Inventory!A444="","",Inventory!D444)</f>
        <v/>
      </c>
      <c r="E444">
        <f>IF(Inventory!A444="","",Inventory!K444)</f>
        <v/>
      </c>
      <c r="F444">
        <f>IF(Inventory!A444="","",Inventory!I444)</f>
        <v/>
      </c>
      <c r="G444">
        <f>IF(Inventory!A444="","",Inventory!Z444)</f>
        <v/>
      </c>
      <c r="H444">
        <f>IF(Inventory!A444="","",Inventory!Y444)</f>
        <v/>
      </c>
      <c r="I444">
        <f>IF(Inventory!A444="","",Inventory!W444)</f>
        <v/>
      </c>
      <c r="J444">
        <f>IF(Inventory!A444="","",Inventory!AA444)</f>
        <v/>
      </c>
    </row>
    <row r="445">
      <c r="A445">
        <f>IF(Inventory!A445="","",Inventory!A445)</f>
        <v/>
      </c>
      <c r="B445">
        <f>IF(Inventory!A445="","",Inventory!B445)</f>
        <v/>
      </c>
      <c r="C445">
        <f>IF(Inventory!A445="","",Inventory!C445)</f>
        <v/>
      </c>
      <c r="D445">
        <f>IF(Inventory!A445="","",Inventory!D445)</f>
        <v/>
      </c>
      <c r="E445">
        <f>IF(Inventory!A445="","",Inventory!K445)</f>
        <v/>
      </c>
      <c r="F445">
        <f>IF(Inventory!A445="","",Inventory!I445)</f>
        <v/>
      </c>
      <c r="G445">
        <f>IF(Inventory!A445="","",Inventory!Z445)</f>
        <v/>
      </c>
      <c r="H445">
        <f>IF(Inventory!A445="","",Inventory!Y445)</f>
        <v/>
      </c>
      <c r="I445">
        <f>IF(Inventory!A445="","",Inventory!W445)</f>
        <v/>
      </c>
      <c r="J445">
        <f>IF(Inventory!A445="","",Inventory!AA445)</f>
        <v/>
      </c>
    </row>
    <row r="446">
      <c r="A446">
        <f>IF(Inventory!A446="","",Inventory!A446)</f>
        <v/>
      </c>
      <c r="B446">
        <f>IF(Inventory!A446="","",Inventory!B446)</f>
        <v/>
      </c>
      <c r="C446">
        <f>IF(Inventory!A446="","",Inventory!C446)</f>
        <v/>
      </c>
      <c r="D446">
        <f>IF(Inventory!A446="","",Inventory!D446)</f>
        <v/>
      </c>
      <c r="E446">
        <f>IF(Inventory!A446="","",Inventory!K446)</f>
        <v/>
      </c>
      <c r="F446">
        <f>IF(Inventory!A446="","",Inventory!I446)</f>
        <v/>
      </c>
      <c r="G446">
        <f>IF(Inventory!A446="","",Inventory!Z446)</f>
        <v/>
      </c>
      <c r="H446">
        <f>IF(Inventory!A446="","",Inventory!Y446)</f>
        <v/>
      </c>
      <c r="I446">
        <f>IF(Inventory!A446="","",Inventory!W446)</f>
        <v/>
      </c>
      <c r="J446">
        <f>IF(Inventory!A446="","",Inventory!AA446)</f>
        <v/>
      </c>
    </row>
    <row r="447">
      <c r="A447">
        <f>IF(Inventory!A447="","",Inventory!A447)</f>
        <v/>
      </c>
      <c r="B447">
        <f>IF(Inventory!A447="","",Inventory!B447)</f>
        <v/>
      </c>
      <c r="C447">
        <f>IF(Inventory!A447="","",Inventory!C447)</f>
        <v/>
      </c>
      <c r="D447">
        <f>IF(Inventory!A447="","",Inventory!D447)</f>
        <v/>
      </c>
      <c r="E447">
        <f>IF(Inventory!A447="","",Inventory!K447)</f>
        <v/>
      </c>
      <c r="F447">
        <f>IF(Inventory!A447="","",Inventory!I447)</f>
        <v/>
      </c>
      <c r="G447">
        <f>IF(Inventory!A447="","",Inventory!Z447)</f>
        <v/>
      </c>
      <c r="H447">
        <f>IF(Inventory!A447="","",Inventory!Y447)</f>
        <v/>
      </c>
      <c r="I447">
        <f>IF(Inventory!A447="","",Inventory!W447)</f>
        <v/>
      </c>
      <c r="J447">
        <f>IF(Inventory!A447="","",Inventory!AA447)</f>
        <v/>
      </c>
    </row>
    <row r="448">
      <c r="A448">
        <f>IF(Inventory!A448="","",Inventory!A448)</f>
        <v/>
      </c>
      <c r="B448">
        <f>IF(Inventory!A448="","",Inventory!B448)</f>
        <v/>
      </c>
      <c r="C448">
        <f>IF(Inventory!A448="","",Inventory!C448)</f>
        <v/>
      </c>
      <c r="D448">
        <f>IF(Inventory!A448="","",Inventory!D448)</f>
        <v/>
      </c>
      <c r="E448">
        <f>IF(Inventory!A448="","",Inventory!K448)</f>
        <v/>
      </c>
      <c r="F448">
        <f>IF(Inventory!A448="","",Inventory!I448)</f>
        <v/>
      </c>
      <c r="G448">
        <f>IF(Inventory!A448="","",Inventory!Z448)</f>
        <v/>
      </c>
      <c r="H448">
        <f>IF(Inventory!A448="","",Inventory!Y448)</f>
        <v/>
      </c>
      <c r="I448">
        <f>IF(Inventory!A448="","",Inventory!W448)</f>
        <v/>
      </c>
      <c r="J448">
        <f>IF(Inventory!A448="","",Inventory!AA448)</f>
        <v/>
      </c>
    </row>
    <row r="449">
      <c r="A449">
        <f>IF(Inventory!A449="","",Inventory!A449)</f>
        <v/>
      </c>
      <c r="B449">
        <f>IF(Inventory!A449="","",Inventory!B449)</f>
        <v/>
      </c>
      <c r="C449">
        <f>IF(Inventory!A449="","",Inventory!C449)</f>
        <v/>
      </c>
      <c r="D449">
        <f>IF(Inventory!A449="","",Inventory!D449)</f>
        <v/>
      </c>
      <c r="E449">
        <f>IF(Inventory!A449="","",Inventory!K449)</f>
        <v/>
      </c>
      <c r="F449">
        <f>IF(Inventory!A449="","",Inventory!I449)</f>
        <v/>
      </c>
      <c r="G449">
        <f>IF(Inventory!A449="","",Inventory!Z449)</f>
        <v/>
      </c>
      <c r="H449">
        <f>IF(Inventory!A449="","",Inventory!Y449)</f>
        <v/>
      </c>
      <c r="I449">
        <f>IF(Inventory!A449="","",Inventory!W449)</f>
        <v/>
      </c>
      <c r="J449">
        <f>IF(Inventory!A449="","",Inventory!AA449)</f>
        <v/>
      </c>
    </row>
    <row r="450">
      <c r="A450">
        <f>IF(Inventory!A450="","",Inventory!A450)</f>
        <v/>
      </c>
      <c r="B450">
        <f>IF(Inventory!A450="","",Inventory!B450)</f>
        <v/>
      </c>
      <c r="C450">
        <f>IF(Inventory!A450="","",Inventory!C450)</f>
        <v/>
      </c>
      <c r="D450">
        <f>IF(Inventory!A450="","",Inventory!D450)</f>
        <v/>
      </c>
      <c r="E450">
        <f>IF(Inventory!A450="","",Inventory!K450)</f>
        <v/>
      </c>
      <c r="F450">
        <f>IF(Inventory!A450="","",Inventory!I450)</f>
        <v/>
      </c>
      <c r="G450">
        <f>IF(Inventory!A450="","",Inventory!Z450)</f>
        <v/>
      </c>
      <c r="H450">
        <f>IF(Inventory!A450="","",Inventory!Y450)</f>
        <v/>
      </c>
      <c r="I450">
        <f>IF(Inventory!A450="","",Inventory!W450)</f>
        <v/>
      </c>
      <c r="J450">
        <f>IF(Inventory!A450="","",Inventory!AA450)</f>
        <v/>
      </c>
    </row>
    <row r="451">
      <c r="A451">
        <f>IF(Inventory!A451="","",Inventory!A451)</f>
        <v/>
      </c>
      <c r="B451">
        <f>IF(Inventory!A451="","",Inventory!B451)</f>
        <v/>
      </c>
      <c r="C451">
        <f>IF(Inventory!A451="","",Inventory!C451)</f>
        <v/>
      </c>
      <c r="D451">
        <f>IF(Inventory!A451="","",Inventory!D451)</f>
        <v/>
      </c>
      <c r="E451">
        <f>IF(Inventory!A451="","",Inventory!K451)</f>
        <v/>
      </c>
      <c r="F451">
        <f>IF(Inventory!A451="","",Inventory!I451)</f>
        <v/>
      </c>
      <c r="G451">
        <f>IF(Inventory!A451="","",Inventory!Z451)</f>
        <v/>
      </c>
      <c r="H451">
        <f>IF(Inventory!A451="","",Inventory!Y451)</f>
        <v/>
      </c>
      <c r="I451">
        <f>IF(Inventory!A451="","",Inventory!W451)</f>
        <v/>
      </c>
      <c r="J451">
        <f>IF(Inventory!A451="","",Inventory!AA451)</f>
        <v/>
      </c>
    </row>
    <row r="452">
      <c r="A452">
        <f>IF(Inventory!A452="","",Inventory!A452)</f>
        <v/>
      </c>
      <c r="B452">
        <f>IF(Inventory!A452="","",Inventory!B452)</f>
        <v/>
      </c>
      <c r="C452">
        <f>IF(Inventory!A452="","",Inventory!C452)</f>
        <v/>
      </c>
      <c r="D452">
        <f>IF(Inventory!A452="","",Inventory!D452)</f>
        <v/>
      </c>
      <c r="E452">
        <f>IF(Inventory!A452="","",Inventory!K452)</f>
        <v/>
      </c>
      <c r="F452">
        <f>IF(Inventory!A452="","",Inventory!I452)</f>
        <v/>
      </c>
      <c r="G452">
        <f>IF(Inventory!A452="","",Inventory!Z452)</f>
        <v/>
      </c>
      <c r="H452">
        <f>IF(Inventory!A452="","",Inventory!Y452)</f>
        <v/>
      </c>
      <c r="I452">
        <f>IF(Inventory!A452="","",Inventory!W452)</f>
        <v/>
      </c>
      <c r="J452">
        <f>IF(Inventory!A452="","",Inventory!AA452)</f>
        <v/>
      </c>
    </row>
    <row r="453">
      <c r="A453">
        <f>IF(Inventory!A453="","",Inventory!A453)</f>
        <v/>
      </c>
      <c r="B453">
        <f>IF(Inventory!A453="","",Inventory!B453)</f>
        <v/>
      </c>
      <c r="C453">
        <f>IF(Inventory!A453="","",Inventory!C453)</f>
        <v/>
      </c>
      <c r="D453">
        <f>IF(Inventory!A453="","",Inventory!D453)</f>
        <v/>
      </c>
      <c r="E453">
        <f>IF(Inventory!A453="","",Inventory!K453)</f>
        <v/>
      </c>
      <c r="F453">
        <f>IF(Inventory!A453="","",Inventory!I453)</f>
        <v/>
      </c>
      <c r="G453">
        <f>IF(Inventory!A453="","",Inventory!Z453)</f>
        <v/>
      </c>
      <c r="H453">
        <f>IF(Inventory!A453="","",Inventory!Y453)</f>
        <v/>
      </c>
      <c r="I453">
        <f>IF(Inventory!A453="","",Inventory!W453)</f>
        <v/>
      </c>
      <c r="J453">
        <f>IF(Inventory!A453="","",Inventory!AA453)</f>
        <v/>
      </c>
    </row>
    <row r="454">
      <c r="A454">
        <f>IF(Inventory!A454="","",Inventory!A454)</f>
        <v/>
      </c>
      <c r="B454">
        <f>IF(Inventory!A454="","",Inventory!B454)</f>
        <v/>
      </c>
      <c r="C454">
        <f>IF(Inventory!A454="","",Inventory!C454)</f>
        <v/>
      </c>
      <c r="D454">
        <f>IF(Inventory!A454="","",Inventory!D454)</f>
        <v/>
      </c>
      <c r="E454">
        <f>IF(Inventory!A454="","",Inventory!K454)</f>
        <v/>
      </c>
      <c r="F454">
        <f>IF(Inventory!A454="","",Inventory!I454)</f>
        <v/>
      </c>
      <c r="G454">
        <f>IF(Inventory!A454="","",Inventory!Z454)</f>
        <v/>
      </c>
      <c r="H454">
        <f>IF(Inventory!A454="","",Inventory!Y454)</f>
        <v/>
      </c>
      <c r="I454">
        <f>IF(Inventory!A454="","",Inventory!W454)</f>
        <v/>
      </c>
      <c r="J454">
        <f>IF(Inventory!A454="","",Inventory!AA454)</f>
        <v/>
      </c>
    </row>
    <row r="455">
      <c r="A455">
        <f>IF(Inventory!A455="","",Inventory!A455)</f>
        <v/>
      </c>
      <c r="B455">
        <f>IF(Inventory!A455="","",Inventory!B455)</f>
        <v/>
      </c>
      <c r="C455">
        <f>IF(Inventory!A455="","",Inventory!C455)</f>
        <v/>
      </c>
      <c r="D455">
        <f>IF(Inventory!A455="","",Inventory!D455)</f>
        <v/>
      </c>
      <c r="E455">
        <f>IF(Inventory!A455="","",Inventory!K455)</f>
        <v/>
      </c>
      <c r="F455">
        <f>IF(Inventory!A455="","",Inventory!I455)</f>
        <v/>
      </c>
      <c r="G455">
        <f>IF(Inventory!A455="","",Inventory!Z455)</f>
        <v/>
      </c>
      <c r="H455">
        <f>IF(Inventory!A455="","",Inventory!Y455)</f>
        <v/>
      </c>
      <c r="I455">
        <f>IF(Inventory!A455="","",Inventory!W455)</f>
        <v/>
      </c>
      <c r="J455">
        <f>IF(Inventory!A455="","",Inventory!AA455)</f>
        <v/>
      </c>
    </row>
    <row r="456">
      <c r="A456">
        <f>IF(Inventory!A456="","",Inventory!A456)</f>
        <v/>
      </c>
      <c r="B456">
        <f>IF(Inventory!A456="","",Inventory!B456)</f>
        <v/>
      </c>
      <c r="C456">
        <f>IF(Inventory!A456="","",Inventory!C456)</f>
        <v/>
      </c>
      <c r="D456">
        <f>IF(Inventory!A456="","",Inventory!D456)</f>
        <v/>
      </c>
      <c r="E456">
        <f>IF(Inventory!A456="","",Inventory!K456)</f>
        <v/>
      </c>
      <c r="F456">
        <f>IF(Inventory!A456="","",Inventory!I456)</f>
        <v/>
      </c>
      <c r="G456">
        <f>IF(Inventory!A456="","",Inventory!Z456)</f>
        <v/>
      </c>
      <c r="H456">
        <f>IF(Inventory!A456="","",Inventory!Y456)</f>
        <v/>
      </c>
      <c r="I456">
        <f>IF(Inventory!A456="","",Inventory!W456)</f>
        <v/>
      </c>
      <c r="J456">
        <f>IF(Inventory!A456="","",Inventory!AA456)</f>
        <v/>
      </c>
    </row>
    <row r="457">
      <c r="A457">
        <f>IF(Inventory!A457="","",Inventory!A457)</f>
        <v/>
      </c>
      <c r="B457">
        <f>IF(Inventory!A457="","",Inventory!B457)</f>
        <v/>
      </c>
      <c r="C457">
        <f>IF(Inventory!A457="","",Inventory!C457)</f>
        <v/>
      </c>
      <c r="D457">
        <f>IF(Inventory!A457="","",Inventory!D457)</f>
        <v/>
      </c>
      <c r="E457">
        <f>IF(Inventory!A457="","",Inventory!K457)</f>
        <v/>
      </c>
      <c r="F457">
        <f>IF(Inventory!A457="","",Inventory!I457)</f>
        <v/>
      </c>
      <c r="G457">
        <f>IF(Inventory!A457="","",Inventory!Z457)</f>
        <v/>
      </c>
      <c r="H457">
        <f>IF(Inventory!A457="","",Inventory!Y457)</f>
        <v/>
      </c>
      <c r="I457">
        <f>IF(Inventory!A457="","",Inventory!W457)</f>
        <v/>
      </c>
      <c r="J457">
        <f>IF(Inventory!A457="","",Inventory!AA457)</f>
        <v/>
      </c>
    </row>
    <row r="458">
      <c r="A458">
        <f>IF(Inventory!A458="","",Inventory!A458)</f>
        <v/>
      </c>
      <c r="B458">
        <f>IF(Inventory!A458="","",Inventory!B458)</f>
        <v/>
      </c>
      <c r="C458">
        <f>IF(Inventory!A458="","",Inventory!C458)</f>
        <v/>
      </c>
      <c r="D458">
        <f>IF(Inventory!A458="","",Inventory!D458)</f>
        <v/>
      </c>
      <c r="E458">
        <f>IF(Inventory!A458="","",Inventory!K458)</f>
        <v/>
      </c>
      <c r="F458">
        <f>IF(Inventory!A458="","",Inventory!I458)</f>
        <v/>
      </c>
      <c r="G458">
        <f>IF(Inventory!A458="","",Inventory!Z458)</f>
        <v/>
      </c>
      <c r="H458">
        <f>IF(Inventory!A458="","",Inventory!Y458)</f>
        <v/>
      </c>
      <c r="I458">
        <f>IF(Inventory!A458="","",Inventory!W458)</f>
        <v/>
      </c>
      <c r="J458">
        <f>IF(Inventory!A458="","",Inventory!AA458)</f>
        <v/>
      </c>
    </row>
    <row r="459">
      <c r="A459">
        <f>IF(Inventory!A459="","",Inventory!A459)</f>
        <v/>
      </c>
      <c r="B459">
        <f>IF(Inventory!A459="","",Inventory!B459)</f>
        <v/>
      </c>
      <c r="C459">
        <f>IF(Inventory!A459="","",Inventory!C459)</f>
        <v/>
      </c>
      <c r="D459">
        <f>IF(Inventory!A459="","",Inventory!D459)</f>
        <v/>
      </c>
      <c r="E459">
        <f>IF(Inventory!A459="","",Inventory!K459)</f>
        <v/>
      </c>
      <c r="F459">
        <f>IF(Inventory!A459="","",Inventory!I459)</f>
        <v/>
      </c>
      <c r="G459">
        <f>IF(Inventory!A459="","",Inventory!Z459)</f>
        <v/>
      </c>
      <c r="H459">
        <f>IF(Inventory!A459="","",Inventory!Y459)</f>
        <v/>
      </c>
      <c r="I459">
        <f>IF(Inventory!A459="","",Inventory!W459)</f>
        <v/>
      </c>
      <c r="J459">
        <f>IF(Inventory!A459="","",Inventory!AA459)</f>
        <v/>
      </c>
    </row>
    <row r="460">
      <c r="A460">
        <f>IF(Inventory!A460="","",Inventory!A460)</f>
        <v/>
      </c>
      <c r="B460">
        <f>IF(Inventory!A460="","",Inventory!B460)</f>
        <v/>
      </c>
      <c r="C460">
        <f>IF(Inventory!A460="","",Inventory!C460)</f>
        <v/>
      </c>
      <c r="D460">
        <f>IF(Inventory!A460="","",Inventory!D460)</f>
        <v/>
      </c>
      <c r="E460">
        <f>IF(Inventory!A460="","",Inventory!K460)</f>
        <v/>
      </c>
      <c r="F460">
        <f>IF(Inventory!A460="","",Inventory!I460)</f>
        <v/>
      </c>
      <c r="G460">
        <f>IF(Inventory!A460="","",Inventory!Z460)</f>
        <v/>
      </c>
      <c r="H460">
        <f>IF(Inventory!A460="","",Inventory!Y460)</f>
        <v/>
      </c>
      <c r="I460">
        <f>IF(Inventory!A460="","",Inventory!W460)</f>
        <v/>
      </c>
      <c r="J460">
        <f>IF(Inventory!A460="","",Inventory!AA460)</f>
        <v/>
      </c>
    </row>
    <row r="461">
      <c r="A461">
        <f>IF(Inventory!A461="","",Inventory!A461)</f>
        <v/>
      </c>
      <c r="B461">
        <f>IF(Inventory!A461="","",Inventory!B461)</f>
        <v/>
      </c>
      <c r="C461">
        <f>IF(Inventory!A461="","",Inventory!C461)</f>
        <v/>
      </c>
      <c r="D461">
        <f>IF(Inventory!A461="","",Inventory!D461)</f>
        <v/>
      </c>
      <c r="E461">
        <f>IF(Inventory!A461="","",Inventory!K461)</f>
        <v/>
      </c>
      <c r="F461">
        <f>IF(Inventory!A461="","",Inventory!I461)</f>
        <v/>
      </c>
      <c r="G461">
        <f>IF(Inventory!A461="","",Inventory!Z461)</f>
        <v/>
      </c>
      <c r="H461">
        <f>IF(Inventory!A461="","",Inventory!Y461)</f>
        <v/>
      </c>
      <c r="I461">
        <f>IF(Inventory!A461="","",Inventory!W461)</f>
        <v/>
      </c>
      <c r="J461">
        <f>IF(Inventory!A461="","",Inventory!AA461)</f>
        <v/>
      </c>
    </row>
    <row r="462">
      <c r="A462">
        <f>IF(Inventory!A462="","",Inventory!A462)</f>
        <v/>
      </c>
      <c r="B462">
        <f>IF(Inventory!A462="","",Inventory!B462)</f>
        <v/>
      </c>
      <c r="C462">
        <f>IF(Inventory!A462="","",Inventory!C462)</f>
        <v/>
      </c>
      <c r="D462">
        <f>IF(Inventory!A462="","",Inventory!D462)</f>
        <v/>
      </c>
      <c r="E462">
        <f>IF(Inventory!A462="","",Inventory!K462)</f>
        <v/>
      </c>
      <c r="F462">
        <f>IF(Inventory!A462="","",Inventory!I462)</f>
        <v/>
      </c>
      <c r="G462">
        <f>IF(Inventory!A462="","",Inventory!Z462)</f>
        <v/>
      </c>
      <c r="H462">
        <f>IF(Inventory!A462="","",Inventory!Y462)</f>
        <v/>
      </c>
      <c r="I462">
        <f>IF(Inventory!A462="","",Inventory!W462)</f>
        <v/>
      </c>
      <c r="J462">
        <f>IF(Inventory!A462="","",Inventory!AA462)</f>
        <v/>
      </c>
    </row>
    <row r="463">
      <c r="A463">
        <f>IF(Inventory!A463="","",Inventory!A463)</f>
        <v/>
      </c>
      <c r="B463">
        <f>IF(Inventory!A463="","",Inventory!B463)</f>
        <v/>
      </c>
      <c r="C463">
        <f>IF(Inventory!A463="","",Inventory!C463)</f>
        <v/>
      </c>
      <c r="D463">
        <f>IF(Inventory!A463="","",Inventory!D463)</f>
        <v/>
      </c>
      <c r="E463">
        <f>IF(Inventory!A463="","",Inventory!K463)</f>
        <v/>
      </c>
      <c r="F463">
        <f>IF(Inventory!A463="","",Inventory!I463)</f>
        <v/>
      </c>
      <c r="G463">
        <f>IF(Inventory!A463="","",Inventory!Z463)</f>
        <v/>
      </c>
      <c r="H463">
        <f>IF(Inventory!A463="","",Inventory!Y463)</f>
        <v/>
      </c>
      <c r="I463">
        <f>IF(Inventory!A463="","",Inventory!W463)</f>
        <v/>
      </c>
      <c r="J463">
        <f>IF(Inventory!A463="","",Inventory!AA463)</f>
        <v/>
      </c>
    </row>
    <row r="464">
      <c r="A464">
        <f>IF(Inventory!A464="","",Inventory!A464)</f>
        <v/>
      </c>
      <c r="B464">
        <f>IF(Inventory!A464="","",Inventory!B464)</f>
        <v/>
      </c>
      <c r="C464">
        <f>IF(Inventory!A464="","",Inventory!C464)</f>
        <v/>
      </c>
      <c r="D464">
        <f>IF(Inventory!A464="","",Inventory!D464)</f>
        <v/>
      </c>
      <c r="E464">
        <f>IF(Inventory!A464="","",Inventory!K464)</f>
        <v/>
      </c>
      <c r="F464">
        <f>IF(Inventory!A464="","",Inventory!I464)</f>
        <v/>
      </c>
      <c r="G464">
        <f>IF(Inventory!A464="","",Inventory!Z464)</f>
        <v/>
      </c>
      <c r="H464">
        <f>IF(Inventory!A464="","",Inventory!Y464)</f>
        <v/>
      </c>
      <c r="I464">
        <f>IF(Inventory!A464="","",Inventory!W464)</f>
        <v/>
      </c>
      <c r="J464">
        <f>IF(Inventory!A464="","",Inventory!AA464)</f>
        <v/>
      </c>
    </row>
    <row r="465">
      <c r="A465">
        <f>IF(Inventory!A465="","",Inventory!A465)</f>
        <v/>
      </c>
      <c r="B465">
        <f>IF(Inventory!A465="","",Inventory!B465)</f>
        <v/>
      </c>
      <c r="C465">
        <f>IF(Inventory!A465="","",Inventory!C465)</f>
        <v/>
      </c>
      <c r="D465">
        <f>IF(Inventory!A465="","",Inventory!D465)</f>
        <v/>
      </c>
      <c r="E465">
        <f>IF(Inventory!A465="","",Inventory!K465)</f>
        <v/>
      </c>
      <c r="F465">
        <f>IF(Inventory!A465="","",Inventory!I465)</f>
        <v/>
      </c>
      <c r="G465">
        <f>IF(Inventory!A465="","",Inventory!Z465)</f>
        <v/>
      </c>
      <c r="H465">
        <f>IF(Inventory!A465="","",Inventory!Y465)</f>
        <v/>
      </c>
      <c r="I465">
        <f>IF(Inventory!A465="","",Inventory!W465)</f>
        <v/>
      </c>
      <c r="J465">
        <f>IF(Inventory!A465="","",Inventory!AA465)</f>
        <v/>
      </c>
    </row>
    <row r="466">
      <c r="A466">
        <f>IF(Inventory!A466="","",Inventory!A466)</f>
        <v/>
      </c>
      <c r="B466">
        <f>IF(Inventory!A466="","",Inventory!B466)</f>
        <v/>
      </c>
      <c r="C466">
        <f>IF(Inventory!A466="","",Inventory!C466)</f>
        <v/>
      </c>
      <c r="D466">
        <f>IF(Inventory!A466="","",Inventory!D466)</f>
        <v/>
      </c>
      <c r="E466">
        <f>IF(Inventory!A466="","",Inventory!K466)</f>
        <v/>
      </c>
      <c r="F466">
        <f>IF(Inventory!A466="","",Inventory!I466)</f>
        <v/>
      </c>
      <c r="G466">
        <f>IF(Inventory!A466="","",Inventory!Z466)</f>
        <v/>
      </c>
      <c r="H466">
        <f>IF(Inventory!A466="","",Inventory!Y466)</f>
        <v/>
      </c>
      <c r="I466">
        <f>IF(Inventory!A466="","",Inventory!W466)</f>
        <v/>
      </c>
      <c r="J466">
        <f>IF(Inventory!A466="","",Inventory!AA466)</f>
        <v/>
      </c>
    </row>
    <row r="467">
      <c r="A467">
        <f>IF(Inventory!A467="","",Inventory!A467)</f>
        <v/>
      </c>
      <c r="B467">
        <f>IF(Inventory!A467="","",Inventory!B467)</f>
        <v/>
      </c>
      <c r="C467">
        <f>IF(Inventory!A467="","",Inventory!C467)</f>
        <v/>
      </c>
      <c r="D467">
        <f>IF(Inventory!A467="","",Inventory!D467)</f>
        <v/>
      </c>
      <c r="E467">
        <f>IF(Inventory!A467="","",Inventory!K467)</f>
        <v/>
      </c>
      <c r="F467">
        <f>IF(Inventory!A467="","",Inventory!I467)</f>
        <v/>
      </c>
      <c r="G467">
        <f>IF(Inventory!A467="","",Inventory!Z467)</f>
        <v/>
      </c>
      <c r="H467">
        <f>IF(Inventory!A467="","",Inventory!Y467)</f>
        <v/>
      </c>
      <c r="I467">
        <f>IF(Inventory!A467="","",Inventory!W467)</f>
        <v/>
      </c>
      <c r="J467">
        <f>IF(Inventory!A467="","",Inventory!AA467)</f>
        <v/>
      </c>
    </row>
    <row r="468">
      <c r="A468">
        <f>IF(Inventory!A468="","",Inventory!A468)</f>
        <v/>
      </c>
      <c r="B468">
        <f>IF(Inventory!A468="","",Inventory!B468)</f>
        <v/>
      </c>
      <c r="C468">
        <f>IF(Inventory!A468="","",Inventory!C468)</f>
        <v/>
      </c>
      <c r="D468">
        <f>IF(Inventory!A468="","",Inventory!D468)</f>
        <v/>
      </c>
      <c r="E468">
        <f>IF(Inventory!A468="","",Inventory!K468)</f>
        <v/>
      </c>
      <c r="F468">
        <f>IF(Inventory!A468="","",Inventory!I468)</f>
        <v/>
      </c>
      <c r="G468">
        <f>IF(Inventory!A468="","",Inventory!Z468)</f>
        <v/>
      </c>
      <c r="H468">
        <f>IF(Inventory!A468="","",Inventory!Y468)</f>
        <v/>
      </c>
      <c r="I468">
        <f>IF(Inventory!A468="","",Inventory!W468)</f>
        <v/>
      </c>
      <c r="J468">
        <f>IF(Inventory!A468="","",Inventory!AA468)</f>
        <v/>
      </c>
    </row>
    <row r="469">
      <c r="A469">
        <f>IF(Inventory!A469="","",Inventory!A469)</f>
        <v/>
      </c>
      <c r="B469">
        <f>IF(Inventory!A469="","",Inventory!B469)</f>
        <v/>
      </c>
      <c r="C469">
        <f>IF(Inventory!A469="","",Inventory!C469)</f>
        <v/>
      </c>
      <c r="D469">
        <f>IF(Inventory!A469="","",Inventory!D469)</f>
        <v/>
      </c>
      <c r="E469">
        <f>IF(Inventory!A469="","",Inventory!K469)</f>
        <v/>
      </c>
      <c r="F469">
        <f>IF(Inventory!A469="","",Inventory!I469)</f>
        <v/>
      </c>
      <c r="G469">
        <f>IF(Inventory!A469="","",Inventory!Z469)</f>
        <v/>
      </c>
      <c r="H469">
        <f>IF(Inventory!A469="","",Inventory!Y469)</f>
        <v/>
      </c>
      <c r="I469">
        <f>IF(Inventory!A469="","",Inventory!W469)</f>
        <v/>
      </c>
      <c r="J469">
        <f>IF(Inventory!A469="","",Inventory!AA469)</f>
        <v/>
      </c>
    </row>
    <row r="470">
      <c r="A470">
        <f>IF(Inventory!A470="","",Inventory!A470)</f>
        <v/>
      </c>
      <c r="B470">
        <f>IF(Inventory!A470="","",Inventory!B470)</f>
        <v/>
      </c>
      <c r="C470">
        <f>IF(Inventory!A470="","",Inventory!C470)</f>
        <v/>
      </c>
      <c r="D470">
        <f>IF(Inventory!A470="","",Inventory!D470)</f>
        <v/>
      </c>
      <c r="E470">
        <f>IF(Inventory!A470="","",Inventory!K470)</f>
        <v/>
      </c>
      <c r="F470">
        <f>IF(Inventory!A470="","",Inventory!I470)</f>
        <v/>
      </c>
      <c r="G470">
        <f>IF(Inventory!A470="","",Inventory!Z470)</f>
        <v/>
      </c>
      <c r="H470">
        <f>IF(Inventory!A470="","",Inventory!Y470)</f>
        <v/>
      </c>
      <c r="I470">
        <f>IF(Inventory!A470="","",Inventory!W470)</f>
        <v/>
      </c>
      <c r="J470">
        <f>IF(Inventory!A470="","",Inventory!AA470)</f>
        <v/>
      </c>
    </row>
    <row r="471">
      <c r="A471">
        <f>IF(Inventory!A471="","",Inventory!A471)</f>
        <v/>
      </c>
      <c r="B471">
        <f>IF(Inventory!A471="","",Inventory!B471)</f>
        <v/>
      </c>
      <c r="C471">
        <f>IF(Inventory!A471="","",Inventory!C471)</f>
        <v/>
      </c>
      <c r="D471">
        <f>IF(Inventory!A471="","",Inventory!D471)</f>
        <v/>
      </c>
      <c r="E471">
        <f>IF(Inventory!A471="","",Inventory!K471)</f>
        <v/>
      </c>
      <c r="F471">
        <f>IF(Inventory!A471="","",Inventory!I471)</f>
        <v/>
      </c>
      <c r="G471">
        <f>IF(Inventory!A471="","",Inventory!Z471)</f>
        <v/>
      </c>
      <c r="H471">
        <f>IF(Inventory!A471="","",Inventory!Y471)</f>
        <v/>
      </c>
      <c r="I471">
        <f>IF(Inventory!A471="","",Inventory!W471)</f>
        <v/>
      </c>
      <c r="J471">
        <f>IF(Inventory!A471="","",Inventory!AA471)</f>
        <v/>
      </c>
    </row>
    <row r="472">
      <c r="A472">
        <f>IF(Inventory!A472="","",Inventory!A472)</f>
        <v/>
      </c>
      <c r="B472">
        <f>IF(Inventory!A472="","",Inventory!B472)</f>
        <v/>
      </c>
      <c r="C472">
        <f>IF(Inventory!A472="","",Inventory!C472)</f>
        <v/>
      </c>
      <c r="D472">
        <f>IF(Inventory!A472="","",Inventory!D472)</f>
        <v/>
      </c>
      <c r="E472">
        <f>IF(Inventory!A472="","",Inventory!K472)</f>
        <v/>
      </c>
      <c r="F472">
        <f>IF(Inventory!A472="","",Inventory!I472)</f>
        <v/>
      </c>
      <c r="G472">
        <f>IF(Inventory!A472="","",Inventory!Z472)</f>
        <v/>
      </c>
      <c r="H472">
        <f>IF(Inventory!A472="","",Inventory!Y472)</f>
        <v/>
      </c>
      <c r="I472">
        <f>IF(Inventory!A472="","",Inventory!W472)</f>
        <v/>
      </c>
      <c r="J472">
        <f>IF(Inventory!A472="","",Inventory!AA472)</f>
        <v/>
      </c>
    </row>
    <row r="473">
      <c r="A473">
        <f>IF(Inventory!A473="","",Inventory!A473)</f>
        <v/>
      </c>
      <c r="B473">
        <f>IF(Inventory!A473="","",Inventory!B473)</f>
        <v/>
      </c>
      <c r="C473">
        <f>IF(Inventory!A473="","",Inventory!C473)</f>
        <v/>
      </c>
      <c r="D473">
        <f>IF(Inventory!A473="","",Inventory!D473)</f>
        <v/>
      </c>
      <c r="E473">
        <f>IF(Inventory!A473="","",Inventory!K473)</f>
        <v/>
      </c>
      <c r="F473">
        <f>IF(Inventory!A473="","",Inventory!I473)</f>
        <v/>
      </c>
      <c r="G473">
        <f>IF(Inventory!A473="","",Inventory!Z473)</f>
        <v/>
      </c>
      <c r="H473">
        <f>IF(Inventory!A473="","",Inventory!Y473)</f>
        <v/>
      </c>
      <c r="I473">
        <f>IF(Inventory!A473="","",Inventory!W473)</f>
        <v/>
      </c>
      <c r="J473">
        <f>IF(Inventory!A473="","",Inventory!AA473)</f>
        <v/>
      </c>
    </row>
    <row r="474">
      <c r="A474">
        <f>IF(Inventory!A474="","",Inventory!A474)</f>
        <v/>
      </c>
      <c r="B474">
        <f>IF(Inventory!A474="","",Inventory!B474)</f>
        <v/>
      </c>
      <c r="C474">
        <f>IF(Inventory!A474="","",Inventory!C474)</f>
        <v/>
      </c>
      <c r="D474">
        <f>IF(Inventory!A474="","",Inventory!D474)</f>
        <v/>
      </c>
      <c r="E474">
        <f>IF(Inventory!A474="","",Inventory!K474)</f>
        <v/>
      </c>
      <c r="F474">
        <f>IF(Inventory!A474="","",Inventory!I474)</f>
        <v/>
      </c>
      <c r="G474">
        <f>IF(Inventory!A474="","",Inventory!Z474)</f>
        <v/>
      </c>
      <c r="H474">
        <f>IF(Inventory!A474="","",Inventory!Y474)</f>
        <v/>
      </c>
      <c r="I474">
        <f>IF(Inventory!A474="","",Inventory!W474)</f>
        <v/>
      </c>
      <c r="J474">
        <f>IF(Inventory!A474="","",Inventory!AA474)</f>
        <v/>
      </c>
    </row>
    <row r="475">
      <c r="A475">
        <f>IF(Inventory!A475="","",Inventory!A475)</f>
        <v/>
      </c>
      <c r="B475">
        <f>IF(Inventory!A475="","",Inventory!B475)</f>
        <v/>
      </c>
      <c r="C475">
        <f>IF(Inventory!A475="","",Inventory!C475)</f>
        <v/>
      </c>
      <c r="D475">
        <f>IF(Inventory!A475="","",Inventory!D475)</f>
        <v/>
      </c>
      <c r="E475">
        <f>IF(Inventory!A475="","",Inventory!K475)</f>
        <v/>
      </c>
      <c r="F475">
        <f>IF(Inventory!A475="","",Inventory!I475)</f>
        <v/>
      </c>
      <c r="G475">
        <f>IF(Inventory!A475="","",Inventory!Z475)</f>
        <v/>
      </c>
      <c r="H475">
        <f>IF(Inventory!A475="","",Inventory!Y475)</f>
        <v/>
      </c>
      <c r="I475">
        <f>IF(Inventory!A475="","",Inventory!W475)</f>
        <v/>
      </c>
      <c r="J475">
        <f>IF(Inventory!A475="","",Inventory!AA475)</f>
        <v/>
      </c>
    </row>
    <row r="476">
      <c r="A476">
        <f>IF(Inventory!A476="","",Inventory!A476)</f>
        <v/>
      </c>
      <c r="B476">
        <f>IF(Inventory!A476="","",Inventory!B476)</f>
        <v/>
      </c>
      <c r="C476">
        <f>IF(Inventory!A476="","",Inventory!C476)</f>
        <v/>
      </c>
      <c r="D476">
        <f>IF(Inventory!A476="","",Inventory!D476)</f>
        <v/>
      </c>
      <c r="E476">
        <f>IF(Inventory!A476="","",Inventory!K476)</f>
        <v/>
      </c>
      <c r="F476">
        <f>IF(Inventory!A476="","",Inventory!I476)</f>
        <v/>
      </c>
      <c r="G476">
        <f>IF(Inventory!A476="","",Inventory!Z476)</f>
        <v/>
      </c>
      <c r="H476">
        <f>IF(Inventory!A476="","",Inventory!Y476)</f>
        <v/>
      </c>
      <c r="I476">
        <f>IF(Inventory!A476="","",Inventory!W476)</f>
        <v/>
      </c>
      <c r="J476">
        <f>IF(Inventory!A476="","",Inventory!AA476)</f>
        <v/>
      </c>
    </row>
    <row r="477">
      <c r="A477">
        <f>IF(Inventory!A477="","",Inventory!A477)</f>
        <v/>
      </c>
      <c r="B477">
        <f>IF(Inventory!A477="","",Inventory!B477)</f>
        <v/>
      </c>
      <c r="C477">
        <f>IF(Inventory!A477="","",Inventory!C477)</f>
        <v/>
      </c>
      <c r="D477">
        <f>IF(Inventory!A477="","",Inventory!D477)</f>
        <v/>
      </c>
      <c r="E477">
        <f>IF(Inventory!A477="","",Inventory!K477)</f>
        <v/>
      </c>
      <c r="F477">
        <f>IF(Inventory!A477="","",Inventory!I477)</f>
        <v/>
      </c>
      <c r="G477">
        <f>IF(Inventory!A477="","",Inventory!Z477)</f>
        <v/>
      </c>
      <c r="H477">
        <f>IF(Inventory!A477="","",Inventory!Y477)</f>
        <v/>
      </c>
      <c r="I477">
        <f>IF(Inventory!A477="","",Inventory!W477)</f>
        <v/>
      </c>
      <c r="J477">
        <f>IF(Inventory!A477="","",Inventory!AA477)</f>
        <v/>
      </c>
    </row>
    <row r="478">
      <c r="A478">
        <f>IF(Inventory!A478="","",Inventory!A478)</f>
        <v/>
      </c>
      <c r="B478">
        <f>IF(Inventory!A478="","",Inventory!B478)</f>
        <v/>
      </c>
      <c r="C478">
        <f>IF(Inventory!A478="","",Inventory!C478)</f>
        <v/>
      </c>
      <c r="D478">
        <f>IF(Inventory!A478="","",Inventory!D478)</f>
        <v/>
      </c>
      <c r="E478">
        <f>IF(Inventory!A478="","",Inventory!K478)</f>
        <v/>
      </c>
      <c r="F478">
        <f>IF(Inventory!A478="","",Inventory!I478)</f>
        <v/>
      </c>
      <c r="G478">
        <f>IF(Inventory!A478="","",Inventory!Z478)</f>
        <v/>
      </c>
      <c r="H478">
        <f>IF(Inventory!A478="","",Inventory!Y478)</f>
        <v/>
      </c>
      <c r="I478">
        <f>IF(Inventory!A478="","",Inventory!W478)</f>
        <v/>
      </c>
      <c r="J478">
        <f>IF(Inventory!A478="","",Inventory!AA478)</f>
        <v/>
      </c>
    </row>
    <row r="479">
      <c r="A479">
        <f>IF(Inventory!A479="","",Inventory!A479)</f>
        <v/>
      </c>
      <c r="B479">
        <f>IF(Inventory!A479="","",Inventory!B479)</f>
        <v/>
      </c>
      <c r="C479">
        <f>IF(Inventory!A479="","",Inventory!C479)</f>
        <v/>
      </c>
      <c r="D479">
        <f>IF(Inventory!A479="","",Inventory!D479)</f>
        <v/>
      </c>
      <c r="E479">
        <f>IF(Inventory!A479="","",Inventory!K479)</f>
        <v/>
      </c>
      <c r="F479">
        <f>IF(Inventory!A479="","",Inventory!I479)</f>
        <v/>
      </c>
      <c r="G479">
        <f>IF(Inventory!A479="","",Inventory!Z479)</f>
        <v/>
      </c>
      <c r="H479">
        <f>IF(Inventory!A479="","",Inventory!Y479)</f>
        <v/>
      </c>
      <c r="I479">
        <f>IF(Inventory!A479="","",Inventory!W479)</f>
        <v/>
      </c>
      <c r="J479">
        <f>IF(Inventory!A479="","",Inventory!AA479)</f>
        <v/>
      </c>
    </row>
    <row r="480">
      <c r="A480">
        <f>IF(Inventory!A480="","",Inventory!A480)</f>
        <v/>
      </c>
      <c r="B480">
        <f>IF(Inventory!A480="","",Inventory!B480)</f>
        <v/>
      </c>
      <c r="C480">
        <f>IF(Inventory!A480="","",Inventory!C480)</f>
        <v/>
      </c>
      <c r="D480">
        <f>IF(Inventory!A480="","",Inventory!D480)</f>
        <v/>
      </c>
      <c r="E480">
        <f>IF(Inventory!A480="","",Inventory!K480)</f>
        <v/>
      </c>
      <c r="F480">
        <f>IF(Inventory!A480="","",Inventory!I480)</f>
        <v/>
      </c>
      <c r="G480">
        <f>IF(Inventory!A480="","",Inventory!Z480)</f>
        <v/>
      </c>
      <c r="H480">
        <f>IF(Inventory!A480="","",Inventory!Y480)</f>
        <v/>
      </c>
      <c r="I480">
        <f>IF(Inventory!A480="","",Inventory!W480)</f>
        <v/>
      </c>
      <c r="J480">
        <f>IF(Inventory!A480="","",Inventory!AA480)</f>
        <v/>
      </c>
    </row>
    <row r="481">
      <c r="A481">
        <f>IF(Inventory!A481="","",Inventory!A481)</f>
        <v/>
      </c>
      <c r="B481">
        <f>IF(Inventory!A481="","",Inventory!B481)</f>
        <v/>
      </c>
      <c r="C481">
        <f>IF(Inventory!A481="","",Inventory!C481)</f>
        <v/>
      </c>
      <c r="D481">
        <f>IF(Inventory!A481="","",Inventory!D481)</f>
        <v/>
      </c>
      <c r="E481">
        <f>IF(Inventory!A481="","",Inventory!K481)</f>
        <v/>
      </c>
      <c r="F481">
        <f>IF(Inventory!A481="","",Inventory!I481)</f>
        <v/>
      </c>
      <c r="G481">
        <f>IF(Inventory!A481="","",Inventory!Z481)</f>
        <v/>
      </c>
      <c r="H481">
        <f>IF(Inventory!A481="","",Inventory!Y481)</f>
        <v/>
      </c>
      <c r="I481">
        <f>IF(Inventory!A481="","",Inventory!W481)</f>
        <v/>
      </c>
      <c r="J481">
        <f>IF(Inventory!A481="","",Inventory!AA481)</f>
        <v/>
      </c>
    </row>
    <row r="482">
      <c r="A482">
        <f>IF(Inventory!A482="","",Inventory!A482)</f>
        <v/>
      </c>
      <c r="B482">
        <f>IF(Inventory!A482="","",Inventory!B482)</f>
        <v/>
      </c>
      <c r="C482">
        <f>IF(Inventory!A482="","",Inventory!C482)</f>
        <v/>
      </c>
      <c r="D482">
        <f>IF(Inventory!A482="","",Inventory!D482)</f>
        <v/>
      </c>
      <c r="E482">
        <f>IF(Inventory!A482="","",Inventory!K482)</f>
        <v/>
      </c>
      <c r="F482">
        <f>IF(Inventory!A482="","",Inventory!I482)</f>
        <v/>
      </c>
      <c r="G482">
        <f>IF(Inventory!A482="","",Inventory!Z482)</f>
        <v/>
      </c>
      <c r="H482">
        <f>IF(Inventory!A482="","",Inventory!Y482)</f>
        <v/>
      </c>
      <c r="I482">
        <f>IF(Inventory!A482="","",Inventory!W482)</f>
        <v/>
      </c>
      <c r="J482">
        <f>IF(Inventory!A482="","",Inventory!AA482)</f>
        <v/>
      </c>
    </row>
    <row r="483">
      <c r="A483">
        <f>IF(Inventory!A483="","",Inventory!A483)</f>
        <v/>
      </c>
      <c r="B483">
        <f>IF(Inventory!A483="","",Inventory!B483)</f>
        <v/>
      </c>
      <c r="C483">
        <f>IF(Inventory!A483="","",Inventory!C483)</f>
        <v/>
      </c>
      <c r="D483">
        <f>IF(Inventory!A483="","",Inventory!D483)</f>
        <v/>
      </c>
      <c r="E483">
        <f>IF(Inventory!A483="","",Inventory!K483)</f>
        <v/>
      </c>
      <c r="F483">
        <f>IF(Inventory!A483="","",Inventory!I483)</f>
        <v/>
      </c>
      <c r="G483">
        <f>IF(Inventory!A483="","",Inventory!Z483)</f>
        <v/>
      </c>
      <c r="H483">
        <f>IF(Inventory!A483="","",Inventory!Y483)</f>
        <v/>
      </c>
      <c r="I483">
        <f>IF(Inventory!A483="","",Inventory!W483)</f>
        <v/>
      </c>
      <c r="J483">
        <f>IF(Inventory!A483="","",Inventory!AA483)</f>
        <v/>
      </c>
    </row>
    <row r="484">
      <c r="A484">
        <f>IF(Inventory!A484="","",Inventory!A484)</f>
        <v/>
      </c>
      <c r="B484">
        <f>IF(Inventory!A484="","",Inventory!B484)</f>
        <v/>
      </c>
      <c r="C484">
        <f>IF(Inventory!A484="","",Inventory!C484)</f>
        <v/>
      </c>
      <c r="D484">
        <f>IF(Inventory!A484="","",Inventory!D484)</f>
        <v/>
      </c>
      <c r="E484">
        <f>IF(Inventory!A484="","",Inventory!K484)</f>
        <v/>
      </c>
      <c r="F484">
        <f>IF(Inventory!A484="","",Inventory!I484)</f>
        <v/>
      </c>
      <c r="G484">
        <f>IF(Inventory!A484="","",Inventory!Z484)</f>
        <v/>
      </c>
      <c r="H484">
        <f>IF(Inventory!A484="","",Inventory!Y484)</f>
        <v/>
      </c>
      <c r="I484">
        <f>IF(Inventory!A484="","",Inventory!W484)</f>
        <v/>
      </c>
      <c r="J484">
        <f>IF(Inventory!A484="","",Inventory!AA484)</f>
        <v/>
      </c>
    </row>
    <row r="485">
      <c r="A485">
        <f>IF(Inventory!A485="","",Inventory!A485)</f>
        <v/>
      </c>
      <c r="B485">
        <f>IF(Inventory!A485="","",Inventory!B485)</f>
        <v/>
      </c>
      <c r="C485">
        <f>IF(Inventory!A485="","",Inventory!C485)</f>
        <v/>
      </c>
      <c r="D485">
        <f>IF(Inventory!A485="","",Inventory!D485)</f>
        <v/>
      </c>
      <c r="E485">
        <f>IF(Inventory!A485="","",Inventory!K485)</f>
        <v/>
      </c>
      <c r="F485">
        <f>IF(Inventory!A485="","",Inventory!I485)</f>
        <v/>
      </c>
      <c r="G485">
        <f>IF(Inventory!A485="","",Inventory!Z485)</f>
        <v/>
      </c>
      <c r="H485">
        <f>IF(Inventory!A485="","",Inventory!Y485)</f>
        <v/>
      </c>
      <c r="I485">
        <f>IF(Inventory!A485="","",Inventory!W485)</f>
        <v/>
      </c>
      <c r="J485">
        <f>IF(Inventory!A485="","",Inventory!AA485)</f>
        <v/>
      </c>
    </row>
    <row r="486">
      <c r="A486">
        <f>IF(Inventory!A486="","",Inventory!A486)</f>
        <v/>
      </c>
      <c r="B486">
        <f>IF(Inventory!A486="","",Inventory!B486)</f>
        <v/>
      </c>
      <c r="C486">
        <f>IF(Inventory!A486="","",Inventory!C486)</f>
        <v/>
      </c>
      <c r="D486">
        <f>IF(Inventory!A486="","",Inventory!D486)</f>
        <v/>
      </c>
      <c r="E486">
        <f>IF(Inventory!A486="","",Inventory!K486)</f>
        <v/>
      </c>
      <c r="F486">
        <f>IF(Inventory!A486="","",Inventory!I486)</f>
        <v/>
      </c>
      <c r="G486">
        <f>IF(Inventory!A486="","",Inventory!Z486)</f>
        <v/>
      </c>
      <c r="H486">
        <f>IF(Inventory!A486="","",Inventory!Y486)</f>
        <v/>
      </c>
      <c r="I486">
        <f>IF(Inventory!A486="","",Inventory!W486)</f>
        <v/>
      </c>
      <c r="J486">
        <f>IF(Inventory!A486="","",Inventory!AA486)</f>
        <v/>
      </c>
    </row>
    <row r="487">
      <c r="A487">
        <f>IF(Inventory!A487="","",Inventory!A487)</f>
        <v/>
      </c>
      <c r="B487">
        <f>IF(Inventory!A487="","",Inventory!B487)</f>
        <v/>
      </c>
      <c r="C487">
        <f>IF(Inventory!A487="","",Inventory!C487)</f>
        <v/>
      </c>
      <c r="D487">
        <f>IF(Inventory!A487="","",Inventory!D487)</f>
        <v/>
      </c>
      <c r="E487">
        <f>IF(Inventory!A487="","",Inventory!K487)</f>
        <v/>
      </c>
      <c r="F487">
        <f>IF(Inventory!A487="","",Inventory!I487)</f>
        <v/>
      </c>
      <c r="G487">
        <f>IF(Inventory!A487="","",Inventory!Z487)</f>
        <v/>
      </c>
      <c r="H487">
        <f>IF(Inventory!A487="","",Inventory!Y487)</f>
        <v/>
      </c>
      <c r="I487">
        <f>IF(Inventory!A487="","",Inventory!W487)</f>
        <v/>
      </c>
      <c r="J487">
        <f>IF(Inventory!A487="","",Inventory!AA487)</f>
        <v/>
      </c>
    </row>
    <row r="488">
      <c r="A488">
        <f>IF(Inventory!A488="","",Inventory!A488)</f>
        <v/>
      </c>
      <c r="B488">
        <f>IF(Inventory!A488="","",Inventory!B488)</f>
        <v/>
      </c>
      <c r="C488">
        <f>IF(Inventory!A488="","",Inventory!C488)</f>
        <v/>
      </c>
      <c r="D488">
        <f>IF(Inventory!A488="","",Inventory!D488)</f>
        <v/>
      </c>
      <c r="E488">
        <f>IF(Inventory!A488="","",Inventory!K488)</f>
        <v/>
      </c>
      <c r="F488">
        <f>IF(Inventory!A488="","",Inventory!I488)</f>
        <v/>
      </c>
      <c r="G488">
        <f>IF(Inventory!A488="","",Inventory!Z488)</f>
        <v/>
      </c>
      <c r="H488">
        <f>IF(Inventory!A488="","",Inventory!Y488)</f>
        <v/>
      </c>
      <c r="I488">
        <f>IF(Inventory!A488="","",Inventory!W488)</f>
        <v/>
      </c>
      <c r="J488">
        <f>IF(Inventory!A488="","",Inventory!AA488)</f>
        <v/>
      </c>
    </row>
    <row r="489">
      <c r="A489">
        <f>IF(Inventory!A489="","",Inventory!A489)</f>
        <v/>
      </c>
      <c r="B489">
        <f>IF(Inventory!A489="","",Inventory!B489)</f>
        <v/>
      </c>
      <c r="C489">
        <f>IF(Inventory!A489="","",Inventory!C489)</f>
        <v/>
      </c>
      <c r="D489">
        <f>IF(Inventory!A489="","",Inventory!D489)</f>
        <v/>
      </c>
      <c r="E489">
        <f>IF(Inventory!A489="","",Inventory!K489)</f>
        <v/>
      </c>
      <c r="F489">
        <f>IF(Inventory!A489="","",Inventory!I489)</f>
        <v/>
      </c>
      <c r="G489">
        <f>IF(Inventory!A489="","",Inventory!Z489)</f>
        <v/>
      </c>
      <c r="H489">
        <f>IF(Inventory!A489="","",Inventory!Y489)</f>
        <v/>
      </c>
      <c r="I489">
        <f>IF(Inventory!A489="","",Inventory!W489)</f>
        <v/>
      </c>
      <c r="J489">
        <f>IF(Inventory!A489="","",Inventory!AA489)</f>
        <v/>
      </c>
    </row>
    <row r="490">
      <c r="A490">
        <f>IF(Inventory!A490="","",Inventory!A490)</f>
        <v/>
      </c>
      <c r="B490">
        <f>IF(Inventory!A490="","",Inventory!B490)</f>
        <v/>
      </c>
      <c r="C490">
        <f>IF(Inventory!A490="","",Inventory!C490)</f>
        <v/>
      </c>
      <c r="D490">
        <f>IF(Inventory!A490="","",Inventory!D490)</f>
        <v/>
      </c>
      <c r="E490">
        <f>IF(Inventory!A490="","",Inventory!K490)</f>
        <v/>
      </c>
      <c r="F490">
        <f>IF(Inventory!A490="","",Inventory!I490)</f>
        <v/>
      </c>
      <c r="G490">
        <f>IF(Inventory!A490="","",Inventory!Z490)</f>
        <v/>
      </c>
      <c r="H490">
        <f>IF(Inventory!A490="","",Inventory!Y490)</f>
        <v/>
      </c>
      <c r="I490">
        <f>IF(Inventory!A490="","",Inventory!W490)</f>
        <v/>
      </c>
      <c r="J490">
        <f>IF(Inventory!A490="","",Inventory!AA490)</f>
        <v/>
      </c>
    </row>
    <row r="491">
      <c r="A491">
        <f>IF(Inventory!A491="","",Inventory!A491)</f>
        <v/>
      </c>
      <c r="B491">
        <f>IF(Inventory!A491="","",Inventory!B491)</f>
        <v/>
      </c>
      <c r="C491">
        <f>IF(Inventory!A491="","",Inventory!C491)</f>
        <v/>
      </c>
      <c r="D491">
        <f>IF(Inventory!A491="","",Inventory!D491)</f>
        <v/>
      </c>
      <c r="E491">
        <f>IF(Inventory!A491="","",Inventory!K491)</f>
        <v/>
      </c>
      <c r="F491">
        <f>IF(Inventory!A491="","",Inventory!I491)</f>
        <v/>
      </c>
      <c r="G491">
        <f>IF(Inventory!A491="","",Inventory!Z491)</f>
        <v/>
      </c>
      <c r="H491">
        <f>IF(Inventory!A491="","",Inventory!Y491)</f>
        <v/>
      </c>
      <c r="I491">
        <f>IF(Inventory!A491="","",Inventory!W491)</f>
        <v/>
      </c>
      <c r="J491">
        <f>IF(Inventory!A491="","",Inventory!AA491)</f>
        <v/>
      </c>
    </row>
    <row r="492">
      <c r="A492">
        <f>IF(Inventory!A492="","",Inventory!A492)</f>
        <v/>
      </c>
      <c r="B492">
        <f>IF(Inventory!A492="","",Inventory!B492)</f>
        <v/>
      </c>
      <c r="C492">
        <f>IF(Inventory!A492="","",Inventory!C492)</f>
        <v/>
      </c>
      <c r="D492">
        <f>IF(Inventory!A492="","",Inventory!D492)</f>
        <v/>
      </c>
      <c r="E492">
        <f>IF(Inventory!A492="","",Inventory!K492)</f>
        <v/>
      </c>
      <c r="F492">
        <f>IF(Inventory!A492="","",Inventory!I492)</f>
        <v/>
      </c>
      <c r="G492">
        <f>IF(Inventory!A492="","",Inventory!Z492)</f>
        <v/>
      </c>
      <c r="H492">
        <f>IF(Inventory!A492="","",Inventory!Y492)</f>
        <v/>
      </c>
      <c r="I492">
        <f>IF(Inventory!A492="","",Inventory!W492)</f>
        <v/>
      </c>
      <c r="J492">
        <f>IF(Inventory!A492="","",Inventory!AA492)</f>
        <v/>
      </c>
    </row>
    <row r="493">
      <c r="A493">
        <f>IF(Inventory!A493="","",Inventory!A493)</f>
        <v/>
      </c>
      <c r="B493">
        <f>IF(Inventory!A493="","",Inventory!B493)</f>
        <v/>
      </c>
      <c r="C493">
        <f>IF(Inventory!A493="","",Inventory!C493)</f>
        <v/>
      </c>
      <c r="D493">
        <f>IF(Inventory!A493="","",Inventory!D493)</f>
        <v/>
      </c>
      <c r="E493">
        <f>IF(Inventory!A493="","",Inventory!K493)</f>
        <v/>
      </c>
      <c r="F493">
        <f>IF(Inventory!A493="","",Inventory!I493)</f>
        <v/>
      </c>
      <c r="G493">
        <f>IF(Inventory!A493="","",Inventory!Z493)</f>
        <v/>
      </c>
      <c r="H493">
        <f>IF(Inventory!A493="","",Inventory!Y493)</f>
        <v/>
      </c>
      <c r="I493">
        <f>IF(Inventory!A493="","",Inventory!W493)</f>
        <v/>
      </c>
      <c r="J493">
        <f>IF(Inventory!A493="","",Inventory!AA493)</f>
        <v/>
      </c>
    </row>
    <row r="494">
      <c r="A494">
        <f>IF(Inventory!A494="","",Inventory!A494)</f>
        <v/>
      </c>
      <c r="B494">
        <f>IF(Inventory!A494="","",Inventory!B494)</f>
        <v/>
      </c>
      <c r="C494">
        <f>IF(Inventory!A494="","",Inventory!C494)</f>
        <v/>
      </c>
      <c r="D494">
        <f>IF(Inventory!A494="","",Inventory!D494)</f>
        <v/>
      </c>
      <c r="E494">
        <f>IF(Inventory!A494="","",Inventory!K494)</f>
        <v/>
      </c>
      <c r="F494">
        <f>IF(Inventory!A494="","",Inventory!I494)</f>
        <v/>
      </c>
      <c r="G494">
        <f>IF(Inventory!A494="","",Inventory!Z494)</f>
        <v/>
      </c>
      <c r="H494">
        <f>IF(Inventory!A494="","",Inventory!Y494)</f>
        <v/>
      </c>
      <c r="I494">
        <f>IF(Inventory!A494="","",Inventory!W494)</f>
        <v/>
      </c>
      <c r="J494">
        <f>IF(Inventory!A494="","",Inventory!AA494)</f>
        <v/>
      </c>
    </row>
    <row r="495">
      <c r="A495">
        <f>IF(Inventory!A495="","",Inventory!A495)</f>
        <v/>
      </c>
      <c r="B495">
        <f>IF(Inventory!A495="","",Inventory!B495)</f>
        <v/>
      </c>
      <c r="C495">
        <f>IF(Inventory!A495="","",Inventory!C495)</f>
        <v/>
      </c>
      <c r="D495">
        <f>IF(Inventory!A495="","",Inventory!D495)</f>
        <v/>
      </c>
      <c r="E495">
        <f>IF(Inventory!A495="","",Inventory!K495)</f>
        <v/>
      </c>
      <c r="F495">
        <f>IF(Inventory!A495="","",Inventory!I495)</f>
        <v/>
      </c>
      <c r="G495">
        <f>IF(Inventory!A495="","",Inventory!Z495)</f>
        <v/>
      </c>
      <c r="H495">
        <f>IF(Inventory!A495="","",Inventory!Y495)</f>
        <v/>
      </c>
      <c r="I495">
        <f>IF(Inventory!A495="","",Inventory!W495)</f>
        <v/>
      </c>
      <c r="J495">
        <f>IF(Inventory!A495="","",Inventory!AA495)</f>
        <v/>
      </c>
    </row>
    <row r="496">
      <c r="A496">
        <f>IF(Inventory!A496="","",Inventory!A496)</f>
        <v/>
      </c>
      <c r="B496">
        <f>IF(Inventory!A496="","",Inventory!B496)</f>
        <v/>
      </c>
      <c r="C496">
        <f>IF(Inventory!A496="","",Inventory!C496)</f>
        <v/>
      </c>
      <c r="D496">
        <f>IF(Inventory!A496="","",Inventory!D496)</f>
        <v/>
      </c>
      <c r="E496">
        <f>IF(Inventory!A496="","",Inventory!K496)</f>
        <v/>
      </c>
      <c r="F496">
        <f>IF(Inventory!A496="","",Inventory!I496)</f>
        <v/>
      </c>
      <c r="G496">
        <f>IF(Inventory!A496="","",Inventory!Z496)</f>
        <v/>
      </c>
      <c r="H496">
        <f>IF(Inventory!A496="","",Inventory!Y496)</f>
        <v/>
      </c>
      <c r="I496">
        <f>IF(Inventory!A496="","",Inventory!W496)</f>
        <v/>
      </c>
      <c r="J496">
        <f>IF(Inventory!A496="","",Inventory!AA496)</f>
        <v/>
      </c>
    </row>
    <row r="497">
      <c r="A497">
        <f>IF(Inventory!A497="","",Inventory!A497)</f>
        <v/>
      </c>
      <c r="B497">
        <f>IF(Inventory!A497="","",Inventory!B497)</f>
        <v/>
      </c>
      <c r="C497">
        <f>IF(Inventory!A497="","",Inventory!C497)</f>
        <v/>
      </c>
      <c r="D497">
        <f>IF(Inventory!A497="","",Inventory!D497)</f>
        <v/>
      </c>
      <c r="E497">
        <f>IF(Inventory!A497="","",Inventory!K497)</f>
        <v/>
      </c>
      <c r="F497">
        <f>IF(Inventory!A497="","",Inventory!I497)</f>
        <v/>
      </c>
      <c r="G497">
        <f>IF(Inventory!A497="","",Inventory!Z497)</f>
        <v/>
      </c>
      <c r="H497">
        <f>IF(Inventory!A497="","",Inventory!Y497)</f>
        <v/>
      </c>
      <c r="I497">
        <f>IF(Inventory!A497="","",Inventory!W497)</f>
        <v/>
      </c>
      <c r="J497">
        <f>IF(Inventory!A497="","",Inventory!AA497)</f>
        <v/>
      </c>
    </row>
    <row r="498">
      <c r="A498">
        <f>IF(Inventory!A498="","",Inventory!A498)</f>
        <v/>
      </c>
      <c r="B498">
        <f>IF(Inventory!A498="","",Inventory!B498)</f>
        <v/>
      </c>
      <c r="C498">
        <f>IF(Inventory!A498="","",Inventory!C498)</f>
        <v/>
      </c>
      <c r="D498">
        <f>IF(Inventory!A498="","",Inventory!D498)</f>
        <v/>
      </c>
      <c r="E498">
        <f>IF(Inventory!A498="","",Inventory!K498)</f>
        <v/>
      </c>
      <c r="F498">
        <f>IF(Inventory!A498="","",Inventory!I498)</f>
        <v/>
      </c>
      <c r="G498">
        <f>IF(Inventory!A498="","",Inventory!Z498)</f>
        <v/>
      </c>
      <c r="H498">
        <f>IF(Inventory!A498="","",Inventory!Y498)</f>
        <v/>
      </c>
      <c r="I498">
        <f>IF(Inventory!A498="","",Inventory!W498)</f>
        <v/>
      </c>
      <c r="J498">
        <f>IF(Inventory!A498="","",Inventory!AA498)</f>
        <v/>
      </c>
    </row>
    <row r="499">
      <c r="A499">
        <f>IF(Inventory!A499="","",Inventory!A499)</f>
        <v/>
      </c>
      <c r="B499">
        <f>IF(Inventory!A499="","",Inventory!B499)</f>
        <v/>
      </c>
      <c r="C499">
        <f>IF(Inventory!A499="","",Inventory!C499)</f>
        <v/>
      </c>
      <c r="D499">
        <f>IF(Inventory!A499="","",Inventory!D499)</f>
        <v/>
      </c>
      <c r="E499">
        <f>IF(Inventory!A499="","",Inventory!K499)</f>
        <v/>
      </c>
      <c r="F499">
        <f>IF(Inventory!A499="","",Inventory!I499)</f>
        <v/>
      </c>
      <c r="G499">
        <f>IF(Inventory!A499="","",Inventory!Z499)</f>
        <v/>
      </c>
      <c r="H499">
        <f>IF(Inventory!A499="","",Inventory!Y499)</f>
        <v/>
      </c>
      <c r="I499">
        <f>IF(Inventory!A499="","",Inventory!W499)</f>
        <v/>
      </c>
      <c r="J499">
        <f>IF(Inventory!A499="","",Inventory!AA499)</f>
        <v/>
      </c>
    </row>
    <row r="500">
      <c r="A500">
        <f>IF(Inventory!A500="","",Inventory!A500)</f>
        <v/>
      </c>
      <c r="B500">
        <f>IF(Inventory!A500="","",Inventory!B500)</f>
        <v/>
      </c>
      <c r="C500">
        <f>IF(Inventory!A500="","",Inventory!C500)</f>
        <v/>
      </c>
      <c r="D500">
        <f>IF(Inventory!A500="","",Inventory!D500)</f>
        <v/>
      </c>
      <c r="E500">
        <f>IF(Inventory!A500="","",Inventory!K500)</f>
        <v/>
      </c>
      <c r="F500">
        <f>IF(Inventory!A500="","",Inventory!I500)</f>
        <v/>
      </c>
      <c r="G500">
        <f>IF(Inventory!A500="","",Inventory!Z500)</f>
        <v/>
      </c>
      <c r="H500">
        <f>IF(Inventory!A500="","",Inventory!Y500)</f>
        <v/>
      </c>
      <c r="I500">
        <f>IF(Inventory!A500="","",Inventory!W500)</f>
        <v/>
      </c>
      <c r="J500">
        <f>IF(Inventory!A500="","",Inventory!AA500)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zoomScale="82" workbookViewId="0">
      <pane ySplit="5" topLeftCell="A6" activePane="bottomLeft" state="frozen"/>
      <selection activeCell="D1" sqref="D1"/>
      <selection pane="bottomLeft" activeCell="B1" sqref="B1"/>
    </sheetView>
  </sheetViews>
  <sheetFormatPr baseColWidth="10" defaultColWidth="8.83203125" defaultRowHeight="15"/>
  <cols>
    <col width="12.6640625" customWidth="1" min="1" max="1"/>
    <col width="18" customWidth="1" min="2" max="2"/>
    <col width="22" customWidth="1" style="19" min="3" max="3"/>
    <col width="14" customWidth="1" min="4" max="4"/>
    <col width="28" customWidth="1" min="5" max="5"/>
    <col width="65.83203125" customWidth="1" min="6" max="6"/>
    <col width="30" customWidth="1" min="7" max="7"/>
    <col width="16" customWidth="1" min="8" max="8"/>
    <col width="14" customWidth="1" min="9" max="10"/>
    <col width="12" customWidth="1" min="11" max="11"/>
    <col width="14" customWidth="1" min="12" max="12"/>
    <col width="16" customWidth="1" min="13" max="14"/>
    <col width="12" customWidth="1" min="15" max="16"/>
    <col width="16" customWidth="1" min="17" max="17"/>
    <col width="12" customWidth="1" min="18" max="18"/>
    <col width="18" customWidth="1" min="19" max="19"/>
    <col width="14" customWidth="1" min="20" max="21"/>
    <col width="18" customWidth="1" min="22" max="22"/>
    <col width="24" customWidth="1" min="23" max="23"/>
  </cols>
  <sheetData>
    <row r="1" ht="32" customHeight="1">
      <c r="A1" s="18" t="inlineStr">
        <is>
          <t>Select wardrobe:</t>
        </is>
      </c>
      <c r="B1" s="13" t="inlineStr">
        <is>
          <t xml:space="preserve">PSU 2nd and 3rd quarter </t>
        </is>
      </c>
    </row>
    <row r="3">
      <c r="A3" s="12" t="inlineStr">
        <is>
          <t>Matching items (auto):</t>
        </is>
      </c>
    </row>
    <row r="5" ht="22" customHeight="1">
      <c r="A5" s="4" t="inlineStr">
        <is>
          <t>Item ID</t>
        </is>
      </c>
      <c r="B5" s="4" t="inlineStr">
        <is>
          <t>Wardrobe Name</t>
        </is>
      </c>
      <c r="C5" s="4" t="inlineStr">
        <is>
          <t>Item Name</t>
        </is>
      </c>
      <c r="D5" s="4" t="inlineStr">
        <is>
          <t>Category</t>
        </is>
      </c>
      <c r="E5" s="4" t="inlineStr">
        <is>
          <t>Image URL</t>
        </is>
      </c>
      <c r="F5" s="4" t="inlineStr">
        <is>
          <t>Image</t>
        </is>
      </c>
      <c r="G5" s="4" t="inlineStr">
        <is>
          <t>Item Link</t>
        </is>
      </c>
      <c r="H5" s="4" t="inlineStr">
        <is>
          <t>Cost of Item ($)</t>
        </is>
      </c>
      <c r="I5" s="4" t="inlineStr">
        <is>
          <t>Rental Fee ($)</t>
        </is>
      </c>
      <c r="J5" s="4" t="inlineStr">
        <is>
          <t>Condition</t>
        </is>
      </c>
      <c r="K5" s="4" t="inlineStr">
        <is>
          <t>Size</t>
        </is>
      </c>
      <c r="L5" s="4" t="inlineStr">
        <is>
          <t>Color</t>
        </is>
      </c>
      <c r="M5" s="4" t="inlineStr">
        <is>
          <t>Brand</t>
        </is>
      </c>
      <c r="N5" s="4" t="inlineStr">
        <is>
          <t>Purchase Status</t>
        </is>
      </c>
      <c r="O5" s="4" t="inlineStr">
        <is>
          <t>Status</t>
        </is>
      </c>
      <c r="P5" s="4" t="inlineStr">
        <is>
          <t>Date Added</t>
        </is>
      </c>
      <c r="Q5" s="4" t="inlineStr">
        <is>
          <t>Extra Costs ($)</t>
        </is>
      </c>
      <c r="R5" s="4" t="inlineStr">
        <is>
          <t>Times Rented</t>
        </is>
      </c>
      <c r="S5" s="4" t="inlineStr">
        <is>
          <t>Total Revenue ($)</t>
        </is>
      </c>
      <c r="T5" s="4" t="inlineStr">
        <is>
          <t>Total Cost ($)</t>
        </is>
      </c>
      <c r="U5" s="4" t="inlineStr">
        <is>
          <t>Profit ($)</t>
        </is>
      </c>
      <c r="V5" s="4" t="inlineStr">
        <is>
          <t>Break-even Rentals</t>
        </is>
      </c>
      <c r="W5" s="4" t="inlineStr">
        <is>
          <t>Notes</t>
        </is>
      </c>
    </row>
    <row r="6" ht="400" customHeight="1">
      <c r="A6">
        <f t="array" ref="A6:W7">IF($B$1="","",_xlfn._xlws.FILTER(Inventory!A2:W2000,Inventory!B2:B2000=$B$1,"No matches"))</f>
        <v/>
      </c>
      <c r="B6">
        <f/>
        <v/>
      </c>
      <c r="C6" s="19">
        <f/>
        <v/>
      </c>
      <c r="D6">
        <f/>
        <v/>
      </c>
      <c r="E6">
        <f/>
        <v/>
      </c>
      <c r="F6">
        <f/>
        <v/>
      </c>
      <c r="G6">
        <f/>
        <v/>
      </c>
      <c r="H6">
        <f/>
        <v/>
      </c>
      <c r="I6">
        <f/>
        <v/>
      </c>
      <c r="J6">
        <f/>
        <v/>
      </c>
      <c r="K6">
        <f/>
        <v/>
      </c>
      <c r="L6">
        <f/>
        <v/>
      </c>
      <c r="M6">
        <f/>
        <v/>
      </c>
      <c r="N6">
        <f/>
        <v/>
      </c>
      <c r="O6">
        <f/>
        <v/>
      </c>
      <c r="P6">
        <f/>
        <v/>
      </c>
      <c r="Q6">
        <f/>
        <v/>
      </c>
      <c r="R6">
        <f/>
        <v/>
      </c>
      <c r="S6">
        <f/>
        <v/>
      </c>
      <c r="T6">
        <f/>
        <v/>
      </c>
      <c r="U6">
        <f/>
        <v/>
      </c>
      <c r="V6">
        <f/>
        <v/>
      </c>
      <c r="W6">
        <f/>
        <v/>
      </c>
    </row>
    <row r="7" ht="400" customHeight="1">
      <c r="A7">
        <f/>
        <v/>
      </c>
      <c r="B7">
        <f/>
        <v/>
      </c>
      <c r="C7" s="19">
        <f/>
        <v/>
      </c>
      <c r="D7">
        <f/>
        <v/>
      </c>
      <c r="E7">
        <f/>
        <v/>
      </c>
      <c r="F7" s="23">
        <f/>
        <v/>
      </c>
      <c r="G7">
        <f/>
        <v/>
      </c>
      <c r="H7">
        <f/>
        <v/>
      </c>
      <c r="I7">
        <f/>
        <v/>
      </c>
      <c r="J7">
        <f/>
        <v/>
      </c>
      <c r="K7">
        <f/>
        <v/>
      </c>
      <c r="L7">
        <f/>
        <v/>
      </c>
      <c r="M7">
        <f/>
        <v/>
      </c>
      <c r="N7">
        <f/>
        <v/>
      </c>
      <c r="O7">
        <f/>
        <v/>
      </c>
      <c r="P7">
        <f/>
        <v/>
      </c>
      <c r="Q7">
        <f/>
        <v/>
      </c>
      <c r="R7">
        <f/>
        <v/>
      </c>
      <c r="S7">
        <f/>
        <v/>
      </c>
      <c r="T7">
        <f/>
        <v/>
      </c>
      <c r="U7">
        <f/>
        <v/>
      </c>
      <c r="V7">
        <f/>
        <v/>
      </c>
      <c r="W7">
        <f/>
        <v/>
      </c>
    </row>
    <row r="8" ht="400" customHeight="1"/>
    <row r="9" ht="400" customHeight="1"/>
    <row r="10" ht="400" customHeight="1"/>
    <row r="11" ht="400" customHeight="1"/>
    <row r="12" ht="400" customHeight="1"/>
    <row r="13" ht="400" customHeight="1"/>
    <row r="14" ht="400" customHeight="1"/>
    <row r="15" ht="400" customHeight="1"/>
    <row r="16" ht="400" customHeight="1"/>
    <row r="17" ht="400" customHeight="1"/>
    <row r="18" ht="400" customHeight="1"/>
    <row r="19" ht="400" customHeight="1"/>
    <row r="20" ht="400" customHeight="1"/>
    <row r="21" ht="400" customHeight="1"/>
    <row r="22" ht="400" customHeight="1"/>
    <row r="23" ht="400" customHeight="1"/>
    <row r="24" ht="400" customHeight="1"/>
    <row r="25" ht="400" customHeight="1"/>
    <row r="26" ht="400" customHeight="1"/>
    <row r="27" ht="400" customHeight="1"/>
    <row r="28" ht="400" customHeight="1"/>
    <row r="29" ht="400" customHeight="1"/>
    <row r="30" ht="400" customHeight="1"/>
    <row r="31" ht="400" customHeight="1"/>
    <row r="32" ht="400" customHeight="1"/>
    <row r="33" ht="400" customHeight="1"/>
    <row r="34" ht="400" customHeight="1"/>
    <row r="35" ht="400" customHeight="1"/>
    <row r="36" ht="400" customHeight="1"/>
    <row r="37" ht="400" customHeight="1"/>
    <row r="38" ht="400" customHeight="1"/>
    <row r="39" ht="400" customHeight="1"/>
    <row r="40" ht="400" customHeight="1"/>
    <row r="41" ht="400" customHeight="1"/>
    <row r="42" ht="400" customHeight="1"/>
    <row r="43" ht="400" customHeight="1"/>
    <row r="44" ht="400" customHeight="1"/>
    <row r="45" ht="400" customHeight="1"/>
    <row r="46" ht="400" customHeight="1"/>
    <row r="47" ht="400" customHeight="1"/>
    <row r="48" ht="400" customHeight="1"/>
    <row r="49" ht="400" customHeight="1"/>
    <row r="50" ht="400" customHeight="1"/>
    <row r="51" ht="400" customHeight="1"/>
    <row r="52" ht="400" customHeight="1"/>
    <row r="53" ht="400" customHeight="1"/>
    <row r="54" ht="400" customHeight="1"/>
    <row r="55" ht="400" customHeight="1"/>
    <row r="56" ht="400" customHeight="1"/>
    <row r="57" ht="400" customHeight="1"/>
    <row r="58" ht="400" customHeight="1"/>
    <row r="59" ht="400" customHeight="1"/>
    <row r="60" ht="400" customHeight="1"/>
    <row r="61" ht="400" customHeight="1"/>
    <row r="62" ht="400" customHeight="1"/>
    <row r="63" ht="400" customHeight="1"/>
    <row r="64" ht="400" customHeight="1"/>
    <row r="65" ht="400" customHeight="1"/>
    <row r="66" ht="400" customHeight="1"/>
    <row r="67" ht="400" customHeight="1"/>
    <row r="68" ht="400" customHeight="1"/>
    <row r="69" ht="400" customHeight="1"/>
    <row r="70" ht="400" customHeight="1"/>
    <row r="71" ht="400" customHeight="1"/>
    <row r="72" ht="400" customHeight="1"/>
    <row r="73" ht="400" customHeight="1"/>
    <row r="74" ht="400" customHeight="1"/>
    <row r="75" ht="400" customHeight="1"/>
    <row r="76" ht="400" customHeight="1"/>
    <row r="77" ht="400" customHeight="1"/>
    <row r="78" ht="400" customHeight="1"/>
    <row r="79" ht="400" customHeight="1"/>
    <row r="80" ht="400" customHeight="1"/>
    <row r="81" ht="400" customHeight="1"/>
    <row r="82" ht="400" customHeight="1"/>
    <row r="83" ht="400" customHeight="1"/>
    <row r="84" ht="400" customHeight="1"/>
    <row r="85" ht="400" customHeight="1"/>
    <row r="86" ht="400" customHeight="1"/>
    <row r="87" ht="400" customHeight="1"/>
    <row r="88" ht="400" customHeight="1"/>
    <row r="89" ht="400" customHeight="1"/>
    <row r="90" ht="400" customHeight="1"/>
    <row r="91" ht="400" customHeight="1"/>
    <row r="92" ht="400" customHeight="1"/>
    <row r="93" ht="400" customHeight="1"/>
    <row r="94" ht="400" customHeight="1"/>
    <row r="95" ht="400" customHeight="1"/>
    <row r="96" ht="400" customHeight="1"/>
    <row r="97" ht="400" customHeight="1"/>
    <row r="98" ht="400" customHeight="1"/>
    <row r="99" ht="400" customHeight="1"/>
    <row r="100" ht="400" customHeight="1"/>
    <row r="101" ht="400" customHeight="1"/>
    <row r="102" ht="400" customHeight="1"/>
    <row r="103" ht="400" customHeight="1"/>
    <row r="104" ht="400" customHeight="1"/>
    <row r="105" ht="400" customHeight="1"/>
    <row r="106" ht="400" customHeight="1"/>
    <row r="107" ht="400" customHeight="1"/>
    <row r="108" ht="400" customHeight="1"/>
    <row r="109" ht="400" customHeight="1"/>
    <row r="110" ht="400" customHeight="1"/>
    <row r="111" ht="400" customHeight="1"/>
    <row r="112" ht="400" customHeight="1"/>
    <row r="113" ht="400" customHeight="1"/>
    <row r="114" ht="400" customHeight="1"/>
    <row r="115" ht="400" customHeight="1"/>
    <row r="116" ht="400" customHeight="1"/>
    <row r="117" ht="400" customHeight="1"/>
    <row r="118" ht="400" customHeight="1"/>
    <row r="119" ht="400" customHeight="1"/>
    <row r="120" ht="400" customHeight="1"/>
    <row r="121" ht="400" customHeight="1"/>
    <row r="122" ht="400" customHeight="1"/>
    <row r="123" ht="400" customHeight="1"/>
    <row r="124" ht="400" customHeight="1"/>
    <row r="125" ht="400" customHeight="1"/>
    <row r="126" ht="400" customHeight="1"/>
    <row r="127" ht="400" customHeight="1"/>
    <row r="128" ht="400" customHeight="1"/>
    <row r="129" ht="400" customHeight="1"/>
    <row r="130" ht="400" customHeight="1"/>
    <row r="131" ht="400" customHeight="1"/>
    <row r="132" ht="400" customHeight="1"/>
    <row r="133" ht="400" customHeight="1"/>
    <row r="134" ht="400" customHeight="1"/>
    <row r="135" ht="400" customHeight="1"/>
    <row r="136" ht="400" customHeight="1"/>
    <row r="137" ht="400" customHeight="1"/>
    <row r="138" ht="400" customHeight="1"/>
    <row r="139" ht="400" customHeight="1"/>
    <row r="140" ht="400" customHeight="1"/>
    <row r="141" ht="400" customHeight="1"/>
    <row r="142" ht="400" customHeight="1"/>
    <row r="143" ht="400" customHeight="1"/>
    <row r="144" ht="400" customHeight="1"/>
    <row r="145" ht="400" customHeight="1"/>
    <row r="146" ht="400" customHeight="1"/>
    <row r="147" ht="400" customHeight="1"/>
    <row r="148" ht="400" customHeight="1"/>
    <row r="149" ht="400" customHeight="1"/>
    <row r="150" ht="400" customHeight="1"/>
    <row r="151" ht="400" customHeight="1"/>
    <row r="152" ht="400" customHeight="1"/>
    <row r="153" ht="400" customHeight="1"/>
    <row r="154" ht="400" customHeight="1"/>
    <row r="155" ht="400" customHeight="1"/>
    <row r="156" ht="400" customHeight="1"/>
    <row r="157" ht="400" customHeight="1"/>
    <row r="158" ht="400" customHeight="1"/>
    <row r="159" ht="400" customHeight="1"/>
    <row r="160" ht="400" customHeight="1"/>
    <row r="161" ht="400" customHeight="1"/>
    <row r="162" ht="400" customHeight="1"/>
    <row r="163" ht="400" customHeight="1"/>
    <row r="164" ht="400" customHeight="1"/>
    <row r="165" ht="400" customHeight="1"/>
    <row r="166" ht="400" customHeight="1"/>
    <row r="167" ht="400" customHeight="1"/>
    <row r="168" ht="400" customHeight="1"/>
    <row r="169" ht="400" customHeight="1"/>
    <row r="170" ht="400" customHeight="1"/>
    <row r="171" ht="400" customHeight="1"/>
    <row r="172" ht="400" customHeight="1"/>
    <row r="173" ht="400" customHeight="1"/>
    <row r="174" ht="400" customHeight="1"/>
    <row r="175" ht="400" customHeight="1"/>
    <row r="176" ht="400" customHeight="1"/>
    <row r="177" ht="400" customHeight="1"/>
    <row r="178" ht="400" customHeight="1"/>
    <row r="179" ht="400" customHeight="1"/>
    <row r="180" ht="400" customHeight="1"/>
    <row r="181" ht="400" customHeight="1"/>
    <row r="182" ht="400" customHeight="1"/>
    <row r="183" ht="400" customHeight="1"/>
    <row r="184" ht="400" customHeight="1"/>
    <row r="185" ht="400" customHeight="1"/>
    <row r="186" ht="400" customHeight="1"/>
    <row r="187" ht="400" customHeight="1"/>
    <row r="188" ht="400" customHeight="1"/>
    <row r="189" ht="400" customHeight="1"/>
    <row r="190" ht="400" customHeight="1"/>
    <row r="191" ht="400" customHeight="1"/>
    <row r="192" ht="400" customHeight="1"/>
    <row r="193" ht="400" customHeight="1"/>
    <row r="194" ht="400" customHeight="1"/>
    <row r="195" ht="400" customHeight="1"/>
    <row r="196" ht="400" customHeight="1"/>
    <row r="197" ht="400" customHeight="1"/>
    <row r="198" ht="400" customHeight="1"/>
    <row r="199" ht="400" customHeight="1"/>
    <row r="200" ht="400" customHeight="1"/>
    <row r="201" ht="400" customHeight="1"/>
    <row r="202" ht="400" customHeight="1"/>
    <row r="203" ht="400" customHeight="1"/>
    <row r="204" ht="400" customHeight="1"/>
    <row r="205" ht="400" customHeight="1"/>
    <row r="206" ht="400" customHeight="1"/>
    <row r="207" ht="400" customHeight="1"/>
    <row r="208" ht="400" customHeight="1"/>
    <row r="209" ht="400" customHeight="1"/>
    <row r="210" ht="400" customHeight="1"/>
    <row r="211" ht="400" customHeight="1"/>
    <row r="212" ht="400" customHeight="1"/>
    <row r="213" ht="400" customHeight="1"/>
    <row r="214" ht="400" customHeight="1"/>
    <row r="215" ht="400" customHeight="1"/>
    <row r="216" ht="400" customHeight="1"/>
    <row r="217" ht="400" customHeight="1"/>
    <row r="218" ht="400" customHeight="1"/>
    <row r="219" ht="400" customHeight="1"/>
    <row r="220" ht="400" customHeight="1"/>
    <row r="221" ht="400" customHeight="1"/>
    <row r="222" ht="400" customHeight="1"/>
    <row r="223" ht="400" customHeight="1"/>
    <row r="224" ht="400" customHeight="1"/>
    <row r="225" ht="400" customHeight="1"/>
    <row r="226" ht="400" customHeight="1"/>
    <row r="227" ht="400" customHeight="1"/>
    <row r="228" ht="400" customHeight="1"/>
    <row r="229" ht="400" customHeight="1"/>
    <row r="230" ht="400" customHeight="1"/>
    <row r="231" ht="400" customHeight="1"/>
    <row r="232" ht="400" customHeight="1"/>
    <row r="233" ht="400" customHeight="1"/>
    <row r="234" ht="400" customHeight="1"/>
    <row r="235" ht="400" customHeight="1"/>
    <row r="236" ht="400" customHeight="1"/>
    <row r="237" ht="400" customHeight="1"/>
    <row r="238" ht="400" customHeight="1"/>
    <row r="239" ht="400" customHeight="1"/>
    <row r="240" ht="400" customHeight="1"/>
    <row r="241" ht="400" customHeight="1"/>
    <row r="242" ht="400" customHeight="1"/>
    <row r="243" ht="400" customHeight="1"/>
    <row r="244" ht="400" customHeight="1"/>
    <row r="245" ht="400" customHeight="1"/>
    <row r="246" ht="400" customHeight="1"/>
    <row r="247" ht="400" customHeight="1"/>
    <row r="248" ht="400" customHeight="1"/>
    <row r="249" ht="400" customHeight="1"/>
    <row r="250" ht="400" customHeight="1"/>
    <row r="251" ht="400" customHeight="1"/>
    <row r="252" ht="400" customHeight="1"/>
    <row r="253" ht="400" customHeight="1"/>
    <row r="254" ht="400" customHeight="1"/>
    <row r="255" ht="400" customHeight="1"/>
    <row r="256" ht="400" customHeight="1"/>
    <row r="257" ht="400" customHeight="1"/>
    <row r="258" ht="400" customHeight="1"/>
    <row r="259" ht="400" customHeight="1"/>
    <row r="260" ht="400" customHeight="1"/>
    <row r="261" ht="400" customHeight="1"/>
    <row r="262" ht="400" customHeight="1"/>
    <row r="263" ht="400" customHeight="1"/>
    <row r="264" ht="400" customHeight="1"/>
    <row r="265" ht="400" customHeight="1"/>
    <row r="266" ht="400" customHeight="1"/>
    <row r="267" ht="400" customHeight="1"/>
    <row r="268" ht="400" customHeight="1"/>
    <row r="269" ht="400" customHeight="1"/>
    <row r="270" ht="400" customHeight="1"/>
    <row r="271" ht="400" customHeight="1"/>
    <row r="272" ht="400" customHeight="1"/>
    <row r="273" ht="400" customHeight="1"/>
    <row r="274" ht="400" customHeight="1"/>
    <row r="275" ht="400" customHeight="1"/>
    <row r="276" ht="400" customHeight="1"/>
    <row r="277" ht="400" customHeight="1"/>
    <row r="278" ht="400" customHeight="1"/>
    <row r="279" ht="400" customHeight="1"/>
    <row r="280" ht="400" customHeight="1"/>
    <row r="281" ht="400" customHeight="1"/>
    <row r="282" ht="400" customHeight="1"/>
    <row r="283" ht="400" customHeight="1"/>
    <row r="284" ht="400" customHeight="1"/>
    <row r="285" ht="400" customHeight="1"/>
    <row r="286" ht="400" customHeight="1"/>
    <row r="287" ht="400" customHeight="1"/>
    <row r="288" ht="400" customHeight="1"/>
    <row r="289" ht="400" customHeight="1"/>
    <row r="290" ht="400" customHeight="1"/>
    <row r="291" ht="400" customHeight="1"/>
    <row r="292" ht="400" customHeight="1"/>
    <row r="293" ht="400" customHeight="1"/>
    <row r="294" ht="400" customHeight="1"/>
    <row r="295" ht="400" customHeight="1"/>
    <row r="296" ht="400" customHeight="1"/>
    <row r="297" ht="400" customHeight="1"/>
    <row r="298" ht="400" customHeight="1"/>
    <row r="299" ht="400" customHeight="1"/>
    <row r="300" ht="400" customHeight="1"/>
    <row r="301" ht="400" customHeight="1"/>
    <row r="302" ht="400" customHeight="1"/>
    <row r="303" ht="400" customHeight="1"/>
    <row r="304" ht="400" customHeight="1"/>
    <row r="305" ht="400" customHeight="1"/>
    <row r="306" ht="400" customHeight="1"/>
    <row r="307" ht="400" customHeight="1"/>
    <row r="308" ht="400" customHeight="1"/>
    <row r="309" ht="400" customHeight="1"/>
    <row r="310" ht="400" customHeight="1"/>
    <row r="311" ht="400" customHeight="1"/>
    <row r="312" ht="400" customHeight="1"/>
    <row r="313" ht="400" customHeight="1"/>
    <row r="314" ht="400" customHeight="1"/>
    <row r="315" ht="400" customHeight="1"/>
    <row r="316" ht="400" customHeight="1"/>
    <row r="317" ht="400" customHeight="1"/>
    <row r="318" ht="400" customHeight="1"/>
    <row r="319" ht="400" customHeight="1"/>
    <row r="320" ht="400" customHeight="1"/>
    <row r="321" ht="400" customHeight="1"/>
    <row r="322" ht="400" customHeight="1"/>
    <row r="323" ht="400" customHeight="1"/>
    <row r="324" ht="400" customHeight="1"/>
    <row r="325" ht="400" customHeight="1"/>
    <row r="326" ht="400" customHeight="1"/>
    <row r="327" ht="400" customHeight="1"/>
    <row r="328" ht="400" customHeight="1"/>
    <row r="329" ht="400" customHeight="1"/>
    <row r="330" ht="400" customHeight="1"/>
    <row r="331" ht="400" customHeight="1"/>
    <row r="332" ht="400" customHeight="1"/>
    <row r="333" ht="400" customHeight="1"/>
    <row r="334" ht="400" customHeight="1"/>
    <row r="335" ht="400" customHeight="1"/>
    <row r="336" ht="400" customHeight="1"/>
    <row r="337" ht="400" customHeight="1"/>
    <row r="338" ht="400" customHeight="1"/>
    <row r="339" ht="400" customHeight="1"/>
    <row r="340" ht="400" customHeight="1"/>
    <row r="341" ht="400" customHeight="1"/>
    <row r="342" ht="400" customHeight="1"/>
    <row r="343" ht="400" customHeight="1"/>
    <row r="344" ht="400" customHeight="1"/>
    <row r="345" ht="400" customHeight="1"/>
    <row r="346" ht="400" customHeight="1"/>
    <row r="347" ht="400" customHeight="1"/>
    <row r="348" ht="400" customHeight="1"/>
    <row r="349" ht="400" customHeight="1"/>
    <row r="350" ht="400" customHeight="1"/>
    <row r="351" ht="400" customHeight="1"/>
    <row r="352" ht="400" customHeight="1"/>
    <row r="353" ht="400" customHeight="1"/>
    <row r="354" ht="400" customHeight="1"/>
    <row r="355" ht="400" customHeight="1"/>
    <row r="356" ht="400" customHeight="1"/>
    <row r="357" ht="400" customHeight="1"/>
    <row r="358" ht="400" customHeight="1"/>
    <row r="359" ht="400" customHeight="1"/>
    <row r="360" ht="400" customHeight="1"/>
    <row r="361" ht="400" customHeight="1"/>
    <row r="362" ht="400" customHeight="1"/>
    <row r="363" ht="400" customHeight="1"/>
    <row r="364" ht="400" customHeight="1"/>
    <row r="365" ht="400" customHeight="1"/>
    <row r="366" ht="400" customHeight="1"/>
    <row r="367" ht="400" customHeight="1"/>
    <row r="368" ht="400" customHeight="1"/>
    <row r="369" ht="400" customHeight="1"/>
    <row r="370" ht="400" customHeight="1"/>
    <row r="371" ht="400" customHeight="1"/>
    <row r="372" ht="400" customHeight="1"/>
    <row r="373" ht="400" customHeight="1"/>
    <row r="374" ht="400" customHeight="1"/>
    <row r="375" ht="400" customHeight="1"/>
    <row r="376" ht="400" customHeight="1"/>
    <row r="377" ht="400" customHeight="1"/>
    <row r="378" ht="400" customHeight="1"/>
    <row r="379" ht="400" customHeight="1"/>
    <row r="380" ht="400" customHeight="1"/>
    <row r="381" ht="400" customHeight="1"/>
    <row r="382" ht="400" customHeight="1"/>
    <row r="383" ht="400" customHeight="1"/>
    <row r="384" ht="400" customHeight="1"/>
    <row r="385" ht="400" customHeight="1"/>
    <row r="386" ht="400" customHeight="1"/>
    <row r="387" ht="400" customHeight="1"/>
    <row r="388" ht="400" customHeight="1"/>
    <row r="389" ht="400" customHeight="1"/>
    <row r="390" ht="400" customHeight="1"/>
    <row r="391" ht="400" customHeight="1"/>
    <row r="392" ht="400" customHeight="1"/>
    <row r="393" ht="400" customHeight="1"/>
    <row r="394" ht="400" customHeight="1"/>
    <row r="395" ht="400" customHeight="1"/>
    <row r="396" ht="400" customHeight="1"/>
    <row r="397" ht="400" customHeight="1"/>
    <row r="398" ht="400" customHeight="1"/>
    <row r="399" ht="400" customHeight="1"/>
    <row r="400" ht="400" customHeight="1"/>
    <row r="401" ht="400" customHeight="1"/>
    <row r="402" ht="400" customHeight="1"/>
    <row r="403" ht="400" customHeight="1"/>
    <row r="404" ht="400" customHeight="1"/>
    <row r="405" ht="400" customHeight="1"/>
    <row r="406" ht="400" customHeight="1"/>
    <row r="407" ht="400" customHeight="1"/>
    <row r="408" ht="400" customHeight="1"/>
    <row r="409" ht="400" customHeight="1"/>
    <row r="410" ht="400" customHeight="1"/>
    <row r="411" ht="400" customHeight="1"/>
    <row r="412" ht="400" customHeight="1"/>
    <row r="413" ht="400" customHeight="1"/>
    <row r="414" ht="400" customHeight="1"/>
    <row r="415" ht="400" customHeight="1"/>
    <row r="416" ht="400" customHeight="1"/>
    <row r="417" ht="400" customHeight="1"/>
    <row r="418" ht="400" customHeight="1"/>
    <row r="419" ht="400" customHeight="1"/>
    <row r="420" ht="400" customHeight="1"/>
    <row r="421" ht="400" customHeight="1"/>
    <row r="422" ht="400" customHeight="1"/>
    <row r="423" ht="400" customHeight="1"/>
    <row r="424" ht="400" customHeight="1"/>
    <row r="425" ht="400" customHeight="1"/>
    <row r="426" ht="400" customHeight="1"/>
    <row r="427" ht="400" customHeight="1"/>
    <row r="428" ht="400" customHeight="1"/>
    <row r="429" ht="400" customHeight="1"/>
    <row r="430" ht="400" customHeight="1"/>
    <row r="431" ht="400" customHeight="1"/>
    <row r="432" ht="400" customHeight="1"/>
    <row r="433" ht="400" customHeight="1"/>
    <row r="434" ht="400" customHeight="1"/>
    <row r="435" ht="400" customHeight="1"/>
    <row r="436" ht="400" customHeight="1"/>
    <row r="437" ht="400" customHeight="1"/>
    <row r="438" ht="400" customHeight="1"/>
    <row r="439" ht="400" customHeight="1"/>
    <row r="440" ht="400" customHeight="1"/>
    <row r="441" ht="400" customHeight="1"/>
    <row r="442" ht="400" customHeight="1"/>
    <row r="443" ht="400" customHeight="1"/>
    <row r="444" ht="400" customHeight="1"/>
    <row r="445" ht="400" customHeight="1"/>
    <row r="446" ht="400" customHeight="1"/>
    <row r="447" ht="400" customHeight="1"/>
    <row r="448" ht="400" customHeight="1"/>
    <row r="449" ht="400" customHeight="1"/>
    <row r="450" ht="400" customHeight="1"/>
    <row r="451" ht="400" customHeight="1"/>
    <row r="452" ht="400" customHeight="1"/>
    <row r="453" ht="400" customHeight="1"/>
    <row r="454" ht="400" customHeight="1"/>
    <row r="455" ht="400" customHeight="1"/>
    <row r="456" ht="400" customHeight="1"/>
    <row r="457" ht="400" customHeight="1"/>
    <row r="458" ht="400" customHeight="1"/>
    <row r="459" ht="400" customHeight="1"/>
    <row r="460" ht="400" customHeight="1"/>
    <row r="461" ht="400" customHeight="1"/>
    <row r="462" ht="400" customHeight="1"/>
    <row r="463" ht="400" customHeight="1"/>
    <row r="464" ht="400" customHeight="1"/>
    <row r="465" ht="400" customHeight="1"/>
    <row r="466" ht="400" customHeight="1"/>
    <row r="467" ht="400" customHeight="1"/>
    <row r="468" ht="400" customHeight="1"/>
    <row r="469" ht="400" customHeight="1"/>
    <row r="470" ht="400" customHeight="1"/>
    <row r="471" ht="400" customHeight="1"/>
    <row r="472" ht="400" customHeight="1"/>
    <row r="473" ht="400" customHeight="1"/>
    <row r="474" ht="400" customHeight="1"/>
    <row r="475" ht="400" customHeight="1"/>
    <row r="476" ht="400" customHeight="1"/>
    <row r="477" ht="400" customHeight="1"/>
    <row r="478" ht="400" customHeight="1"/>
    <row r="479" ht="400" customHeight="1"/>
    <row r="480" ht="400" customHeight="1"/>
    <row r="481" ht="400" customHeight="1"/>
    <row r="482" ht="400" customHeight="1"/>
    <row r="483" ht="400" customHeight="1"/>
    <row r="484" ht="400" customHeight="1"/>
    <row r="485" ht="400" customHeight="1"/>
    <row r="486" ht="400" customHeight="1"/>
    <row r="487" ht="400" customHeight="1"/>
    <row r="488" ht="400" customHeight="1"/>
    <row r="489" ht="400" customHeight="1"/>
    <row r="490" ht="400" customHeight="1"/>
    <row r="491" ht="400" customHeight="1"/>
    <row r="492" ht="400" customHeight="1"/>
    <row r="493" ht="400" customHeight="1"/>
    <row r="494" ht="400" customHeight="1"/>
    <row r="495" ht="400" customHeight="1"/>
    <row r="496" ht="400" customHeight="1"/>
    <row r="497" ht="400" customHeight="1"/>
    <row r="498" ht="400" customHeight="1"/>
    <row r="499" ht="400" customHeight="1"/>
    <row r="500" ht="400" customHeight="1"/>
    <row r="501" ht="400" customHeight="1"/>
    <row r="502" ht="400" customHeight="1"/>
    <row r="503" ht="400" customHeight="1"/>
    <row r="504" ht="400" customHeight="1"/>
    <row r="505" ht="400" customHeight="1"/>
    <row r="506" ht="400" customHeight="1"/>
    <row r="507" ht="400" customHeight="1"/>
    <row r="508" ht="400" customHeight="1"/>
    <row r="509" ht="400" customHeight="1"/>
    <row r="510" ht="400" customHeight="1"/>
    <row r="511" ht="400" customHeight="1"/>
    <row r="512" ht="400" customHeight="1"/>
    <row r="513" ht="400" customHeight="1"/>
    <row r="514" ht="400" customHeight="1"/>
    <row r="515" ht="400" customHeight="1"/>
    <row r="516" ht="400" customHeight="1"/>
    <row r="517" ht="400" customHeight="1"/>
    <row r="518" ht="400" customHeight="1"/>
    <row r="519" ht="400" customHeight="1"/>
    <row r="520" ht="400" customHeight="1"/>
    <row r="521" ht="400" customHeight="1"/>
    <row r="522" ht="400" customHeight="1"/>
    <row r="523" ht="400" customHeight="1"/>
    <row r="524" ht="400" customHeight="1"/>
    <row r="525" ht="400" customHeight="1"/>
    <row r="526" ht="400" customHeight="1"/>
    <row r="527" ht="400" customHeight="1"/>
    <row r="528" ht="400" customHeight="1"/>
    <row r="529" ht="400" customHeight="1"/>
    <row r="530" ht="400" customHeight="1"/>
    <row r="531" ht="400" customHeight="1"/>
    <row r="532" ht="400" customHeight="1"/>
    <row r="533" ht="400" customHeight="1"/>
    <row r="534" ht="400" customHeight="1"/>
    <row r="535" ht="400" customHeight="1"/>
    <row r="536" ht="400" customHeight="1"/>
    <row r="537" ht="400" customHeight="1"/>
    <row r="538" ht="400" customHeight="1"/>
    <row r="539" ht="400" customHeight="1"/>
    <row r="540" ht="400" customHeight="1"/>
    <row r="541" ht="400" customHeight="1"/>
    <row r="542" ht="400" customHeight="1"/>
    <row r="543" ht="400" customHeight="1"/>
    <row r="544" ht="400" customHeight="1"/>
    <row r="545" ht="400" customHeight="1"/>
    <row r="546" ht="400" customHeight="1"/>
    <row r="547" ht="400" customHeight="1"/>
    <row r="548" ht="400" customHeight="1"/>
    <row r="549" ht="400" customHeight="1"/>
    <row r="550" ht="400" customHeight="1"/>
    <row r="551" ht="400" customHeight="1"/>
    <row r="552" ht="400" customHeight="1"/>
    <row r="553" ht="400" customHeight="1"/>
    <row r="554" ht="400" customHeight="1"/>
    <row r="555" ht="400" customHeight="1"/>
    <row r="556" ht="400" customHeight="1"/>
    <row r="557" ht="400" customHeight="1"/>
    <row r="558" ht="400" customHeight="1"/>
    <row r="559" ht="400" customHeight="1"/>
    <row r="560" ht="400" customHeight="1"/>
    <row r="561" ht="400" customHeight="1"/>
    <row r="562" ht="400" customHeight="1"/>
    <row r="563" ht="400" customHeight="1"/>
    <row r="564" ht="400" customHeight="1"/>
    <row r="565" ht="400" customHeight="1"/>
    <row r="566" ht="400" customHeight="1"/>
    <row r="567" ht="400" customHeight="1"/>
    <row r="568" ht="400" customHeight="1"/>
    <row r="569" ht="400" customHeight="1"/>
    <row r="570" ht="400" customHeight="1"/>
    <row r="571" ht="400" customHeight="1"/>
    <row r="572" ht="400" customHeight="1"/>
    <row r="573" ht="400" customHeight="1"/>
    <row r="574" ht="400" customHeight="1"/>
    <row r="575" ht="400" customHeight="1"/>
    <row r="576" ht="400" customHeight="1"/>
    <row r="577" ht="400" customHeight="1"/>
    <row r="578" ht="400" customHeight="1"/>
    <row r="579" ht="400" customHeight="1"/>
    <row r="580" ht="400" customHeight="1"/>
    <row r="581" ht="400" customHeight="1"/>
    <row r="582" ht="400" customHeight="1"/>
    <row r="583" ht="400" customHeight="1"/>
    <row r="584" ht="400" customHeight="1"/>
    <row r="585" ht="400" customHeight="1"/>
    <row r="586" ht="400" customHeight="1"/>
    <row r="587" ht="400" customHeight="1"/>
    <row r="588" ht="400" customHeight="1"/>
    <row r="589" ht="400" customHeight="1"/>
    <row r="590" ht="400" customHeight="1"/>
    <row r="591" ht="400" customHeight="1"/>
    <row r="592" ht="400" customHeight="1"/>
    <row r="593" ht="400" customHeight="1"/>
    <row r="594" ht="400" customHeight="1"/>
    <row r="595" ht="400" customHeight="1"/>
    <row r="596" ht="400" customHeight="1"/>
    <row r="597" ht="400" customHeight="1"/>
    <row r="598" ht="400" customHeight="1"/>
    <row r="599" ht="400" customHeight="1"/>
    <row r="600" ht="400" customHeight="1"/>
    <row r="601" ht="400" customHeight="1"/>
    <row r="602" ht="400" customHeight="1"/>
    <row r="603" ht="400" customHeight="1"/>
    <row r="604" ht="400" customHeight="1"/>
    <row r="605" ht="400" customHeight="1"/>
    <row r="606" ht="400" customHeight="1"/>
    <row r="607" ht="400" customHeight="1"/>
    <row r="608" ht="400" customHeight="1"/>
    <row r="609" ht="400" customHeight="1"/>
    <row r="610" ht="400" customHeight="1"/>
    <row r="611" ht="400" customHeight="1"/>
    <row r="612" ht="400" customHeight="1"/>
    <row r="613" ht="400" customHeight="1"/>
    <row r="614" ht="400" customHeight="1"/>
    <row r="615" ht="400" customHeight="1"/>
    <row r="616" ht="400" customHeight="1"/>
    <row r="617" ht="400" customHeight="1"/>
    <row r="618" ht="400" customHeight="1"/>
    <row r="619" ht="400" customHeight="1"/>
    <row r="620" ht="400" customHeight="1"/>
    <row r="621" ht="400" customHeight="1"/>
    <row r="622" ht="400" customHeight="1"/>
    <row r="623" ht="400" customHeight="1"/>
    <row r="624" ht="400" customHeight="1"/>
    <row r="625" ht="400" customHeight="1"/>
    <row r="626" ht="400" customHeight="1"/>
    <row r="627" ht="400" customHeight="1"/>
    <row r="628" ht="400" customHeight="1"/>
    <row r="629" ht="400" customHeight="1"/>
    <row r="630" ht="400" customHeight="1"/>
    <row r="631" ht="400" customHeight="1"/>
    <row r="632" ht="400" customHeight="1"/>
    <row r="633" ht="400" customHeight="1"/>
    <row r="634" ht="400" customHeight="1"/>
    <row r="635" ht="400" customHeight="1"/>
    <row r="636" ht="400" customHeight="1"/>
    <row r="637" ht="400" customHeight="1"/>
    <row r="638" ht="400" customHeight="1"/>
    <row r="639" ht="400" customHeight="1"/>
    <row r="640" ht="400" customHeight="1"/>
    <row r="641" ht="400" customHeight="1"/>
    <row r="642" ht="400" customHeight="1"/>
    <row r="643" ht="400" customHeight="1"/>
    <row r="644" ht="400" customHeight="1"/>
    <row r="645" ht="400" customHeight="1"/>
    <row r="646" ht="400" customHeight="1"/>
    <row r="647" ht="400" customHeight="1"/>
    <row r="648" ht="400" customHeight="1"/>
    <row r="649" ht="400" customHeight="1"/>
    <row r="650" ht="400" customHeight="1"/>
    <row r="651" ht="400" customHeight="1"/>
    <row r="652" ht="400" customHeight="1"/>
    <row r="653" ht="400" customHeight="1"/>
    <row r="654" ht="400" customHeight="1"/>
    <row r="655" ht="400" customHeight="1"/>
    <row r="656" ht="400" customHeight="1"/>
    <row r="657" ht="400" customHeight="1"/>
    <row r="658" ht="400" customHeight="1"/>
    <row r="659" ht="400" customHeight="1"/>
    <row r="660" ht="400" customHeight="1"/>
    <row r="661" ht="400" customHeight="1"/>
    <row r="662" ht="400" customHeight="1"/>
    <row r="663" ht="400" customHeight="1"/>
    <row r="664" ht="400" customHeight="1"/>
    <row r="665" ht="400" customHeight="1"/>
    <row r="666" ht="400" customHeight="1"/>
    <row r="667" ht="400" customHeight="1"/>
    <row r="668" ht="400" customHeight="1"/>
    <row r="669" ht="400" customHeight="1"/>
    <row r="670" ht="400" customHeight="1"/>
    <row r="671" ht="400" customHeight="1"/>
    <row r="672" ht="400" customHeight="1"/>
    <row r="673" ht="400" customHeight="1"/>
    <row r="674" ht="400" customHeight="1"/>
    <row r="675" ht="400" customHeight="1"/>
    <row r="676" ht="400" customHeight="1"/>
    <row r="677" ht="400" customHeight="1"/>
    <row r="678" ht="400" customHeight="1"/>
    <row r="679" ht="400" customHeight="1"/>
    <row r="680" ht="400" customHeight="1"/>
    <row r="681" ht="400" customHeight="1"/>
    <row r="682" ht="400" customHeight="1"/>
    <row r="683" ht="400" customHeight="1"/>
    <row r="684" ht="400" customHeight="1"/>
    <row r="685" ht="400" customHeight="1"/>
    <row r="686" ht="400" customHeight="1"/>
    <row r="687" ht="400" customHeight="1"/>
    <row r="688" ht="400" customHeight="1"/>
    <row r="689" ht="400" customHeight="1"/>
    <row r="690" ht="400" customHeight="1"/>
    <row r="691" ht="400" customHeight="1"/>
    <row r="692" ht="400" customHeight="1"/>
    <row r="693" ht="400" customHeight="1"/>
    <row r="694" ht="400" customHeight="1"/>
    <row r="695" ht="400" customHeight="1"/>
    <row r="696" ht="400" customHeight="1"/>
    <row r="697" ht="400" customHeight="1"/>
    <row r="698" ht="400" customHeight="1"/>
    <row r="699" ht="400" customHeight="1"/>
    <row r="700" ht="400" customHeight="1"/>
    <row r="701" ht="400" customHeight="1"/>
    <row r="702" ht="400" customHeight="1"/>
    <row r="703" ht="400" customHeight="1"/>
    <row r="704" ht="400" customHeight="1"/>
    <row r="705" ht="400" customHeight="1"/>
    <row r="706" ht="400" customHeight="1"/>
    <row r="707" ht="400" customHeight="1"/>
    <row r="708" ht="400" customHeight="1"/>
    <row r="709" ht="400" customHeight="1"/>
    <row r="710" ht="400" customHeight="1"/>
    <row r="711" ht="400" customHeight="1"/>
    <row r="712" ht="400" customHeight="1"/>
    <row r="713" ht="400" customHeight="1"/>
    <row r="714" ht="400" customHeight="1"/>
    <row r="715" ht="400" customHeight="1"/>
    <row r="716" ht="400" customHeight="1"/>
    <row r="717" ht="400" customHeight="1"/>
    <row r="718" ht="400" customHeight="1"/>
    <row r="719" ht="400" customHeight="1"/>
    <row r="720" ht="400" customHeight="1"/>
    <row r="721" ht="400" customHeight="1"/>
    <row r="722" ht="400" customHeight="1"/>
    <row r="723" ht="400" customHeight="1"/>
    <row r="724" ht="400" customHeight="1"/>
    <row r="725" ht="400" customHeight="1"/>
    <row r="726" ht="400" customHeight="1"/>
    <row r="727" ht="400" customHeight="1"/>
    <row r="728" ht="400" customHeight="1"/>
    <row r="729" ht="400" customHeight="1"/>
    <row r="730" ht="400" customHeight="1"/>
    <row r="731" ht="400" customHeight="1"/>
    <row r="732" ht="400" customHeight="1"/>
    <row r="733" ht="400" customHeight="1"/>
    <row r="734" ht="400" customHeight="1"/>
    <row r="735" ht="400" customHeight="1"/>
    <row r="736" ht="400" customHeight="1"/>
    <row r="737" ht="400" customHeight="1"/>
    <row r="738" ht="400" customHeight="1"/>
    <row r="739" ht="400" customHeight="1"/>
    <row r="740" ht="400" customHeight="1"/>
    <row r="741" ht="400" customHeight="1"/>
    <row r="742" ht="400" customHeight="1"/>
    <row r="743" ht="400" customHeight="1"/>
    <row r="744" ht="400" customHeight="1"/>
    <row r="745" ht="400" customHeight="1"/>
    <row r="746" ht="400" customHeight="1"/>
    <row r="747" ht="400" customHeight="1"/>
    <row r="748" ht="400" customHeight="1"/>
    <row r="749" ht="400" customHeight="1"/>
    <row r="750" ht="400" customHeight="1"/>
    <row r="751" ht="400" customHeight="1"/>
    <row r="752" ht="400" customHeight="1"/>
    <row r="753" ht="400" customHeight="1"/>
    <row r="754" ht="400" customHeight="1"/>
    <row r="755" ht="400" customHeight="1"/>
    <row r="756" ht="400" customHeight="1"/>
    <row r="757" ht="400" customHeight="1"/>
    <row r="758" ht="400" customHeight="1"/>
    <row r="759" ht="400" customHeight="1"/>
    <row r="760" ht="400" customHeight="1"/>
    <row r="761" ht="400" customHeight="1"/>
    <row r="762" ht="400" customHeight="1"/>
    <row r="763" ht="400" customHeight="1"/>
    <row r="764" ht="400" customHeight="1"/>
    <row r="765" ht="400" customHeight="1"/>
    <row r="766" ht="400" customHeight="1"/>
    <row r="767" ht="400" customHeight="1"/>
    <row r="768" ht="400" customHeight="1"/>
    <row r="769" ht="400" customHeight="1"/>
    <row r="770" ht="400" customHeight="1"/>
    <row r="771" ht="400" customHeight="1"/>
    <row r="772" ht="400" customHeight="1"/>
    <row r="773" ht="400" customHeight="1"/>
    <row r="774" ht="400" customHeight="1"/>
    <row r="775" ht="400" customHeight="1"/>
    <row r="776" ht="400" customHeight="1"/>
    <row r="777" ht="400" customHeight="1"/>
    <row r="778" ht="400" customHeight="1"/>
    <row r="779" ht="400" customHeight="1"/>
    <row r="780" ht="400" customHeight="1"/>
    <row r="781" ht="400" customHeight="1"/>
    <row r="782" ht="400" customHeight="1"/>
    <row r="783" ht="400" customHeight="1"/>
    <row r="784" ht="400" customHeight="1"/>
    <row r="785" ht="400" customHeight="1"/>
    <row r="786" ht="400" customHeight="1"/>
    <row r="787" ht="400" customHeight="1"/>
    <row r="788" ht="400" customHeight="1"/>
    <row r="789" ht="400" customHeight="1"/>
    <row r="790" ht="400" customHeight="1"/>
    <row r="791" ht="400" customHeight="1"/>
    <row r="792" ht="400" customHeight="1"/>
    <row r="793" ht="400" customHeight="1"/>
    <row r="794" ht="400" customHeight="1"/>
    <row r="795" ht="400" customHeight="1"/>
    <row r="796" ht="400" customHeight="1"/>
    <row r="797" ht="400" customHeight="1"/>
    <row r="798" ht="400" customHeight="1"/>
    <row r="799" ht="400" customHeight="1"/>
    <row r="800" ht="400" customHeight="1"/>
    <row r="801" ht="400" customHeight="1"/>
    <row r="802" ht="400" customHeight="1"/>
    <row r="803" ht="400" customHeight="1"/>
    <row r="804" ht="400" customHeight="1"/>
    <row r="805" ht="400" customHeight="1"/>
    <row r="806" ht="400" customHeight="1"/>
    <row r="807" ht="400" customHeight="1"/>
    <row r="808" ht="400" customHeight="1"/>
    <row r="809" ht="400" customHeight="1"/>
    <row r="810" ht="400" customHeight="1"/>
    <row r="811" ht="400" customHeight="1"/>
    <row r="812" ht="400" customHeight="1"/>
    <row r="813" ht="400" customHeight="1"/>
    <row r="814" ht="400" customHeight="1"/>
    <row r="815" ht="400" customHeight="1"/>
    <row r="816" ht="400" customHeight="1"/>
    <row r="817" ht="400" customHeight="1"/>
    <row r="818" ht="400" customHeight="1"/>
    <row r="819" ht="400" customHeight="1"/>
    <row r="820" ht="400" customHeight="1"/>
    <row r="821" ht="400" customHeight="1"/>
    <row r="822" ht="400" customHeight="1"/>
    <row r="823" ht="400" customHeight="1"/>
    <row r="824" ht="400" customHeight="1"/>
    <row r="825" ht="400" customHeight="1"/>
    <row r="826" ht="400" customHeight="1"/>
    <row r="827" ht="400" customHeight="1"/>
    <row r="828" ht="400" customHeight="1"/>
    <row r="829" ht="400" customHeight="1"/>
    <row r="830" ht="400" customHeight="1"/>
    <row r="831" ht="400" customHeight="1"/>
    <row r="832" ht="400" customHeight="1"/>
    <row r="833" ht="400" customHeight="1"/>
    <row r="834" ht="400" customHeight="1"/>
    <row r="835" ht="400" customHeight="1"/>
    <row r="836" ht="400" customHeight="1"/>
    <row r="837" ht="400" customHeight="1"/>
    <row r="838" ht="400" customHeight="1"/>
    <row r="839" ht="400" customHeight="1"/>
    <row r="840" ht="400" customHeight="1"/>
    <row r="841" ht="400" customHeight="1"/>
    <row r="842" ht="400" customHeight="1"/>
    <row r="843" ht="400" customHeight="1"/>
    <row r="844" ht="400" customHeight="1"/>
    <row r="845" ht="400" customHeight="1"/>
    <row r="846" ht="400" customHeight="1"/>
    <row r="847" ht="400" customHeight="1"/>
    <row r="848" ht="400" customHeight="1"/>
    <row r="849" ht="400" customHeight="1"/>
    <row r="850" ht="400" customHeight="1"/>
    <row r="851" ht="400" customHeight="1"/>
    <row r="852" ht="400" customHeight="1"/>
    <row r="853" ht="400" customHeight="1"/>
    <row r="854" ht="400" customHeight="1"/>
    <row r="855" ht="400" customHeight="1"/>
    <row r="856" ht="400" customHeight="1"/>
    <row r="857" ht="400" customHeight="1"/>
    <row r="858" ht="400" customHeight="1"/>
    <row r="859" ht="400" customHeight="1"/>
    <row r="860" ht="400" customHeight="1"/>
    <row r="861" ht="400" customHeight="1"/>
    <row r="862" ht="400" customHeight="1"/>
    <row r="863" ht="400" customHeight="1"/>
    <row r="864" ht="400" customHeight="1"/>
    <row r="865" ht="400" customHeight="1"/>
    <row r="866" ht="400" customHeight="1"/>
    <row r="867" ht="400" customHeight="1"/>
    <row r="868" ht="400" customHeight="1"/>
    <row r="869" ht="400" customHeight="1"/>
    <row r="870" ht="400" customHeight="1"/>
    <row r="871" ht="400" customHeight="1"/>
    <row r="872" ht="400" customHeight="1"/>
    <row r="873" ht="400" customHeight="1"/>
    <row r="874" ht="400" customHeight="1"/>
    <row r="875" ht="400" customHeight="1"/>
    <row r="876" ht="400" customHeight="1"/>
    <row r="877" ht="400" customHeight="1"/>
    <row r="878" ht="400" customHeight="1"/>
    <row r="879" ht="400" customHeight="1"/>
    <row r="880" ht="400" customHeight="1"/>
    <row r="881" ht="400" customHeight="1"/>
    <row r="882" ht="400" customHeight="1"/>
    <row r="883" ht="400" customHeight="1"/>
    <row r="884" ht="400" customHeight="1"/>
    <row r="885" ht="400" customHeight="1"/>
    <row r="886" ht="400" customHeight="1"/>
    <row r="887" ht="400" customHeight="1"/>
    <row r="888" ht="400" customHeight="1"/>
    <row r="889" ht="400" customHeight="1"/>
    <row r="890" ht="400" customHeight="1"/>
    <row r="891" ht="400" customHeight="1"/>
    <row r="892" ht="400" customHeight="1"/>
    <row r="893" ht="400" customHeight="1"/>
    <row r="894" ht="400" customHeight="1"/>
    <row r="895" ht="400" customHeight="1"/>
    <row r="896" ht="400" customHeight="1"/>
    <row r="897" ht="400" customHeight="1"/>
    <row r="898" ht="400" customHeight="1"/>
    <row r="899" ht="400" customHeight="1"/>
    <row r="900" ht="400" customHeight="1"/>
    <row r="901" ht="400" customHeight="1"/>
    <row r="902" ht="400" customHeight="1"/>
    <row r="903" ht="400" customHeight="1"/>
    <row r="904" ht="400" customHeight="1"/>
    <row r="905" ht="400" customHeight="1"/>
    <row r="906" ht="400" customHeight="1"/>
    <row r="907" ht="400" customHeight="1"/>
    <row r="908" ht="400" customHeight="1"/>
    <row r="909" ht="400" customHeight="1"/>
    <row r="910" ht="400" customHeight="1"/>
    <row r="911" ht="400" customHeight="1"/>
    <row r="912" ht="400" customHeight="1"/>
    <row r="913" ht="400" customHeight="1"/>
    <row r="914" ht="400" customHeight="1"/>
    <row r="915" ht="400" customHeight="1"/>
    <row r="916" ht="400" customHeight="1"/>
    <row r="917" ht="400" customHeight="1"/>
    <row r="918" ht="400" customHeight="1"/>
    <row r="919" ht="400" customHeight="1"/>
    <row r="920" ht="400" customHeight="1"/>
    <row r="921" ht="400" customHeight="1"/>
    <row r="922" ht="400" customHeight="1"/>
    <row r="923" ht="400" customHeight="1"/>
    <row r="924" ht="400" customHeight="1"/>
    <row r="925" ht="400" customHeight="1"/>
    <row r="926" ht="400" customHeight="1"/>
    <row r="927" ht="400" customHeight="1"/>
    <row r="928" ht="400" customHeight="1"/>
    <row r="929" ht="400" customHeight="1"/>
    <row r="930" ht="400" customHeight="1"/>
    <row r="931" ht="400" customHeight="1"/>
    <row r="932" ht="400" customHeight="1"/>
    <row r="933" ht="400" customHeight="1"/>
    <row r="934" ht="400" customHeight="1"/>
    <row r="935" ht="400" customHeight="1"/>
    <row r="936" ht="400" customHeight="1"/>
    <row r="937" ht="400" customHeight="1"/>
    <row r="938" ht="400" customHeight="1"/>
    <row r="939" ht="400" customHeight="1"/>
    <row r="940" ht="400" customHeight="1"/>
    <row r="941" ht="400" customHeight="1"/>
    <row r="942" ht="400" customHeight="1"/>
    <row r="943" ht="400" customHeight="1"/>
    <row r="944" ht="400" customHeight="1"/>
    <row r="945" ht="400" customHeight="1"/>
    <row r="946" ht="400" customHeight="1"/>
    <row r="947" ht="400" customHeight="1"/>
    <row r="948" ht="400" customHeight="1"/>
    <row r="949" ht="400" customHeight="1"/>
    <row r="950" ht="400" customHeight="1"/>
    <row r="951" ht="400" customHeight="1"/>
    <row r="952" ht="400" customHeight="1"/>
    <row r="953" ht="400" customHeight="1"/>
    <row r="954" ht="400" customHeight="1"/>
    <row r="955" ht="400" customHeight="1"/>
    <row r="956" ht="400" customHeight="1"/>
    <row r="957" ht="400" customHeight="1"/>
    <row r="958" ht="400" customHeight="1"/>
    <row r="959" ht="400" customHeight="1"/>
    <row r="960" ht="400" customHeight="1"/>
    <row r="961" ht="400" customHeight="1"/>
    <row r="962" ht="400" customHeight="1"/>
    <row r="963" ht="400" customHeight="1"/>
    <row r="964" ht="400" customHeight="1"/>
    <row r="965" ht="400" customHeight="1"/>
    <row r="966" ht="400" customHeight="1"/>
    <row r="967" ht="400" customHeight="1"/>
    <row r="968" ht="400" customHeight="1"/>
    <row r="969" ht="400" customHeight="1"/>
    <row r="970" ht="400" customHeight="1"/>
    <row r="971" ht="400" customHeight="1"/>
    <row r="972" ht="400" customHeight="1"/>
    <row r="973" ht="400" customHeight="1"/>
    <row r="974" ht="400" customHeight="1"/>
    <row r="975" ht="400" customHeight="1"/>
    <row r="976" ht="400" customHeight="1"/>
    <row r="977" ht="400" customHeight="1"/>
    <row r="978" ht="400" customHeight="1"/>
    <row r="979" ht="400" customHeight="1"/>
    <row r="980" ht="400" customHeight="1"/>
    <row r="981" ht="400" customHeight="1"/>
    <row r="982" ht="400" customHeight="1"/>
    <row r="983" ht="400" customHeight="1"/>
    <row r="984" ht="400" customHeight="1"/>
    <row r="985" ht="400" customHeight="1"/>
    <row r="986" ht="400" customHeight="1"/>
    <row r="987" ht="400" customHeight="1"/>
    <row r="988" ht="400" customHeight="1"/>
    <row r="989" ht="400" customHeight="1"/>
    <row r="990" ht="400" customHeight="1"/>
    <row r="991" ht="400" customHeight="1"/>
    <row r="992" ht="400" customHeight="1"/>
    <row r="993" ht="400" customHeight="1"/>
    <row r="994" ht="400" customHeight="1"/>
    <row r="995" ht="400" customHeight="1"/>
    <row r="996" ht="400" customHeight="1"/>
    <row r="997" ht="400" customHeight="1"/>
    <row r="998" ht="400" customHeight="1"/>
    <row r="999" ht="400" customHeight="1"/>
    <row r="1000" ht="400" customHeight="1"/>
    <row r="1001" ht="400" customHeight="1"/>
    <row r="1002" ht="400" customHeight="1"/>
    <row r="1003" ht="400" customHeight="1"/>
    <row r="1004" ht="400" customHeight="1"/>
    <row r="1005" ht="400" customHeight="1"/>
    <row r="1006" ht="400" customHeight="1"/>
    <row r="1007" ht="400" customHeight="1"/>
    <row r="1008" ht="400" customHeight="1"/>
    <row r="1009" ht="400" customHeight="1"/>
    <row r="1010" ht="400" customHeight="1"/>
    <row r="1011" ht="400" customHeight="1"/>
    <row r="1012" ht="400" customHeight="1"/>
    <row r="1013" ht="400" customHeight="1"/>
    <row r="1014" ht="400" customHeight="1"/>
    <row r="1015" ht="400" customHeight="1"/>
    <row r="1016" ht="400" customHeight="1"/>
    <row r="1017" ht="400" customHeight="1"/>
    <row r="1018" ht="400" customHeight="1"/>
    <row r="1019" ht="400" customHeight="1"/>
    <row r="1020" ht="400" customHeight="1"/>
    <row r="1021" ht="400" customHeight="1"/>
    <row r="1022" ht="400" customHeight="1"/>
    <row r="1023" ht="400" customHeight="1"/>
    <row r="1024" ht="400" customHeight="1"/>
    <row r="1025" ht="400" customHeight="1"/>
    <row r="1026" ht="400" customHeight="1"/>
    <row r="1027" ht="400" customHeight="1"/>
    <row r="1028" ht="400" customHeight="1"/>
    <row r="1029" ht="400" customHeight="1"/>
    <row r="1030" ht="400" customHeight="1"/>
    <row r="1031" ht="400" customHeight="1"/>
    <row r="1032" ht="400" customHeight="1"/>
    <row r="1033" ht="400" customHeight="1"/>
    <row r="1034" ht="400" customHeight="1"/>
    <row r="1035" ht="400" customHeight="1"/>
    <row r="1036" ht="400" customHeight="1"/>
    <row r="1037" ht="400" customHeight="1"/>
    <row r="1038" ht="400" customHeight="1"/>
    <row r="1039" ht="400" customHeight="1"/>
    <row r="1040" ht="400" customHeight="1"/>
    <row r="1041" ht="400" customHeight="1"/>
    <row r="1042" ht="400" customHeight="1"/>
    <row r="1043" ht="400" customHeight="1"/>
    <row r="1044" ht="400" customHeight="1"/>
    <row r="1045" ht="400" customHeight="1"/>
    <row r="1046" ht="400" customHeight="1"/>
    <row r="1047" ht="400" customHeight="1"/>
    <row r="1048" ht="400" customHeight="1"/>
    <row r="1049" ht="400" customHeight="1"/>
    <row r="1050" ht="400" customHeight="1"/>
    <row r="1051" ht="400" customHeight="1"/>
    <row r="1052" ht="400" customHeight="1"/>
    <row r="1053" ht="400" customHeight="1"/>
    <row r="1054" ht="400" customHeight="1"/>
    <row r="1055" ht="400" customHeight="1"/>
    <row r="1056" ht="400" customHeight="1"/>
    <row r="1057" ht="400" customHeight="1"/>
    <row r="1058" ht="400" customHeight="1"/>
    <row r="1059" ht="400" customHeight="1"/>
    <row r="1060" ht="400" customHeight="1"/>
    <row r="1061" ht="400" customHeight="1"/>
    <row r="1062" ht="400" customHeight="1"/>
    <row r="1063" ht="400" customHeight="1"/>
    <row r="1064" ht="400" customHeight="1"/>
    <row r="1065" ht="400" customHeight="1"/>
    <row r="1066" ht="400" customHeight="1"/>
    <row r="1067" ht="400" customHeight="1"/>
    <row r="1068" ht="400" customHeight="1"/>
    <row r="1069" ht="400" customHeight="1"/>
    <row r="1070" ht="400" customHeight="1"/>
    <row r="1071" ht="400" customHeight="1"/>
    <row r="1072" ht="400" customHeight="1"/>
    <row r="1073" ht="400" customHeight="1"/>
    <row r="1074" ht="400" customHeight="1"/>
    <row r="1075" ht="400" customHeight="1"/>
    <row r="1076" ht="400" customHeight="1"/>
    <row r="1077" ht="400" customHeight="1"/>
    <row r="1078" ht="400" customHeight="1"/>
    <row r="1079" ht="400" customHeight="1"/>
    <row r="1080" ht="400" customHeight="1"/>
    <row r="1081" ht="400" customHeight="1"/>
    <row r="1082" ht="400" customHeight="1"/>
    <row r="1083" ht="400" customHeight="1"/>
    <row r="1084" ht="400" customHeight="1"/>
    <row r="1085" ht="400" customHeight="1"/>
    <row r="1086" ht="400" customHeight="1"/>
    <row r="1087" ht="400" customHeight="1"/>
    <row r="1088" ht="400" customHeight="1"/>
    <row r="1089" ht="400" customHeight="1"/>
    <row r="1090" ht="400" customHeight="1"/>
    <row r="1091" ht="400" customHeight="1"/>
    <row r="1092" ht="400" customHeight="1"/>
    <row r="1093" ht="400" customHeight="1"/>
    <row r="1094" ht="400" customHeight="1"/>
    <row r="1095" ht="400" customHeight="1"/>
    <row r="1096" ht="400" customHeight="1"/>
    <row r="1097" ht="400" customHeight="1"/>
    <row r="1098" ht="400" customHeight="1"/>
    <row r="1099" ht="400" customHeight="1"/>
    <row r="1100" ht="400" customHeight="1"/>
    <row r="1101" ht="400" customHeight="1"/>
    <row r="1102" ht="400" customHeight="1"/>
    <row r="1103" ht="400" customHeight="1"/>
    <row r="1104" ht="400" customHeight="1"/>
    <row r="1105" ht="400" customHeight="1"/>
    <row r="1106" ht="400" customHeight="1"/>
    <row r="1107" ht="400" customHeight="1"/>
    <row r="1108" ht="400" customHeight="1"/>
    <row r="1109" ht="400" customHeight="1"/>
    <row r="1110" ht="400" customHeight="1"/>
    <row r="1111" ht="400" customHeight="1"/>
    <row r="1112" ht="400" customHeight="1"/>
    <row r="1113" ht="400" customHeight="1"/>
    <row r="1114" ht="400" customHeight="1"/>
    <row r="1115" ht="400" customHeight="1"/>
    <row r="1116" ht="400" customHeight="1"/>
    <row r="1117" ht="400" customHeight="1"/>
    <row r="1118" ht="400" customHeight="1"/>
    <row r="1119" ht="400" customHeight="1"/>
    <row r="1120" ht="400" customHeight="1"/>
    <row r="1121" ht="400" customHeight="1"/>
    <row r="1122" ht="400" customHeight="1"/>
    <row r="1123" ht="400" customHeight="1"/>
    <row r="1124" ht="400" customHeight="1"/>
    <row r="1125" ht="400" customHeight="1"/>
    <row r="1126" ht="400" customHeight="1"/>
    <row r="1127" ht="400" customHeight="1"/>
    <row r="1128" ht="400" customHeight="1"/>
    <row r="1129" ht="400" customHeight="1"/>
    <row r="1130" ht="400" customHeight="1"/>
    <row r="1131" ht="400" customHeight="1"/>
    <row r="1132" ht="400" customHeight="1"/>
    <row r="1133" ht="400" customHeight="1"/>
    <row r="1134" ht="400" customHeight="1"/>
    <row r="1135" ht="400" customHeight="1"/>
    <row r="1136" ht="400" customHeight="1"/>
    <row r="1137" ht="400" customHeight="1"/>
    <row r="1138" ht="400" customHeight="1"/>
    <row r="1139" ht="400" customHeight="1"/>
    <row r="1140" ht="400" customHeight="1"/>
    <row r="1141" ht="400" customHeight="1"/>
    <row r="1142" ht="400" customHeight="1"/>
    <row r="1143" ht="400" customHeight="1"/>
    <row r="1144" ht="400" customHeight="1"/>
    <row r="1145" ht="400" customHeight="1"/>
    <row r="1146" ht="400" customHeight="1"/>
    <row r="1147" ht="400" customHeight="1"/>
    <row r="1148" ht="400" customHeight="1"/>
    <row r="1149" ht="400" customHeight="1"/>
    <row r="1150" ht="400" customHeight="1"/>
    <row r="1151" ht="400" customHeight="1"/>
    <row r="1152" ht="400" customHeight="1"/>
    <row r="1153" ht="400" customHeight="1"/>
    <row r="1154" ht="400" customHeight="1"/>
    <row r="1155" ht="400" customHeight="1"/>
    <row r="1156" ht="400" customHeight="1"/>
    <row r="1157" ht="400" customHeight="1"/>
    <row r="1158" ht="400" customHeight="1"/>
    <row r="1159" ht="400" customHeight="1"/>
    <row r="1160" ht="400" customHeight="1"/>
    <row r="1161" ht="400" customHeight="1"/>
    <row r="1162" ht="400" customHeight="1"/>
    <row r="1163" ht="400" customHeight="1"/>
    <row r="1164" ht="400" customHeight="1"/>
    <row r="1165" ht="400" customHeight="1"/>
    <row r="1166" ht="400" customHeight="1"/>
    <row r="1167" ht="400" customHeight="1"/>
    <row r="1168" ht="400" customHeight="1"/>
    <row r="1169" ht="400" customHeight="1"/>
    <row r="1170" ht="400" customHeight="1"/>
    <row r="1171" ht="400" customHeight="1"/>
    <row r="1172" ht="400" customHeight="1"/>
    <row r="1173" ht="400" customHeight="1"/>
    <row r="1174" ht="400" customHeight="1"/>
    <row r="1175" ht="400" customHeight="1"/>
    <row r="1176" ht="400" customHeight="1"/>
    <row r="1177" ht="400" customHeight="1"/>
    <row r="1178" ht="400" customHeight="1"/>
    <row r="1179" ht="400" customHeight="1"/>
    <row r="1180" ht="400" customHeight="1"/>
    <row r="1181" ht="400" customHeight="1"/>
    <row r="1182" ht="400" customHeight="1"/>
    <row r="1183" ht="400" customHeight="1"/>
    <row r="1184" ht="400" customHeight="1"/>
    <row r="1185" ht="400" customHeight="1"/>
    <row r="1186" ht="400" customHeight="1"/>
    <row r="1187" ht="400" customHeight="1"/>
    <row r="1188" ht="400" customHeight="1"/>
    <row r="1189" ht="400" customHeight="1"/>
    <row r="1190" ht="400" customHeight="1"/>
    <row r="1191" ht="400" customHeight="1"/>
    <row r="1192" ht="400" customHeight="1"/>
    <row r="1193" ht="400" customHeight="1"/>
    <row r="1194" ht="400" customHeight="1"/>
    <row r="1195" ht="400" customHeight="1"/>
    <row r="1196" ht="400" customHeight="1"/>
    <row r="1197" ht="400" customHeight="1"/>
    <row r="1198" ht="400" customHeight="1"/>
    <row r="1199" ht="400" customHeight="1"/>
    <row r="1200" ht="400" customHeight="1"/>
    <row r="1201" ht="400" customHeight="1"/>
    <row r="1202" ht="400" customHeight="1"/>
    <row r="1203" ht="400" customHeight="1"/>
    <row r="1204" ht="400" customHeight="1"/>
    <row r="1205" ht="400" customHeight="1"/>
    <row r="1206" ht="400" customHeight="1"/>
    <row r="1207" ht="400" customHeight="1"/>
    <row r="1208" ht="400" customHeight="1"/>
    <row r="1209" ht="400" customHeight="1"/>
    <row r="1210" ht="400" customHeight="1"/>
    <row r="1211" ht="400" customHeight="1"/>
    <row r="1212" ht="400" customHeight="1"/>
    <row r="1213" ht="400" customHeight="1"/>
    <row r="1214" ht="400" customHeight="1"/>
    <row r="1215" ht="400" customHeight="1"/>
    <row r="1216" ht="400" customHeight="1"/>
    <row r="1217" ht="400" customHeight="1"/>
    <row r="1218" ht="400" customHeight="1"/>
    <row r="1219" ht="400" customHeight="1"/>
    <row r="1220" ht="400" customHeight="1"/>
    <row r="1221" ht="400" customHeight="1"/>
    <row r="1222" ht="400" customHeight="1"/>
    <row r="1223" ht="400" customHeight="1"/>
    <row r="1224" ht="400" customHeight="1"/>
    <row r="1225" ht="400" customHeight="1"/>
    <row r="1226" ht="400" customHeight="1"/>
    <row r="1227" ht="400" customHeight="1"/>
    <row r="1228" ht="400" customHeight="1"/>
    <row r="1229" ht="400" customHeight="1"/>
    <row r="1230" ht="400" customHeight="1"/>
    <row r="1231" ht="400" customHeight="1"/>
    <row r="1232" ht="400" customHeight="1"/>
    <row r="1233" ht="400" customHeight="1"/>
    <row r="1234" ht="400" customHeight="1"/>
    <row r="1235" ht="400" customHeight="1"/>
    <row r="1236" ht="400" customHeight="1"/>
    <row r="1237" ht="400" customHeight="1"/>
    <row r="1238" ht="400" customHeight="1"/>
    <row r="1239" ht="400" customHeight="1"/>
    <row r="1240" ht="400" customHeight="1"/>
    <row r="1241" ht="400" customHeight="1"/>
    <row r="1242" ht="400" customHeight="1"/>
    <row r="1243" ht="400" customHeight="1"/>
    <row r="1244" ht="400" customHeight="1"/>
    <row r="1245" ht="400" customHeight="1"/>
    <row r="1246" ht="400" customHeight="1"/>
    <row r="1247" ht="400" customHeight="1"/>
    <row r="1248" ht="400" customHeight="1"/>
    <row r="1249" ht="400" customHeight="1"/>
    <row r="1250" ht="400" customHeight="1"/>
    <row r="1251" ht="400" customHeight="1"/>
    <row r="1252" ht="400" customHeight="1"/>
    <row r="1253" ht="400" customHeight="1"/>
    <row r="1254" ht="400" customHeight="1"/>
    <row r="1255" ht="400" customHeight="1"/>
    <row r="1256" ht="400" customHeight="1"/>
    <row r="1257" ht="400" customHeight="1"/>
    <row r="1258" ht="400" customHeight="1"/>
    <row r="1259" ht="400" customHeight="1"/>
    <row r="1260" ht="400" customHeight="1"/>
    <row r="1261" ht="400" customHeight="1"/>
    <row r="1262" ht="400" customHeight="1"/>
    <row r="1263" ht="400" customHeight="1"/>
    <row r="1264" ht="400" customHeight="1"/>
    <row r="1265" ht="400" customHeight="1"/>
    <row r="1266" ht="400" customHeight="1"/>
    <row r="1267" ht="400" customHeight="1"/>
    <row r="1268" ht="400" customHeight="1"/>
    <row r="1269" ht="400" customHeight="1"/>
    <row r="1270" ht="400" customHeight="1"/>
    <row r="1271" ht="400" customHeight="1"/>
    <row r="1272" ht="400" customHeight="1"/>
    <row r="1273" ht="400" customHeight="1"/>
    <row r="1274" ht="400" customHeight="1"/>
    <row r="1275" ht="400" customHeight="1"/>
    <row r="1276" ht="400" customHeight="1"/>
    <row r="1277" ht="400" customHeight="1"/>
    <row r="1278" ht="400" customHeight="1"/>
    <row r="1279" ht="400" customHeight="1"/>
    <row r="1280" ht="400" customHeight="1"/>
    <row r="1281" ht="400" customHeight="1"/>
    <row r="1282" ht="400" customHeight="1"/>
    <row r="1283" ht="400" customHeight="1"/>
    <row r="1284" ht="400" customHeight="1"/>
    <row r="1285" ht="400" customHeight="1"/>
    <row r="1286" ht="400" customHeight="1"/>
    <row r="1287" ht="400" customHeight="1"/>
    <row r="1288" ht="400" customHeight="1"/>
    <row r="1289" ht="400" customHeight="1"/>
    <row r="1290" ht="400" customHeight="1"/>
    <row r="1291" ht="400" customHeight="1"/>
    <row r="1292" ht="400" customHeight="1"/>
    <row r="1293" ht="400" customHeight="1"/>
    <row r="1294" ht="400" customHeight="1"/>
    <row r="1295" ht="400" customHeight="1"/>
    <row r="1296" ht="400" customHeight="1"/>
    <row r="1297" ht="400" customHeight="1"/>
    <row r="1298" ht="400" customHeight="1"/>
    <row r="1299" ht="400" customHeight="1"/>
    <row r="1300" ht="400" customHeight="1"/>
    <row r="1301" ht="400" customHeight="1"/>
    <row r="1302" ht="400" customHeight="1"/>
    <row r="1303" ht="400" customHeight="1"/>
    <row r="1304" ht="400" customHeight="1"/>
    <row r="1305" ht="400" customHeight="1"/>
    <row r="1306" ht="400" customHeight="1"/>
    <row r="1307" ht="400" customHeight="1"/>
    <row r="1308" ht="400" customHeight="1"/>
    <row r="1309" ht="400" customHeight="1"/>
    <row r="1310" ht="400" customHeight="1"/>
    <row r="1311" ht="400" customHeight="1"/>
    <row r="1312" ht="400" customHeight="1"/>
    <row r="1313" ht="400" customHeight="1"/>
    <row r="1314" ht="400" customHeight="1"/>
    <row r="1315" ht="400" customHeight="1"/>
    <row r="1316" ht="400" customHeight="1"/>
    <row r="1317" ht="400" customHeight="1"/>
    <row r="1318" ht="400" customHeight="1"/>
    <row r="1319" ht="400" customHeight="1"/>
    <row r="1320" ht="400" customHeight="1"/>
    <row r="1321" ht="400" customHeight="1"/>
    <row r="1322" ht="400" customHeight="1"/>
    <row r="1323" ht="400" customHeight="1"/>
    <row r="1324" ht="400" customHeight="1"/>
    <row r="1325" ht="400" customHeight="1"/>
    <row r="1326" ht="400" customHeight="1"/>
    <row r="1327" ht="400" customHeight="1"/>
    <row r="1328" ht="400" customHeight="1"/>
    <row r="1329" ht="400" customHeight="1"/>
    <row r="1330" ht="400" customHeight="1"/>
    <row r="1331" ht="400" customHeight="1"/>
    <row r="1332" ht="400" customHeight="1"/>
    <row r="1333" ht="400" customHeight="1"/>
    <row r="1334" ht="400" customHeight="1"/>
    <row r="1335" ht="400" customHeight="1"/>
    <row r="1336" ht="400" customHeight="1"/>
    <row r="1337" ht="400" customHeight="1"/>
    <row r="1338" ht="400" customHeight="1"/>
    <row r="1339" ht="400" customHeight="1"/>
    <row r="1340" ht="400" customHeight="1"/>
    <row r="1341" ht="400" customHeight="1"/>
    <row r="1342" ht="400" customHeight="1"/>
    <row r="1343" ht="400" customHeight="1"/>
    <row r="1344" ht="400" customHeight="1"/>
    <row r="1345" ht="400" customHeight="1"/>
    <row r="1346" ht="400" customHeight="1"/>
    <row r="1347" ht="400" customHeight="1"/>
    <row r="1348" ht="400" customHeight="1"/>
    <row r="1349" ht="400" customHeight="1"/>
    <row r="1350" ht="400" customHeight="1"/>
    <row r="1351" ht="400" customHeight="1"/>
    <row r="1352" ht="400" customHeight="1"/>
    <row r="1353" ht="400" customHeight="1"/>
    <row r="1354" ht="400" customHeight="1"/>
    <row r="1355" ht="400" customHeight="1"/>
    <row r="1356" ht="400" customHeight="1"/>
    <row r="1357" ht="400" customHeight="1"/>
    <row r="1358" ht="400" customHeight="1"/>
    <row r="1359" ht="400" customHeight="1"/>
    <row r="1360" ht="400" customHeight="1"/>
    <row r="1361" ht="400" customHeight="1"/>
    <row r="1362" ht="400" customHeight="1"/>
    <row r="1363" ht="400" customHeight="1"/>
    <row r="1364" ht="400" customHeight="1"/>
    <row r="1365" ht="400" customHeight="1"/>
    <row r="1366" ht="400" customHeight="1"/>
    <row r="1367" ht="400" customHeight="1"/>
    <row r="1368" ht="400" customHeight="1"/>
    <row r="1369" ht="400" customHeight="1"/>
    <row r="1370" ht="400" customHeight="1"/>
    <row r="1371" ht="400" customHeight="1"/>
    <row r="1372" ht="400" customHeight="1"/>
    <row r="1373" ht="400" customHeight="1"/>
    <row r="1374" ht="400" customHeight="1"/>
    <row r="1375" ht="400" customHeight="1"/>
    <row r="1376" ht="400" customHeight="1"/>
    <row r="1377" ht="400" customHeight="1"/>
    <row r="1378" ht="400" customHeight="1"/>
    <row r="1379" ht="400" customHeight="1"/>
    <row r="1380" ht="400" customHeight="1"/>
    <row r="1381" ht="400" customHeight="1"/>
    <row r="1382" ht="400" customHeight="1"/>
    <row r="1383" ht="400" customHeight="1"/>
    <row r="1384" ht="400" customHeight="1"/>
    <row r="1385" ht="400" customHeight="1"/>
    <row r="1386" ht="400" customHeight="1"/>
    <row r="1387" ht="400" customHeight="1"/>
    <row r="1388" ht="400" customHeight="1"/>
    <row r="1389" ht="400" customHeight="1"/>
    <row r="1390" ht="400" customHeight="1"/>
    <row r="1391" ht="400" customHeight="1"/>
    <row r="1392" ht="400" customHeight="1"/>
    <row r="1393" ht="400" customHeight="1"/>
    <row r="1394" ht="400" customHeight="1"/>
    <row r="1395" ht="400" customHeight="1"/>
    <row r="1396" ht="400" customHeight="1"/>
    <row r="1397" ht="400" customHeight="1"/>
    <row r="1398" ht="400" customHeight="1"/>
    <row r="1399" ht="400" customHeight="1"/>
    <row r="1400" ht="400" customHeight="1"/>
    <row r="1401" ht="400" customHeight="1"/>
    <row r="1402" ht="400" customHeight="1"/>
    <row r="1403" ht="400" customHeight="1"/>
    <row r="1404" ht="400" customHeight="1"/>
    <row r="1405" ht="400" customHeight="1"/>
    <row r="1406" ht="400" customHeight="1"/>
    <row r="1407" ht="400" customHeight="1"/>
    <row r="1408" ht="400" customHeight="1"/>
    <row r="1409" ht="400" customHeight="1"/>
    <row r="1410" ht="400" customHeight="1"/>
    <row r="1411" ht="400" customHeight="1"/>
    <row r="1412" ht="400" customHeight="1"/>
    <row r="1413" ht="400" customHeight="1"/>
    <row r="1414" ht="400" customHeight="1"/>
    <row r="1415" ht="400" customHeight="1"/>
    <row r="1416" ht="400" customHeight="1"/>
    <row r="1417" ht="400" customHeight="1"/>
    <row r="1418" ht="400" customHeight="1"/>
    <row r="1419" ht="400" customHeight="1"/>
    <row r="1420" ht="400" customHeight="1"/>
    <row r="1421" ht="400" customHeight="1"/>
    <row r="1422" ht="400" customHeight="1"/>
    <row r="1423" ht="400" customHeight="1"/>
    <row r="1424" ht="400" customHeight="1"/>
    <row r="1425" ht="400" customHeight="1"/>
    <row r="1426" ht="400" customHeight="1"/>
    <row r="1427" ht="400" customHeight="1"/>
    <row r="1428" ht="400" customHeight="1"/>
    <row r="1429" ht="400" customHeight="1"/>
    <row r="1430" ht="400" customHeight="1"/>
    <row r="1431" ht="400" customHeight="1"/>
    <row r="1432" ht="400" customHeight="1"/>
    <row r="1433" ht="400" customHeight="1"/>
    <row r="1434" ht="400" customHeight="1"/>
    <row r="1435" ht="400" customHeight="1"/>
    <row r="1436" ht="400" customHeight="1"/>
    <row r="1437" ht="400" customHeight="1"/>
    <row r="1438" ht="400" customHeight="1"/>
    <row r="1439" ht="400" customHeight="1"/>
    <row r="1440" ht="400" customHeight="1"/>
    <row r="1441" ht="400" customHeight="1"/>
    <row r="1442" ht="400" customHeight="1"/>
    <row r="1443" ht="400" customHeight="1"/>
    <row r="1444" ht="400" customHeight="1"/>
    <row r="1445" ht="400" customHeight="1"/>
    <row r="1446" ht="400" customHeight="1"/>
    <row r="1447" ht="400" customHeight="1"/>
    <row r="1448" ht="400" customHeight="1"/>
    <row r="1449" ht="400" customHeight="1"/>
    <row r="1450" ht="400" customHeight="1"/>
    <row r="1451" ht="400" customHeight="1"/>
    <row r="1452" ht="400" customHeight="1"/>
    <row r="1453" ht="400" customHeight="1"/>
    <row r="1454" ht="400" customHeight="1"/>
    <row r="1455" ht="400" customHeight="1"/>
    <row r="1456" ht="400" customHeight="1"/>
    <row r="1457" ht="400" customHeight="1"/>
    <row r="1458" ht="400" customHeight="1"/>
    <row r="1459" ht="400" customHeight="1"/>
    <row r="1460" ht="400" customHeight="1"/>
    <row r="1461" ht="400" customHeight="1"/>
    <row r="1462" ht="400" customHeight="1"/>
    <row r="1463" ht="400" customHeight="1"/>
    <row r="1464" ht="400" customHeight="1"/>
    <row r="1465" ht="400" customHeight="1"/>
    <row r="1466" ht="400" customHeight="1"/>
    <row r="1467" ht="400" customHeight="1"/>
    <row r="1468" ht="400" customHeight="1"/>
    <row r="1469" ht="400" customHeight="1"/>
    <row r="1470" ht="400" customHeight="1"/>
    <row r="1471" ht="400" customHeight="1"/>
    <row r="1472" ht="400" customHeight="1"/>
    <row r="1473" ht="400" customHeight="1"/>
    <row r="1474" ht="400" customHeight="1"/>
    <row r="1475" ht="400" customHeight="1"/>
    <row r="1476" ht="400" customHeight="1"/>
    <row r="1477" ht="400" customHeight="1"/>
    <row r="1478" ht="400" customHeight="1"/>
    <row r="1479" ht="400" customHeight="1"/>
    <row r="1480" ht="400" customHeight="1"/>
    <row r="1481" ht="400" customHeight="1"/>
    <row r="1482" ht="400" customHeight="1"/>
    <row r="1483" ht="400" customHeight="1"/>
    <row r="1484" ht="400" customHeight="1"/>
    <row r="1485" ht="400" customHeight="1"/>
    <row r="1486" ht="400" customHeight="1"/>
    <row r="1487" ht="400" customHeight="1"/>
    <row r="1488" ht="400" customHeight="1"/>
    <row r="1489" ht="400" customHeight="1"/>
    <row r="1490" ht="400" customHeight="1"/>
    <row r="1491" ht="400" customHeight="1"/>
    <row r="1492" ht="400" customHeight="1"/>
    <row r="1493" ht="400" customHeight="1"/>
    <row r="1494" ht="400" customHeight="1"/>
    <row r="1495" ht="400" customHeight="1"/>
    <row r="1496" ht="400" customHeight="1"/>
    <row r="1497" ht="400" customHeight="1"/>
    <row r="1498" ht="400" customHeight="1"/>
    <row r="1499" ht="400" customHeight="1"/>
    <row r="1500" ht="400" customHeight="1"/>
    <row r="1501" ht="400" customHeight="1"/>
    <row r="1502" ht="400" customHeight="1"/>
    <row r="1503" ht="400" customHeight="1"/>
    <row r="1504" ht="400" customHeight="1"/>
    <row r="1505" ht="400" customHeight="1"/>
    <row r="1506" ht="400" customHeight="1"/>
    <row r="1507" ht="400" customHeight="1"/>
    <row r="1508" ht="400" customHeight="1"/>
    <row r="1509" ht="400" customHeight="1"/>
    <row r="1510" ht="400" customHeight="1"/>
    <row r="1511" ht="400" customHeight="1"/>
    <row r="1512" ht="400" customHeight="1"/>
    <row r="1513" ht="400" customHeight="1"/>
    <row r="1514" ht="400" customHeight="1"/>
    <row r="1515" ht="400" customHeight="1"/>
    <row r="1516" ht="400" customHeight="1"/>
    <row r="1517" ht="400" customHeight="1"/>
    <row r="1518" ht="400" customHeight="1"/>
    <row r="1519" ht="400" customHeight="1"/>
    <row r="1520" ht="400" customHeight="1"/>
    <row r="1521" ht="400" customHeight="1"/>
    <row r="1522" ht="400" customHeight="1"/>
    <row r="1523" ht="400" customHeight="1"/>
    <row r="1524" ht="400" customHeight="1"/>
    <row r="1525" ht="400" customHeight="1"/>
    <row r="1526" ht="400" customHeight="1"/>
    <row r="1527" ht="400" customHeight="1"/>
    <row r="1528" ht="400" customHeight="1"/>
    <row r="1529" ht="400" customHeight="1"/>
    <row r="1530" ht="400" customHeight="1"/>
    <row r="1531" ht="400" customHeight="1"/>
    <row r="1532" ht="400" customHeight="1"/>
    <row r="1533" ht="400" customHeight="1"/>
    <row r="1534" ht="400" customHeight="1"/>
    <row r="1535" ht="400" customHeight="1"/>
    <row r="1536" ht="400" customHeight="1"/>
    <row r="1537" ht="400" customHeight="1"/>
    <row r="1538" ht="400" customHeight="1"/>
    <row r="1539" ht="400" customHeight="1"/>
    <row r="1540" ht="400" customHeight="1"/>
    <row r="1541" ht="400" customHeight="1"/>
    <row r="1542" ht="400" customHeight="1"/>
    <row r="1543" ht="400" customHeight="1"/>
    <row r="1544" ht="400" customHeight="1"/>
    <row r="1545" ht="400" customHeight="1"/>
    <row r="1546" ht="400" customHeight="1"/>
    <row r="1547" ht="400" customHeight="1"/>
    <row r="1548" ht="400" customHeight="1"/>
    <row r="1549" ht="400" customHeight="1"/>
    <row r="1550" ht="400" customHeight="1"/>
    <row r="1551" ht="400" customHeight="1"/>
    <row r="1552" ht="400" customHeight="1"/>
    <row r="1553" ht="400" customHeight="1"/>
    <row r="1554" ht="400" customHeight="1"/>
    <row r="1555" ht="400" customHeight="1"/>
    <row r="1556" ht="400" customHeight="1"/>
    <row r="1557" ht="400" customHeight="1"/>
    <row r="1558" ht="400" customHeight="1"/>
    <row r="1559" ht="400" customHeight="1"/>
    <row r="1560" ht="400" customHeight="1"/>
    <row r="1561" ht="400" customHeight="1"/>
    <row r="1562" ht="400" customHeight="1"/>
    <row r="1563" ht="400" customHeight="1"/>
    <row r="1564" ht="400" customHeight="1"/>
    <row r="1565" ht="400" customHeight="1"/>
    <row r="1566" ht="400" customHeight="1"/>
    <row r="1567" ht="400" customHeight="1"/>
    <row r="1568" ht="400" customHeight="1"/>
    <row r="1569" ht="400" customHeight="1"/>
    <row r="1570" ht="400" customHeight="1"/>
    <row r="1571" ht="400" customHeight="1"/>
    <row r="1572" ht="400" customHeight="1"/>
    <row r="1573" ht="400" customHeight="1"/>
    <row r="1574" ht="400" customHeight="1"/>
    <row r="1575" ht="400" customHeight="1"/>
    <row r="1576" ht="400" customHeight="1"/>
    <row r="1577" ht="400" customHeight="1"/>
    <row r="1578" ht="400" customHeight="1"/>
    <row r="1579" ht="400" customHeight="1"/>
    <row r="1580" ht="400" customHeight="1"/>
    <row r="1581" ht="400" customHeight="1"/>
    <row r="1582" ht="400" customHeight="1"/>
    <row r="1583" ht="400" customHeight="1"/>
    <row r="1584" ht="400" customHeight="1"/>
    <row r="1585" ht="400" customHeight="1"/>
    <row r="1586" ht="400" customHeight="1"/>
    <row r="1587" ht="400" customHeight="1"/>
    <row r="1588" ht="400" customHeight="1"/>
    <row r="1589" ht="400" customHeight="1"/>
    <row r="1590" ht="400" customHeight="1"/>
    <row r="1591" ht="400" customHeight="1"/>
    <row r="1592" ht="400" customHeight="1"/>
    <row r="1593" ht="400" customHeight="1"/>
    <row r="1594" ht="400" customHeight="1"/>
    <row r="1595" ht="400" customHeight="1"/>
    <row r="1596" ht="400" customHeight="1"/>
    <row r="1597" ht="400" customHeight="1"/>
    <row r="1598" ht="400" customHeight="1"/>
    <row r="1599" ht="400" customHeight="1"/>
    <row r="1600" ht="400" customHeight="1"/>
    <row r="1601" ht="400" customHeight="1"/>
    <row r="1602" ht="400" customHeight="1"/>
    <row r="1603" ht="400" customHeight="1"/>
    <row r="1604" ht="400" customHeight="1"/>
    <row r="1605" ht="400" customHeight="1"/>
    <row r="1606" ht="400" customHeight="1"/>
    <row r="1607" ht="400" customHeight="1"/>
    <row r="1608" ht="400" customHeight="1"/>
    <row r="1609" ht="400" customHeight="1"/>
    <row r="1610" ht="400" customHeight="1"/>
    <row r="1611" ht="400" customHeight="1"/>
    <row r="1612" ht="400" customHeight="1"/>
    <row r="1613" ht="400" customHeight="1"/>
    <row r="1614" ht="400" customHeight="1"/>
    <row r="1615" ht="400" customHeight="1"/>
    <row r="1616" ht="400" customHeight="1"/>
    <row r="1617" ht="400" customHeight="1"/>
    <row r="1618" ht="400" customHeight="1"/>
    <row r="1619" ht="400" customHeight="1"/>
    <row r="1620" ht="400" customHeight="1"/>
    <row r="1621" ht="400" customHeight="1"/>
    <row r="1622" ht="400" customHeight="1"/>
    <row r="1623" ht="400" customHeight="1"/>
    <row r="1624" ht="400" customHeight="1"/>
    <row r="1625" ht="400" customHeight="1"/>
    <row r="1626" ht="400" customHeight="1"/>
    <row r="1627" ht="400" customHeight="1"/>
    <row r="1628" ht="400" customHeight="1"/>
    <row r="1629" ht="400" customHeight="1"/>
    <row r="1630" ht="400" customHeight="1"/>
    <row r="1631" ht="400" customHeight="1"/>
    <row r="1632" ht="400" customHeight="1"/>
    <row r="1633" ht="400" customHeight="1"/>
    <row r="1634" ht="400" customHeight="1"/>
    <row r="1635" ht="400" customHeight="1"/>
    <row r="1636" ht="400" customHeight="1"/>
    <row r="1637" ht="400" customHeight="1"/>
    <row r="1638" ht="400" customHeight="1"/>
    <row r="1639" ht="400" customHeight="1"/>
    <row r="1640" ht="400" customHeight="1"/>
    <row r="1641" ht="400" customHeight="1"/>
    <row r="1642" ht="400" customHeight="1"/>
    <row r="1643" ht="400" customHeight="1"/>
    <row r="1644" ht="400" customHeight="1"/>
    <row r="1645" ht="400" customHeight="1"/>
    <row r="1646" ht="400" customHeight="1"/>
    <row r="1647" ht="400" customHeight="1"/>
    <row r="1648" ht="400" customHeight="1"/>
    <row r="1649" ht="400" customHeight="1"/>
    <row r="1650" ht="400" customHeight="1"/>
    <row r="1651" ht="400" customHeight="1"/>
    <row r="1652" ht="400" customHeight="1"/>
    <row r="1653" ht="400" customHeight="1"/>
    <row r="1654" ht="400" customHeight="1"/>
    <row r="1655" ht="400" customHeight="1"/>
    <row r="1656" ht="400" customHeight="1"/>
    <row r="1657" ht="400" customHeight="1"/>
    <row r="1658" ht="400" customHeight="1"/>
    <row r="1659" ht="400" customHeight="1"/>
    <row r="1660" ht="400" customHeight="1"/>
    <row r="1661" ht="400" customHeight="1"/>
    <row r="1662" ht="400" customHeight="1"/>
    <row r="1663" ht="400" customHeight="1"/>
    <row r="1664" ht="400" customHeight="1"/>
    <row r="1665" ht="400" customHeight="1"/>
    <row r="1666" ht="400" customHeight="1"/>
    <row r="1667" ht="400" customHeight="1"/>
    <row r="1668" ht="400" customHeight="1"/>
    <row r="1669" ht="400" customHeight="1"/>
    <row r="1670" ht="400" customHeight="1"/>
    <row r="1671" ht="400" customHeight="1"/>
    <row r="1672" ht="400" customHeight="1"/>
    <row r="1673" ht="400" customHeight="1"/>
    <row r="1674" ht="400" customHeight="1"/>
    <row r="1675" ht="400" customHeight="1"/>
    <row r="1676" ht="400" customHeight="1"/>
    <row r="1677" ht="400" customHeight="1"/>
    <row r="1678" ht="400" customHeight="1"/>
    <row r="1679" ht="400" customHeight="1"/>
    <row r="1680" ht="400" customHeight="1"/>
    <row r="1681" ht="400" customHeight="1"/>
    <row r="1682" ht="400" customHeight="1"/>
    <row r="1683" ht="400" customHeight="1"/>
    <row r="1684" ht="400" customHeight="1"/>
    <row r="1685" ht="400" customHeight="1"/>
    <row r="1686" ht="400" customHeight="1"/>
    <row r="1687" ht="400" customHeight="1"/>
    <row r="1688" ht="400" customHeight="1"/>
    <row r="1689" ht="400" customHeight="1"/>
    <row r="1690" ht="400" customHeight="1"/>
    <row r="1691" ht="400" customHeight="1"/>
    <row r="1692" ht="400" customHeight="1"/>
    <row r="1693" ht="400" customHeight="1"/>
    <row r="1694" ht="400" customHeight="1"/>
    <row r="1695" ht="400" customHeight="1"/>
    <row r="1696" ht="400" customHeight="1"/>
    <row r="1697" ht="400" customHeight="1"/>
    <row r="1698" ht="400" customHeight="1"/>
    <row r="1699" ht="400" customHeight="1"/>
    <row r="1700" ht="400" customHeight="1"/>
    <row r="1701" ht="400" customHeight="1"/>
    <row r="1702" ht="400" customHeight="1"/>
    <row r="1703" ht="400" customHeight="1"/>
    <row r="1704" ht="400" customHeight="1"/>
    <row r="1705" ht="400" customHeight="1"/>
    <row r="1706" ht="400" customHeight="1"/>
    <row r="1707" ht="400" customHeight="1"/>
    <row r="1708" ht="400" customHeight="1"/>
    <row r="1709" ht="400" customHeight="1"/>
    <row r="1710" ht="400" customHeight="1"/>
    <row r="1711" ht="400" customHeight="1"/>
    <row r="1712" ht="400" customHeight="1"/>
    <row r="1713" ht="400" customHeight="1"/>
    <row r="1714" ht="400" customHeight="1"/>
    <row r="1715" ht="400" customHeight="1"/>
    <row r="1716" ht="400" customHeight="1"/>
    <row r="1717" ht="400" customHeight="1"/>
    <row r="1718" ht="400" customHeight="1"/>
    <row r="1719" ht="400" customHeight="1"/>
    <row r="1720" ht="400" customHeight="1"/>
    <row r="1721" ht="400" customHeight="1"/>
    <row r="1722" ht="400" customHeight="1"/>
    <row r="1723" ht="400" customHeight="1"/>
    <row r="1724" ht="400" customHeight="1"/>
    <row r="1725" ht="400" customHeight="1"/>
    <row r="1726" ht="400" customHeight="1"/>
    <row r="1727" ht="400" customHeight="1"/>
    <row r="1728" ht="400" customHeight="1"/>
    <row r="1729" ht="400" customHeight="1"/>
    <row r="1730" ht="400" customHeight="1"/>
    <row r="1731" ht="400" customHeight="1"/>
    <row r="1732" ht="400" customHeight="1"/>
    <row r="1733" ht="400" customHeight="1"/>
    <row r="1734" ht="400" customHeight="1"/>
    <row r="1735" ht="400" customHeight="1"/>
    <row r="1736" ht="400" customHeight="1"/>
    <row r="1737" ht="400" customHeight="1"/>
    <row r="1738" ht="400" customHeight="1"/>
    <row r="1739" ht="400" customHeight="1"/>
    <row r="1740" ht="400" customHeight="1"/>
    <row r="1741" ht="400" customHeight="1"/>
    <row r="1742" ht="400" customHeight="1"/>
    <row r="1743" ht="400" customHeight="1"/>
    <row r="1744" ht="400" customHeight="1"/>
    <row r="1745" ht="400" customHeight="1"/>
    <row r="1746" ht="400" customHeight="1"/>
    <row r="1747" ht="400" customHeight="1"/>
    <row r="1748" ht="400" customHeight="1"/>
    <row r="1749" ht="400" customHeight="1"/>
    <row r="1750" ht="400" customHeight="1"/>
    <row r="1751" ht="400" customHeight="1"/>
    <row r="1752" ht="400" customHeight="1"/>
    <row r="1753" ht="400" customHeight="1"/>
    <row r="1754" ht="400" customHeight="1"/>
    <row r="1755" ht="400" customHeight="1"/>
    <row r="1756" ht="400" customHeight="1"/>
    <row r="1757" ht="400" customHeight="1"/>
    <row r="1758" ht="400" customHeight="1"/>
    <row r="1759" ht="400" customHeight="1"/>
    <row r="1760" ht="400" customHeight="1"/>
    <row r="1761" ht="400" customHeight="1"/>
    <row r="1762" ht="400" customHeight="1"/>
    <row r="1763" ht="400" customHeight="1"/>
    <row r="1764" ht="400" customHeight="1"/>
    <row r="1765" ht="400" customHeight="1"/>
    <row r="1766" ht="400" customHeight="1"/>
    <row r="1767" ht="400" customHeight="1"/>
    <row r="1768" ht="400" customHeight="1"/>
    <row r="1769" ht="400" customHeight="1"/>
    <row r="1770" ht="400" customHeight="1"/>
    <row r="1771" ht="400" customHeight="1"/>
    <row r="1772" ht="400" customHeight="1"/>
    <row r="1773" ht="400" customHeight="1"/>
    <row r="1774" ht="400" customHeight="1"/>
    <row r="1775" ht="400" customHeight="1"/>
    <row r="1776" ht="400" customHeight="1"/>
    <row r="1777" ht="400" customHeight="1"/>
    <row r="1778" ht="400" customHeight="1"/>
    <row r="1779" ht="400" customHeight="1"/>
    <row r="1780" ht="400" customHeight="1"/>
    <row r="1781" ht="400" customHeight="1"/>
    <row r="1782" ht="400" customHeight="1"/>
    <row r="1783" ht="400" customHeight="1"/>
    <row r="1784" ht="400" customHeight="1"/>
    <row r="1785" ht="400" customHeight="1"/>
    <row r="1786" ht="400" customHeight="1"/>
    <row r="1787" ht="400" customHeight="1"/>
    <row r="1788" ht="400" customHeight="1"/>
    <row r="1789" ht="400" customHeight="1"/>
    <row r="1790" ht="400" customHeight="1"/>
    <row r="1791" ht="400" customHeight="1"/>
    <row r="1792" ht="400" customHeight="1"/>
    <row r="1793" ht="400" customHeight="1"/>
    <row r="1794" ht="400" customHeight="1"/>
    <row r="1795" ht="400" customHeight="1"/>
    <row r="1796" ht="400" customHeight="1"/>
    <row r="1797" ht="400" customHeight="1"/>
    <row r="1798" ht="400" customHeight="1"/>
    <row r="1799" ht="400" customHeight="1"/>
    <row r="1800" ht="400" customHeight="1"/>
    <row r="1801" ht="400" customHeight="1"/>
    <row r="1802" ht="400" customHeight="1"/>
    <row r="1803" ht="400" customHeight="1"/>
    <row r="1804" ht="400" customHeight="1"/>
    <row r="1805" ht="400" customHeight="1"/>
    <row r="1806" ht="400" customHeight="1"/>
    <row r="1807" ht="400" customHeight="1"/>
    <row r="1808" ht="400" customHeight="1"/>
    <row r="1809" ht="400" customHeight="1"/>
    <row r="1810" ht="400" customHeight="1"/>
    <row r="1811" ht="400" customHeight="1"/>
    <row r="1812" ht="400" customHeight="1"/>
    <row r="1813" ht="400" customHeight="1"/>
    <row r="1814" ht="400" customHeight="1"/>
    <row r="1815" ht="400" customHeight="1"/>
    <row r="1816" ht="400" customHeight="1"/>
    <row r="1817" ht="400" customHeight="1"/>
    <row r="1818" ht="400" customHeight="1"/>
    <row r="1819" ht="400" customHeight="1"/>
    <row r="1820" ht="400" customHeight="1"/>
    <row r="1821" ht="400" customHeight="1"/>
    <row r="1822" ht="400" customHeight="1"/>
    <row r="1823" ht="400" customHeight="1"/>
    <row r="1824" ht="400" customHeight="1"/>
    <row r="1825" ht="400" customHeight="1"/>
    <row r="1826" ht="400" customHeight="1"/>
    <row r="1827" ht="400" customHeight="1"/>
    <row r="1828" ht="400" customHeight="1"/>
    <row r="1829" ht="400" customHeight="1"/>
    <row r="1830" ht="400" customHeight="1"/>
    <row r="1831" ht="400" customHeight="1"/>
    <row r="1832" ht="400" customHeight="1"/>
    <row r="1833" ht="400" customHeight="1"/>
    <row r="1834" ht="400" customHeight="1"/>
    <row r="1835" ht="400" customHeight="1"/>
    <row r="1836" ht="400" customHeight="1"/>
    <row r="1837" ht="400" customHeight="1"/>
    <row r="1838" ht="400" customHeight="1"/>
    <row r="1839" ht="400" customHeight="1"/>
    <row r="1840" ht="400" customHeight="1"/>
    <row r="1841" ht="400" customHeight="1"/>
    <row r="1842" ht="400" customHeight="1"/>
    <row r="1843" ht="400" customHeight="1"/>
    <row r="1844" ht="400" customHeight="1"/>
    <row r="1845" ht="400" customHeight="1"/>
    <row r="1846" ht="400" customHeight="1"/>
    <row r="1847" ht="400" customHeight="1"/>
    <row r="1848" ht="400" customHeight="1"/>
    <row r="1849" ht="400" customHeight="1"/>
    <row r="1850" ht="400" customHeight="1"/>
    <row r="1851" ht="400" customHeight="1"/>
    <row r="1852" ht="400" customHeight="1"/>
    <row r="1853" ht="400" customHeight="1"/>
    <row r="1854" ht="400" customHeight="1"/>
    <row r="1855" ht="400" customHeight="1"/>
    <row r="1856" ht="400" customHeight="1"/>
    <row r="1857" ht="400" customHeight="1"/>
    <row r="1858" ht="400" customHeight="1"/>
    <row r="1859" ht="400" customHeight="1"/>
    <row r="1860" ht="400" customHeight="1"/>
    <row r="1861" ht="400" customHeight="1"/>
    <row r="1862" ht="400" customHeight="1"/>
    <row r="1863" ht="400" customHeight="1"/>
    <row r="1864" ht="400" customHeight="1"/>
    <row r="1865" ht="400" customHeight="1"/>
    <row r="1866" ht="400" customHeight="1"/>
    <row r="1867" ht="400" customHeight="1"/>
    <row r="1868" ht="400" customHeight="1"/>
    <row r="1869" ht="400" customHeight="1"/>
    <row r="1870" ht="400" customHeight="1"/>
    <row r="1871" ht="400" customHeight="1"/>
    <row r="1872" ht="400" customHeight="1"/>
    <row r="1873" ht="400" customHeight="1"/>
    <row r="1874" ht="400" customHeight="1"/>
    <row r="1875" ht="400" customHeight="1"/>
    <row r="1876" ht="400" customHeight="1"/>
    <row r="1877" ht="400" customHeight="1"/>
    <row r="1878" ht="400" customHeight="1"/>
    <row r="1879" ht="400" customHeight="1"/>
    <row r="1880" ht="400" customHeight="1"/>
    <row r="1881" ht="400" customHeight="1"/>
    <row r="1882" ht="400" customHeight="1"/>
    <row r="1883" ht="400" customHeight="1"/>
    <row r="1884" ht="400" customHeight="1"/>
    <row r="1885" ht="400" customHeight="1"/>
    <row r="1886" ht="400" customHeight="1"/>
    <row r="1887" ht="400" customHeight="1"/>
    <row r="1888" ht="400" customHeight="1"/>
    <row r="1889" ht="400" customHeight="1"/>
    <row r="1890" ht="400" customHeight="1"/>
    <row r="1891" ht="400" customHeight="1"/>
    <row r="1892" ht="400" customHeight="1"/>
    <row r="1893" ht="400" customHeight="1"/>
    <row r="1894" ht="400" customHeight="1"/>
    <row r="1895" ht="400" customHeight="1"/>
    <row r="1896" ht="400" customHeight="1"/>
    <row r="1897" ht="400" customHeight="1"/>
    <row r="1898" ht="400" customHeight="1"/>
    <row r="1899" ht="400" customHeight="1"/>
    <row r="1900" ht="400" customHeight="1"/>
    <row r="1901" ht="400" customHeight="1"/>
    <row r="1902" ht="400" customHeight="1"/>
    <row r="1903" ht="400" customHeight="1"/>
    <row r="1904" ht="400" customHeight="1"/>
    <row r="1905" ht="400" customHeight="1"/>
    <row r="1906" ht="400" customHeight="1"/>
    <row r="1907" ht="400" customHeight="1"/>
    <row r="1908" ht="400" customHeight="1"/>
    <row r="1909" ht="400" customHeight="1"/>
    <row r="1910" ht="400" customHeight="1"/>
    <row r="1911" ht="400" customHeight="1"/>
    <row r="1912" ht="400" customHeight="1"/>
    <row r="1913" ht="400" customHeight="1"/>
    <row r="1914" ht="400" customHeight="1"/>
    <row r="1915" ht="400" customHeight="1"/>
    <row r="1916" ht="400" customHeight="1"/>
    <row r="1917" ht="400" customHeight="1"/>
    <row r="1918" ht="400" customHeight="1"/>
    <row r="1919" ht="400" customHeight="1"/>
    <row r="1920" ht="400" customHeight="1"/>
    <row r="1921" ht="400" customHeight="1"/>
    <row r="1922" ht="400" customHeight="1"/>
    <row r="1923" ht="400" customHeight="1"/>
    <row r="1924" ht="400" customHeight="1"/>
    <row r="1925" ht="400" customHeight="1"/>
    <row r="1926" ht="400" customHeight="1"/>
    <row r="1927" ht="400" customHeight="1"/>
    <row r="1928" ht="400" customHeight="1"/>
    <row r="1929" ht="400" customHeight="1"/>
    <row r="1930" ht="400" customHeight="1"/>
    <row r="1931" ht="400" customHeight="1"/>
    <row r="1932" ht="400" customHeight="1"/>
    <row r="1933" ht="400" customHeight="1"/>
    <row r="1934" ht="400" customHeight="1"/>
    <row r="1935" ht="400" customHeight="1"/>
    <row r="1936" ht="400" customHeight="1"/>
    <row r="1937" ht="400" customHeight="1"/>
    <row r="1938" ht="400" customHeight="1"/>
    <row r="1939" ht="400" customHeight="1"/>
    <row r="1940" ht="400" customHeight="1"/>
    <row r="1941" ht="400" customHeight="1"/>
    <row r="1942" ht="400" customHeight="1"/>
    <row r="1943" ht="400" customHeight="1"/>
    <row r="1944" ht="400" customHeight="1"/>
    <row r="1945" ht="400" customHeight="1"/>
    <row r="1946" ht="400" customHeight="1"/>
    <row r="1947" ht="400" customHeight="1"/>
    <row r="1948" ht="400" customHeight="1"/>
    <row r="1949" ht="400" customHeight="1"/>
    <row r="1950" ht="400" customHeight="1"/>
    <row r="1951" ht="400" customHeight="1"/>
    <row r="1952" ht="400" customHeight="1"/>
    <row r="1953" ht="400" customHeight="1"/>
    <row r="1954" ht="400" customHeight="1"/>
    <row r="1955" ht="400" customHeight="1"/>
    <row r="1956" ht="400" customHeight="1"/>
    <row r="1957" ht="400" customHeight="1"/>
    <row r="1958" ht="400" customHeight="1"/>
    <row r="1959" ht="400" customHeight="1"/>
    <row r="1960" ht="400" customHeight="1"/>
    <row r="1961" ht="400" customHeight="1"/>
    <row r="1962" ht="400" customHeight="1"/>
    <row r="1963" ht="400" customHeight="1"/>
    <row r="1964" ht="400" customHeight="1"/>
    <row r="1965" ht="400" customHeight="1"/>
    <row r="1966" ht="400" customHeight="1"/>
    <row r="1967" ht="400" customHeight="1"/>
    <row r="1968" ht="400" customHeight="1"/>
    <row r="1969" ht="400" customHeight="1"/>
    <row r="1970" ht="400" customHeight="1"/>
    <row r="1971" ht="400" customHeight="1"/>
    <row r="1972" ht="400" customHeight="1"/>
    <row r="1973" ht="400" customHeight="1"/>
    <row r="1974" ht="400" customHeight="1"/>
    <row r="1975" ht="400" customHeight="1"/>
    <row r="1976" ht="400" customHeight="1"/>
    <row r="1977" ht="400" customHeight="1"/>
    <row r="1978" ht="400" customHeight="1"/>
    <row r="1979" ht="400" customHeight="1"/>
    <row r="1980" ht="400" customHeight="1"/>
    <row r="1981" ht="400" customHeight="1"/>
    <row r="1982" ht="400" customHeight="1"/>
    <row r="1983" ht="400" customHeight="1"/>
    <row r="1984" ht="400" customHeight="1"/>
    <row r="1985" ht="400" customHeight="1"/>
    <row r="1986" ht="400" customHeight="1"/>
    <row r="1987" ht="400" customHeight="1"/>
    <row r="1988" ht="400" customHeight="1"/>
    <row r="1989" ht="400" customHeight="1"/>
    <row r="1990" ht="400" customHeight="1"/>
    <row r="1991" ht="400" customHeight="1"/>
    <row r="1992" ht="400" customHeight="1"/>
    <row r="1993" ht="400" customHeight="1"/>
    <row r="1994" ht="400" customHeight="1"/>
    <row r="1995" ht="400" customHeight="1"/>
    <row r="1996" ht="400" customHeight="1"/>
    <row r="1997" ht="400" customHeight="1"/>
    <row r="1998" ht="400" customHeight="1"/>
    <row r="1999" ht="400" customHeight="1"/>
    <row r="2000" ht="400" customHeight="1"/>
    <row r="2001" ht="400" customHeight="1"/>
    <row r="2002" ht="400" customHeight="1"/>
    <row r="2003" ht="400" customHeight="1"/>
    <row r="2004" ht="400" customHeight="1"/>
    <row r="2005" ht="400" customHeight="1"/>
    <row r="2006" ht="400" customHeight="1"/>
    <row r="2007" ht="400" customHeight="1"/>
    <row r="2008" ht="400" customHeight="1"/>
    <row r="2009" ht="400" customHeight="1"/>
    <row r="2010" ht="400" customHeight="1"/>
    <row r="2011" ht="400" customHeight="1"/>
    <row r="2012" ht="400" customHeight="1"/>
    <row r="2013" ht="400" customHeight="1"/>
    <row r="2014" ht="400" customHeight="1"/>
    <row r="2015" ht="400" customHeight="1"/>
    <row r="2016" ht="400" customHeight="1"/>
    <row r="2017" ht="400" customHeight="1"/>
    <row r="2018" ht="400" customHeight="1"/>
    <row r="2019" ht="400" customHeight="1"/>
    <row r="2020" ht="400" customHeight="1"/>
    <row r="2021" ht="400" customHeight="1"/>
    <row r="2022" ht="400" customHeight="1"/>
    <row r="2023" ht="400" customHeight="1"/>
    <row r="2024" ht="400" customHeight="1"/>
    <row r="2025" ht="400" customHeight="1"/>
    <row r="2026" ht="400" customHeight="1"/>
    <row r="2027" ht="400" customHeight="1"/>
    <row r="2028" ht="400" customHeight="1"/>
    <row r="2029" ht="400" customHeight="1"/>
    <row r="2030" ht="400" customHeight="1"/>
    <row r="2031" ht="400" customHeight="1"/>
    <row r="2032" ht="400" customHeight="1"/>
    <row r="2033" ht="400" customHeight="1"/>
    <row r="2034" ht="400" customHeight="1"/>
    <row r="2035" ht="400" customHeight="1"/>
    <row r="2036" ht="400" customHeight="1"/>
    <row r="2037" ht="400" customHeight="1"/>
    <row r="2038" ht="400" customHeight="1"/>
    <row r="2039" ht="400" customHeight="1"/>
    <row r="2040" ht="400" customHeight="1"/>
    <row r="2041" ht="400" customHeight="1"/>
    <row r="2042" ht="400" customHeight="1"/>
    <row r="2043" ht="400" customHeight="1"/>
    <row r="2044" ht="400" customHeight="1"/>
    <row r="2045" ht="400" customHeight="1"/>
    <row r="2046" ht="400" customHeight="1"/>
    <row r="2047" ht="400" customHeight="1"/>
    <row r="2048" ht="400" customHeight="1"/>
    <row r="2049" ht="400" customHeight="1"/>
    <row r="2050" ht="400" customHeight="1"/>
    <row r="2051" ht="400" customHeight="1"/>
    <row r="2052" ht="400" customHeight="1"/>
    <row r="2053" ht="400" customHeight="1"/>
    <row r="2054" ht="400" customHeight="1"/>
    <row r="2055" ht="400" customHeight="1"/>
    <row r="2056" ht="400" customHeight="1"/>
    <row r="2057" ht="400" customHeight="1"/>
    <row r="2058" ht="400" customHeight="1"/>
    <row r="2059" ht="400" customHeight="1"/>
    <row r="2060" ht="400" customHeight="1"/>
    <row r="2061" ht="400" customHeight="1"/>
    <row r="2062" ht="400" customHeight="1"/>
    <row r="2063" ht="400" customHeight="1"/>
    <row r="2064" ht="400" customHeight="1"/>
    <row r="2065" ht="400" customHeight="1"/>
    <row r="2066" ht="400" customHeight="1"/>
    <row r="2067" ht="400" customHeight="1"/>
    <row r="2068" ht="400" customHeight="1"/>
    <row r="2069" ht="400" customHeight="1"/>
    <row r="2070" ht="400" customHeight="1"/>
    <row r="2071" ht="400" customHeight="1"/>
    <row r="2072" ht="400" customHeight="1"/>
    <row r="2073" ht="400" customHeight="1"/>
    <row r="2074" ht="400" customHeight="1"/>
    <row r="2075" ht="400" customHeight="1"/>
    <row r="2076" ht="400" customHeight="1"/>
    <row r="2077" ht="400" customHeight="1"/>
    <row r="2078" ht="400" customHeight="1"/>
    <row r="2079" ht="400" customHeight="1"/>
    <row r="2080" ht="400" customHeight="1"/>
    <row r="2081" ht="400" customHeight="1"/>
    <row r="2082" ht="400" customHeight="1"/>
    <row r="2083" ht="400" customHeight="1"/>
    <row r="2084" ht="400" customHeight="1"/>
    <row r="2085" ht="400" customHeight="1"/>
    <row r="2086" ht="400" customHeight="1"/>
    <row r="2087" ht="400" customHeight="1"/>
    <row r="2088" ht="400" customHeight="1"/>
    <row r="2089" ht="400" customHeight="1"/>
    <row r="2090" ht="400" customHeight="1"/>
    <row r="2091" ht="400" customHeight="1"/>
    <row r="2092" ht="400" customHeight="1"/>
    <row r="2093" ht="400" customHeight="1"/>
    <row r="2094" ht="400" customHeight="1"/>
    <row r="2095" ht="400" customHeight="1"/>
    <row r="2096" ht="400" customHeight="1"/>
    <row r="2097" ht="400" customHeight="1"/>
    <row r="2098" ht="400" customHeight="1"/>
    <row r="2099" ht="400" customHeight="1"/>
    <row r="2100" ht="400" customHeight="1"/>
    <row r="2101" ht="400" customHeight="1"/>
    <row r="2102" ht="400" customHeight="1"/>
    <row r="2103" ht="400" customHeight="1"/>
    <row r="2104" ht="400" customHeight="1"/>
    <row r="2105" ht="400" customHeight="1"/>
    <row r="2106" ht="400" customHeight="1"/>
    <row r="2107" ht="400" customHeight="1"/>
    <row r="2108" ht="400" customHeight="1"/>
    <row r="2109" ht="400" customHeight="1"/>
    <row r="2110" ht="400" customHeight="1"/>
    <row r="2111" ht="400" customHeight="1"/>
    <row r="2112" ht="400" customHeight="1"/>
    <row r="2113" ht="400" customHeight="1"/>
    <row r="2114" ht="400" customHeight="1"/>
    <row r="2115" ht="400" customHeight="1"/>
    <row r="2116" ht="400" customHeight="1"/>
    <row r="2117" ht="400" customHeight="1"/>
    <row r="2118" ht="400" customHeight="1"/>
    <row r="2119" ht="400" customHeight="1"/>
    <row r="2120" ht="400" customHeight="1"/>
    <row r="2121" ht="400" customHeight="1"/>
    <row r="2122" ht="400" customHeight="1"/>
    <row r="2123" ht="400" customHeight="1"/>
    <row r="2124" ht="400" customHeight="1"/>
    <row r="2125" ht="400" customHeight="1"/>
    <row r="2126" ht="400" customHeight="1"/>
    <row r="2127" ht="400" customHeight="1"/>
    <row r="2128" ht="400" customHeight="1"/>
    <row r="2129" ht="400" customHeight="1"/>
    <row r="2130" ht="400" customHeight="1"/>
    <row r="2131" ht="400" customHeight="1"/>
    <row r="2132" ht="400" customHeight="1"/>
    <row r="2133" ht="400" customHeight="1"/>
    <row r="2134" ht="400" customHeight="1"/>
    <row r="2135" ht="400" customHeight="1"/>
    <row r="2136" ht="400" customHeight="1"/>
    <row r="2137" ht="400" customHeight="1"/>
    <row r="2138" ht="400" customHeight="1"/>
    <row r="2139" ht="400" customHeight="1"/>
    <row r="2140" ht="400" customHeight="1"/>
    <row r="2141" ht="400" customHeight="1"/>
    <row r="2142" ht="400" customHeight="1"/>
    <row r="2143" ht="400" customHeight="1"/>
    <row r="2144" ht="400" customHeight="1"/>
    <row r="2145" ht="400" customHeight="1"/>
    <row r="2146" ht="400" customHeight="1"/>
    <row r="2147" ht="400" customHeight="1"/>
    <row r="2148" ht="400" customHeight="1"/>
    <row r="2149" ht="400" customHeight="1"/>
    <row r="2150" ht="400" customHeight="1"/>
    <row r="2151" ht="400" customHeight="1"/>
    <row r="2152" ht="400" customHeight="1"/>
    <row r="2153" ht="400" customHeight="1"/>
    <row r="2154" ht="400" customHeight="1"/>
    <row r="2155" ht="400" customHeight="1"/>
    <row r="2156" ht="400" customHeight="1"/>
    <row r="2157" ht="400" customHeight="1"/>
    <row r="2158" ht="400" customHeight="1"/>
    <row r="2159" ht="400" customHeight="1"/>
    <row r="2160" ht="400" customHeight="1"/>
    <row r="2161" ht="400" customHeight="1"/>
    <row r="2162" ht="400" customHeight="1"/>
    <row r="2163" ht="400" customHeight="1"/>
    <row r="2164" ht="400" customHeight="1"/>
    <row r="2165" ht="400" customHeight="1"/>
    <row r="2166" ht="400" customHeight="1"/>
    <row r="2167" ht="400" customHeight="1"/>
    <row r="2168" ht="400" customHeight="1"/>
    <row r="2169" ht="400" customHeight="1"/>
    <row r="2170" ht="400" customHeight="1"/>
    <row r="2171" ht="400" customHeight="1"/>
    <row r="2172" ht="400" customHeight="1"/>
    <row r="2173" ht="400" customHeight="1"/>
    <row r="2174" ht="400" customHeight="1"/>
    <row r="2175" ht="400" customHeight="1"/>
    <row r="2176" ht="400" customHeight="1"/>
    <row r="2177" ht="400" customHeight="1"/>
    <row r="2178" ht="400" customHeight="1"/>
    <row r="2179" ht="400" customHeight="1"/>
    <row r="2180" ht="400" customHeight="1"/>
    <row r="2181" ht="400" customHeight="1"/>
    <row r="2182" ht="400" customHeight="1"/>
    <row r="2183" ht="400" customHeight="1"/>
    <row r="2184" ht="400" customHeight="1"/>
    <row r="2185" ht="400" customHeight="1"/>
    <row r="2186" ht="400" customHeight="1"/>
    <row r="2187" ht="400" customHeight="1"/>
    <row r="2188" ht="400" customHeight="1"/>
    <row r="2189" ht="400" customHeight="1"/>
    <row r="2190" ht="400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3" topLeftCell="A4" activePane="bottomLeft" state="frozen"/>
      <selection pane="bottomLeft" activeCell="A2" sqref="A2"/>
    </sheetView>
  </sheetViews>
  <sheetFormatPr baseColWidth="10" defaultColWidth="8.83203125" defaultRowHeight="15"/>
  <cols>
    <col width="22" customWidth="1" min="1" max="1"/>
    <col width="10" customWidth="1" min="2" max="2"/>
    <col width="18" customWidth="1" min="3" max="4"/>
    <col width="16" customWidth="1" min="5" max="5"/>
  </cols>
  <sheetData>
    <row r="1" ht="19" customHeight="1">
      <c r="A1" s="14" t="inlineStr">
        <is>
          <t>Dashboard</t>
        </is>
      </c>
    </row>
    <row r="2">
      <c r="A2" s="15" t="inlineStr">
        <is>
          <t>Tip: Add items in Inventory. Dashboard updates automatically.</t>
        </is>
      </c>
      <c r="G2" s="53" t="inlineStr">
        <is>
          <t>Total Items</t>
        </is>
      </c>
      <c r="H2">
        <f>COUNTIF(Inventory!A:A,"&lt;&gt;")-1</f>
        <v/>
      </c>
    </row>
    <row r="3" ht="16" customHeight="1">
      <c r="A3" s="4" t="inlineStr">
        <is>
          <t>Wardrobe</t>
        </is>
      </c>
      <c r="B3" s="4" t="inlineStr">
        <is>
          <t># Items</t>
        </is>
      </c>
      <c r="C3" s="4" t="inlineStr">
        <is>
          <t>Total Revenue ($)</t>
        </is>
      </c>
      <c r="D3" s="4" t="inlineStr">
        <is>
          <t>Total Profit ($)</t>
        </is>
      </c>
      <c r="E3" s="4" t="inlineStr">
        <is>
          <t>Avg Rental Fee ($)</t>
        </is>
      </c>
      <c r="G3" s="53" t="inlineStr">
        <is>
          <t>Total Revenue</t>
        </is>
      </c>
      <c r="H3" s="54">
        <f>SUM(Inventory!S:S)</f>
        <v/>
      </c>
    </row>
    <row r="4">
      <c r="A4">
        <f>IF(Lists!A2="","",Lists!A2)</f>
        <v/>
      </c>
      <c r="B4">
        <f>IF($A4="","",COUNTIF(Inventory!B:B,$A4))</f>
        <v/>
      </c>
      <c r="C4" s="54">
        <f>IF($A4="","",SUMIF(Inventory!B:B,$A4,Inventory!S:S))</f>
        <v/>
      </c>
      <c r="D4" s="54">
        <f>IF($A4="","",SUMIF(Inventory!B:B,$A4,Inventory!U:U))</f>
        <v/>
      </c>
      <c r="E4" s="54">
        <f>IF($A4="","",AVERAGEIF(Inventory!B:B,$A4,Inventory!I:I))</f>
        <v/>
      </c>
      <c r="G4" s="53" t="inlineStr">
        <is>
          <t>Total Profit</t>
        </is>
      </c>
      <c r="H4" s="54">
        <f>SUM(Inventory!U:U)</f>
        <v/>
      </c>
    </row>
    <row r="5">
      <c r="A5">
        <f>IF(Lists!A3="","",Lists!A3)</f>
        <v/>
      </c>
      <c r="B5">
        <f>IF($A5="","",COUNTIF(Inventory!B:B,$A5))</f>
        <v/>
      </c>
      <c r="C5" s="54">
        <f>IF($A5="","",SUMIF(Inventory!B:B,$A5,Inventory!S:S))</f>
        <v/>
      </c>
      <c r="D5" s="54">
        <f>IF($A5="","",SUMIF(Inventory!B:B,$A5,Inventory!U:U))</f>
        <v/>
      </c>
      <c r="E5" s="54">
        <f>IF($A5="","",AVERAGEIF(Inventory!B:B,$A5,Inventory!I:I))</f>
        <v/>
      </c>
      <c r="G5" s="53" t="inlineStr">
        <is>
          <t>Avg Rental Fee</t>
        </is>
      </c>
      <c r="H5" s="54">
        <f>AVERAGEIF(Inventory!I:I,"&gt;0",Inventory!I:I)</f>
        <v/>
      </c>
    </row>
    <row r="6">
      <c r="A6">
        <f>IF(Lists!A4="","",Lists!A4)</f>
        <v/>
      </c>
      <c r="B6">
        <f>IF($A6="","",COUNTIF(Inventory!B:B,$A6))</f>
        <v/>
      </c>
      <c r="C6" s="54">
        <f>IF($A6="","",SUMIF(Inventory!B:B,$A6,Inventory!S:S))</f>
        <v/>
      </c>
      <c r="D6" s="54">
        <f>IF($A6="","",SUMIF(Inventory!B:B,$A6,Inventory!U:U))</f>
        <v/>
      </c>
      <c r="E6" s="54">
        <f>IF($A6="","",AVERAGEIF(Inventory!B:B,$A6,Inventory!I:I))</f>
        <v/>
      </c>
    </row>
    <row r="7">
      <c r="A7">
        <f>IF(Lists!A5="","",Lists!A5)</f>
        <v/>
      </c>
      <c r="B7">
        <f>IF($A7="","",COUNTIF(Inventory!B:B,$A7))</f>
        <v/>
      </c>
      <c r="C7" s="54">
        <f>IF($A7="","",SUMIF(Inventory!B:B,$A7,Inventory!S:S))</f>
        <v/>
      </c>
      <c r="D7" s="54">
        <f>IF($A7="","",SUMIF(Inventory!B:B,$A7,Inventory!U:U))</f>
        <v/>
      </c>
      <c r="E7" s="54">
        <f>IF($A7="","",AVERAGEIF(Inventory!B:B,$A7,Inventory!I:I))</f>
        <v/>
      </c>
    </row>
    <row r="8">
      <c r="A8">
        <f>IF(Lists!A6="","",Lists!A6)</f>
        <v/>
      </c>
      <c r="B8">
        <f>IF($A8="","",COUNTIF(Inventory!B:B,$A8))</f>
        <v/>
      </c>
      <c r="C8" s="54">
        <f>IF($A8="","",SUMIF(Inventory!B:B,$A8,Inventory!S:S))</f>
        <v/>
      </c>
      <c r="D8" s="54">
        <f>IF($A8="","",SUMIF(Inventory!B:B,$A8,Inventory!U:U))</f>
        <v/>
      </c>
      <c r="E8" s="54">
        <f>IF($A8="","",AVERAGEIF(Inventory!B:B,$A8,Inventory!I:I))</f>
        <v/>
      </c>
    </row>
    <row r="9">
      <c r="A9">
        <f>IF(Lists!A7="","",Lists!A7)</f>
        <v/>
      </c>
      <c r="B9">
        <f>IF($A9="","",COUNTIF(Inventory!B:B,$A9))</f>
        <v/>
      </c>
      <c r="C9" s="54">
        <f>IF($A9="","",SUMIF(Inventory!B:B,$A9,Inventory!S:S))</f>
        <v/>
      </c>
      <c r="D9" s="54">
        <f>IF($A9="","",SUMIF(Inventory!B:B,$A9,Inventory!U:U))</f>
        <v/>
      </c>
      <c r="E9" s="54">
        <f>IF($A9="","",AVERAGEIF(Inventory!B:B,$A9,Inventory!I:I))</f>
        <v/>
      </c>
    </row>
    <row r="10">
      <c r="A10">
        <f>IF(Lists!A8="","",Lists!A8)</f>
        <v/>
      </c>
      <c r="B10">
        <f>IF($A10="","",COUNTIF(Inventory!B:B,$A10))</f>
        <v/>
      </c>
      <c r="C10" s="54">
        <f>IF($A10="","",SUMIF(Inventory!B:B,$A10,Inventory!S:S))</f>
        <v/>
      </c>
      <c r="D10" s="54">
        <f>IF($A10="","",SUMIF(Inventory!B:B,$A10,Inventory!U:U))</f>
        <v/>
      </c>
      <c r="E10" s="54">
        <f>IF($A10="","",AVERAGEIF(Inventory!B:B,$A10,Inventory!I:I))</f>
        <v/>
      </c>
    </row>
    <row r="11">
      <c r="A11">
        <f>IF(Lists!A9="","",Lists!A9)</f>
        <v/>
      </c>
      <c r="B11">
        <f>IF($A11="","",COUNTIF(Inventory!B:B,$A11))</f>
        <v/>
      </c>
      <c r="C11" s="54">
        <f>IF($A11="","",SUMIF(Inventory!B:B,$A11,Inventory!S:S))</f>
        <v/>
      </c>
      <c r="D11" s="54">
        <f>IF($A11="","",SUMIF(Inventory!B:B,$A11,Inventory!U:U))</f>
        <v/>
      </c>
      <c r="E11" s="54">
        <f>IF($A11="","",AVERAGEIF(Inventory!B:B,$A11,Inventory!I:I))</f>
        <v/>
      </c>
    </row>
    <row r="12">
      <c r="A12">
        <f>IF(Lists!A10="","",Lists!A10)</f>
        <v/>
      </c>
      <c r="B12">
        <f>IF($A12="","",COUNTIF(Inventory!B:B,$A12))</f>
        <v/>
      </c>
      <c r="C12" s="54">
        <f>IF($A12="","",SUMIF(Inventory!B:B,$A12,Inventory!S:S))</f>
        <v/>
      </c>
      <c r="D12" s="54">
        <f>IF($A12="","",SUMIF(Inventory!B:B,$A12,Inventory!U:U))</f>
        <v/>
      </c>
      <c r="E12" s="54">
        <f>IF($A12="","",AVERAGEIF(Inventory!B:B,$A12,Inventory!I:I))</f>
        <v/>
      </c>
    </row>
    <row r="13">
      <c r="A13">
        <f>IF(Lists!A11="","",Lists!A11)</f>
        <v/>
      </c>
      <c r="B13">
        <f>IF($A13="","",COUNTIF(Inventory!B:B,$A13))</f>
        <v/>
      </c>
      <c r="C13" s="54">
        <f>IF($A13="","",SUMIF(Inventory!B:B,$A13,Inventory!S:S))</f>
        <v/>
      </c>
      <c r="D13" s="54">
        <f>IF($A13="","",SUMIF(Inventory!B:B,$A13,Inventory!U:U))</f>
        <v/>
      </c>
      <c r="E13" s="54">
        <f>IF($A13="","",AVERAGEIF(Inventory!B:B,$A13,Inventory!I:I))</f>
        <v/>
      </c>
    </row>
    <row r="14">
      <c r="A14">
        <f>IF(Lists!A12="","",Lists!A12)</f>
        <v/>
      </c>
      <c r="B14">
        <f>IF($A14="","",COUNTIF(Inventory!B:B,$A14))</f>
        <v/>
      </c>
      <c r="C14" s="54">
        <f>IF($A14="","",SUMIF(Inventory!B:B,$A14,Inventory!S:S))</f>
        <v/>
      </c>
      <c r="D14" s="54">
        <f>IF($A14="","",SUMIF(Inventory!B:B,$A14,Inventory!U:U))</f>
        <v/>
      </c>
      <c r="E14" s="54">
        <f>IF($A14="","",AVERAGEIF(Inventory!B:B,$A14,Inventory!I:I))</f>
        <v/>
      </c>
    </row>
    <row r="15">
      <c r="A15">
        <f>IF(Lists!A13="","",Lists!A13)</f>
        <v/>
      </c>
      <c r="B15">
        <f>IF($A15="","",COUNTIF(Inventory!B:B,$A15))</f>
        <v/>
      </c>
      <c r="C15" s="54">
        <f>IF($A15="","",SUMIF(Inventory!B:B,$A15,Inventory!S:S))</f>
        <v/>
      </c>
      <c r="D15" s="54">
        <f>IF($A15="","",SUMIF(Inventory!B:B,$A15,Inventory!U:U))</f>
        <v/>
      </c>
      <c r="E15" s="54">
        <f>IF($A15="","",AVERAGEIF(Inventory!B:B,$A15,Inventory!I:I))</f>
        <v/>
      </c>
    </row>
    <row r="16">
      <c r="A16">
        <f>IF(Lists!A14="","",Lists!A14)</f>
        <v/>
      </c>
      <c r="B16">
        <f>IF($A16="","",COUNTIF(Inventory!B:B,$A16))</f>
        <v/>
      </c>
      <c r="C16" s="54">
        <f>IF($A16="","",SUMIF(Inventory!B:B,$A16,Inventory!S:S))</f>
        <v/>
      </c>
      <c r="D16" s="54">
        <f>IF($A16="","",SUMIF(Inventory!B:B,$A16,Inventory!U:U))</f>
        <v/>
      </c>
      <c r="E16" s="54">
        <f>IF($A16="","",AVERAGEIF(Inventory!B:B,$A16,Inventory!I:I))</f>
        <v/>
      </c>
    </row>
    <row r="17">
      <c r="A17">
        <f>IF(Lists!A15="","",Lists!A15)</f>
        <v/>
      </c>
      <c r="B17">
        <f>IF($A17="","",COUNTIF(Inventory!B:B,$A17))</f>
        <v/>
      </c>
      <c r="C17" s="54">
        <f>IF($A17="","",SUMIF(Inventory!B:B,$A17,Inventory!S:S))</f>
        <v/>
      </c>
      <c r="D17" s="54">
        <f>IF($A17="","",SUMIF(Inventory!B:B,$A17,Inventory!U:U))</f>
        <v/>
      </c>
      <c r="E17" s="54">
        <f>IF($A17="","",AVERAGEIF(Inventory!B:B,$A17,Inventory!I:I))</f>
        <v/>
      </c>
    </row>
    <row r="18">
      <c r="A18">
        <f>IF(Lists!A16="","",Lists!A16)</f>
        <v/>
      </c>
      <c r="B18">
        <f>IF($A18="","",COUNTIF(Inventory!B:B,$A18))</f>
        <v/>
      </c>
      <c r="C18" s="54">
        <f>IF($A18="","",SUMIF(Inventory!B:B,$A18,Inventory!S:S))</f>
        <v/>
      </c>
      <c r="D18" s="54">
        <f>IF($A18="","",SUMIF(Inventory!B:B,$A18,Inventory!U:U))</f>
        <v/>
      </c>
      <c r="E18" s="54">
        <f>IF($A18="","",AVERAGEIF(Inventory!B:B,$A18,Inventory!I:I))</f>
        <v/>
      </c>
    </row>
    <row r="19">
      <c r="A19">
        <f>IF(Lists!A17="","",Lists!A17)</f>
        <v/>
      </c>
      <c r="B19">
        <f>IF($A19="","",COUNTIF(Inventory!B:B,$A19))</f>
        <v/>
      </c>
      <c r="C19" s="54">
        <f>IF($A19="","",SUMIF(Inventory!B:B,$A19,Inventory!S:S))</f>
        <v/>
      </c>
      <c r="D19" s="54">
        <f>IF($A19="","",SUMIF(Inventory!B:B,$A19,Inventory!U:U))</f>
        <v/>
      </c>
      <c r="E19" s="54">
        <f>IF($A19="","",AVERAGEIF(Inventory!B:B,$A19,Inventory!I:I))</f>
        <v/>
      </c>
    </row>
    <row r="20">
      <c r="A20">
        <f>IF(Lists!A18="","",Lists!A18)</f>
        <v/>
      </c>
      <c r="B20">
        <f>IF($A20="","",COUNTIF(Inventory!B:B,$A20))</f>
        <v/>
      </c>
      <c r="C20" s="54">
        <f>IF($A20="","",SUMIF(Inventory!B:B,$A20,Inventory!S:S))</f>
        <v/>
      </c>
      <c r="D20" s="54">
        <f>IF($A20="","",SUMIF(Inventory!B:B,$A20,Inventory!U:U))</f>
        <v/>
      </c>
      <c r="E20" s="54">
        <f>IF($A20="","",AVERAGEIF(Inventory!B:B,$A20,Inventory!I:I))</f>
        <v/>
      </c>
    </row>
    <row r="21">
      <c r="A21">
        <f>IF(Lists!A19="","",Lists!A19)</f>
        <v/>
      </c>
      <c r="B21">
        <f>IF($A21="","",COUNTIF(Inventory!B:B,$A21))</f>
        <v/>
      </c>
      <c r="C21" s="54">
        <f>IF($A21="","",SUMIF(Inventory!B:B,$A21,Inventory!S:S))</f>
        <v/>
      </c>
      <c r="D21" s="54">
        <f>IF($A21="","",SUMIF(Inventory!B:B,$A21,Inventory!U:U))</f>
        <v/>
      </c>
      <c r="E21" s="54">
        <f>IF($A21="","",AVERAGEIF(Inventory!B:B,$A21,Inventory!I:I))</f>
        <v/>
      </c>
    </row>
    <row r="22">
      <c r="A22">
        <f>IF(Lists!A20="","",Lists!A20)</f>
        <v/>
      </c>
      <c r="B22">
        <f>IF($A22="","",COUNTIF(Inventory!B:B,$A22))</f>
        <v/>
      </c>
      <c r="C22" s="54">
        <f>IF($A22="","",SUMIF(Inventory!B:B,$A22,Inventory!S:S))</f>
        <v/>
      </c>
      <c r="D22" s="54">
        <f>IF($A22="","",SUMIF(Inventory!B:B,$A22,Inventory!U:U))</f>
        <v/>
      </c>
      <c r="E22" s="54">
        <f>IF($A22="","",AVERAGEIF(Inventory!B:B,$A22,Inventory!I:I))</f>
        <v/>
      </c>
    </row>
    <row r="23">
      <c r="A23">
        <f>IF(Lists!A21="","",Lists!A21)</f>
        <v/>
      </c>
      <c r="B23">
        <f>IF($A23="","",COUNTIF(Inventory!B:B,$A23))</f>
        <v/>
      </c>
      <c r="C23" s="54">
        <f>IF($A23="","",SUMIF(Inventory!B:B,$A23,Inventory!S:S))</f>
        <v/>
      </c>
      <c r="D23" s="54">
        <f>IF($A23="","",SUMIF(Inventory!B:B,$A23,Inventory!U:U))</f>
        <v/>
      </c>
      <c r="E23" s="54">
        <f>IF($A23="","",AVERAGEIF(Inventory!B:B,$A23,Inventory!I:I))</f>
        <v/>
      </c>
    </row>
    <row r="24">
      <c r="A24">
        <f>IF(Lists!A22="","",Lists!A22)</f>
        <v/>
      </c>
      <c r="B24">
        <f>IF($A24="","",COUNTIF(Inventory!B:B,$A24))</f>
        <v/>
      </c>
      <c r="C24" s="54">
        <f>IF($A24="","",SUMIF(Inventory!B:B,$A24,Inventory!S:S))</f>
        <v/>
      </c>
      <c r="D24" s="54">
        <f>IF($A24="","",SUMIF(Inventory!B:B,$A24,Inventory!U:U))</f>
        <v/>
      </c>
      <c r="E24" s="54">
        <f>IF($A24="","",AVERAGEIF(Inventory!B:B,$A24,Inventory!I:I))</f>
        <v/>
      </c>
    </row>
    <row r="25">
      <c r="A25">
        <f>IF(Lists!A23="","",Lists!A23)</f>
        <v/>
      </c>
      <c r="B25">
        <f>IF($A25="","",COUNTIF(Inventory!B:B,$A25))</f>
        <v/>
      </c>
      <c r="C25" s="54">
        <f>IF($A25="","",SUMIF(Inventory!B:B,$A25,Inventory!S:S))</f>
        <v/>
      </c>
      <c r="D25" s="54">
        <f>IF($A25="","",SUMIF(Inventory!B:B,$A25,Inventory!U:U))</f>
        <v/>
      </c>
      <c r="E25" s="54">
        <f>IF($A25="","",AVERAGEIF(Inventory!B:B,$A25,Inventory!I:I))</f>
        <v/>
      </c>
    </row>
    <row r="26">
      <c r="A26">
        <f>IF(Lists!A24="","",Lists!A24)</f>
        <v/>
      </c>
      <c r="B26">
        <f>IF($A26="","",COUNTIF(Inventory!B:B,$A26))</f>
        <v/>
      </c>
      <c r="C26" s="54">
        <f>IF($A26="","",SUMIF(Inventory!B:B,$A26,Inventory!S:S))</f>
        <v/>
      </c>
      <c r="D26" s="54">
        <f>IF($A26="","",SUMIF(Inventory!B:B,$A26,Inventory!U:U))</f>
        <v/>
      </c>
      <c r="E26" s="54">
        <f>IF($A26="","",AVERAGEIF(Inventory!B:B,$A26,Inventory!I:I))</f>
        <v/>
      </c>
    </row>
    <row r="27">
      <c r="A27">
        <f>IF(Lists!A25="","",Lists!A25)</f>
        <v/>
      </c>
      <c r="B27">
        <f>IF($A27="","",COUNTIF(Inventory!B:B,$A27))</f>
        <v/>
      </c>
      <c r="C27" s="54">
        <f>IF($A27="","",SUMIF(Inventory!B:B,$A27,Inventory!S:S))</f>
        <v/>
      </c>
      <c r="D27" s="54">
        <f>IF($A27="","",SUMIF(Inventory!B:B,$A27,Inventory!U:U))</f>
        <v/>
      </c>
      <c r="E27" s="54">
        <f>IF($A27="","",AVERAGEIF(Inventory!B:B,$A27,Inventory!I:I))</f>
        <v/>
      </c>
    </row>
    <row r="28">
      <c r="A28">
        <f>IF(Lists!A26="","",Lists!A26)</f>
        <v/>
      </c>
      <c r="B28">
        <f>IF($A28="","",COUNTIF(Inventory!B:B,$A28))</f>
        <v/>
      </c>
      <c r="C28" s="54">
        <f>IF($A28="","",SUMIF(Inventory!B:B,$A28,Inventory!S:S))</f>
        <v/>
      </c>
      <c r="D28" s="54">
        <f>IF($A28="","",SUMIF(Inventory!B:B,$A28,Inventory!U:U))</f>
        <v/>
      </c>
      <c r="E28" s="54">
        <f>IF($A28="","",AVERAGEIF(Inventory!B:B,$A28,Inventory!I:I))</f>
        <v/>
      </c>
    </row>
    <row r="29">
      <c r="A29">
        <f>IF(Lists!A27="","",Lists!A27)</f>
        <v/>
      </c>
      <c r="B29">
        <f>IF($A29="","",COUNTIF(Inventory!B:B,$A29))</f>
        <v/>
      </c>
      <c r="C29" s="54">
        <f>IF($A29="","",SUMIF(Inventory!B:B,$A29,Inventory!S:S))</f>
        <v/>
      </c>
      <c r="D29" s="54">
        <f>IF($A29="","",SUMIF(Inventory!B:B,$A29,Inventory!U:U))</f>
        <v/>
      </c>
      <c r="E29" s="54">
        <f>IF($A29="","",AVERAGEIF(Inventory!B:B,$A29,Inventory!I:I))</f>
        <v/>
      </c>
    </row>
    <row r="30">
      <c r="A30">
        <f>IF(Lists!A28="","",Lists!A28)</f>
        <v/>
      </c>
      <c r="B30">
        <f>IF($A30="","",COUNTIF(Inventory!B:B,$A30))</f>
        <v/>
      </c>
      <c r="C30" s="54">
        <f>IF($A30="","",SUMIF(Inventory!B:B,$A30,Inventory!S:S))</f>
        <v/>
      </c>
      <c r="D30" s="54">
        <f>IF($A30="","",SUMIF(Inventory!B:B,$A30,Inventory!U:U))</f>
        <v/>
      </c>
      <c r="E30" s="54">
        <f>IF($A30="","",AVERAGEIF(Inventory!B:B,$A30,Inventory!I:I))</f>
        <v/>
      </c>
    </row>
    <row r="31">
      <c r="A31">
        <f>IF(Lists!A29="","",Lists!A29)</f>
        <v/>
      </c>
      <c r="B31">
        <f>IF($A31="","",COUNTIF(Inventory!B:B,$A31))</f>
        <v/>
      </c>
      <c r="C31" s="54">
        <f>IF($A31="","",SUMIF(Inventory!B:B,$A31,Inventory!S:S))</f>
        <v/>
      </c>
      <c r="D31" s="54">
        <f>IF($A31="","",SUMIF(Inventory!B:B,$A31,Inventory!U:U))</f>
        <v/>
      </c>
      <c r="E31" s="54">
        <f>IF($A31="","",AVERAGEIF(Inventory!B:B,$A31,Inventory!I:I))</f>
        <v/>
      </c>
    </row>
    <row r="32">
      <c r="A32">
        <f>IF(Lists!A30="","",Lists!A30)</f>
        <v/>
      </c>
      <c r="B32">
        <f>IF($A32="","",COUNTIF(Inventory!B:B,$A32))</f>
        <v/>
      </c>
      <c r="C32" s="54">
        <f>IF($A32="","",SUMIF(Inventory!B:B,$A32,Inventory!S:S))</f>
        <v/>
      </c>
      <c r="D32" s="54">
        <f>IF($A32="","",SUMIF(Inventory!B:B,$A32,Inventory!U:U))</f>
        <v/>
      </c>
      <c r="E32" s="54">
        <f>IF($A32="","",AVERAGEIF(Inventory!B:B,$A32,Inventory!I:I))</f>
        <v/>
      </c>
    </row>
    <row r="33">
      <c r="A33">
        <f>IF(Lists!A31="","",Lists!A31)</f>
        <v/>
      </c>
      <c r="B33">
        <f>IF($A33="","",COUNTIF(Inventory!B:B,$A33))</f>
        <v/>
      </c>
      <c r="C33" s="54">
        <f>IF($A33="","",SUMIF(Inventory!B:B,$A33,Inventory!S:S))</f>
        <v/>
      </c>
      <c r="D33" s="54">
        <f>IF($A33="","",SUMIF(Inventory!B:B,$A33,Inventory!U:U))</f>
        <v/>
      </c>
      <c r="E33" s="54">
        <f>IF($A33="","",AVERAGEIF(Inventory!B:B,$A33,Inventory!I:I))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0" sqref="A10:XFD10"/>
    </sheetView>
  </sheetViews>
  <sheetFormatPr baseColWidth="10" defaultColWidth="10.83203125" defaultRowHeight="15"/>
  <cols>
    <col width="24.33203125" customWidth="1" min="1" max="1"/>
    <col width="56.83203125" customWidth="1" min="2" max="2"/>
  </cols>
  <sheetData>
    <row r="1" ht="16" customHeight="1">
      <c r="A1" s="4" t="inlineStr">
        <is>
          <t>Wardrobes</t>
        </is>
      </c>
      <c r="B1" s="4" t="inlineStr">
        <is>
          <t>Descroptions</t>
        </is>
      </c>
    </row>
    <row r="2">
      <c r="A2" s="5" t="inlineStr">
        <is>
          <t>Everyday</t>
        </is>
      </c>
    </row>
    <row r="3">
      <c r="A3" s="5" t="inlineStr">
        <is>
          <t>Work</t>
        </is>
      </c>
    </row>
    <row r="4">
      <c r="A4" s="5" t="inlineStr">
        <is>
          <t>Casual</t>
        </is>
      </c>
    </row>
    <row r="5">
      <c r="A5" s="5" t="inlineStr">
        <is>
          <t>Formal</t>
        </is>
      </c>
    </row>
    <row r="6">
      <c r="A6" s="5" t="inlineStr">
        <is>
          <t>Night Out</t>
        </is>
      </c>
    </row>
    <row r="7">
      <c r="A7" s="5" t="inlineStr">
        <is>
          <t>Vacation</t>
        </is>
      </c>
    </row>
    <row r="8">
      <c r="A8" s="5" t="inlineStr">
        <is>
          <t>Active</t>
        </is>
      </c>
    </row>
    <row r="9">
      <c r="A9" s="5" t="inlineStr">
        <is>
          <t>Seasonal</t>
        </is>
      </c>
    </row>
    <row r="10" ht="117" customHeight="1">
      <c r="A10" s="16" t="inlineStr">
        <is>
          <t>The 203 Collection</t>
        </is>
      </c>
      <c r="B10" s="19" t="inlineStr">
        <is>
          <t>The 203 collection is made for casual  style in the summer. Where weeks consist of a casual job along with spending time with friends. This style is curated for a beachy feel with some high end with a mix of stylish normal cllothes. The 203 is named after fairfield county CT area code so you will definitly see some people lookin like you with the wardrobe</t>
        </is>
      </c>
    </row>
    <row r="11">
      <c r="A11" t="inlineStr">
        <is>
          <t>The Greenwich Standard</t>
        </is>
      </c>
    </row>
    <row r="12">
      <c r="A12" t="inlineStr">
        <is>
          <t>Purely Nantucket</t>
        </is>
      </c>
    </row>
    <row r="13">
      <c r="A13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2025-12-21T01:56:27Z</dcterms:created>
  <dcterms:modified xmlns:dcterms="http://purl.org/dc/terms/" xmlns:xsi="http://www.w3.org/2001/XMLSchema-instance" xsi:type="dcterms:W3CDTF">2025-12-29T16:14:08Z</dcterms:modified>
  <cp:lastModifiedBy>Davenport, Benjamin Peter</cp:lastModifiedBy>
</cp:coreProperties>
</file>