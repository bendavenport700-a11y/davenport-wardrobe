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ardrobe View" sheetId="4" state="visible" r:id="rId4"/>
    <sheet xmlns:r="http://schemas.openxmlformats.org/officeDocument/2006/relationships" name="Dashboard" sheetId="5" state="visible" r:id="rId5"/>
  </sheets>
  <definedNames>
    <definedName name="WardrobeList">OFFSET(Lists!$A$2,0,0,COUNTA(Lists!$A:$A)-1,1)</definedName>
    <definedName name="CategoryList">OFFSET(Lists!$B$2,0,0,COUNTA(Lists!$B:$B)-1,1)</definedName>
    <definedName name="ConditionList">OFFSET(Lists!$C$2,0,0,COUNTA(Lists!$C:$C)-1,1)</definedName>
    <definedName name="SizeList">OFFSET(Lists!$D$2,0,0,COUNTA(Lists!$D:$D)-1,1)</definedName>
    <definedName name="ColorList">OFFSET(Lists!$E$2,0,0,COUNTA(Lists!$E:$E)-1,1)</definedName>
    <definedName name="ItemStatusList">OFFSET(Lists!$F$2,0,0,COUNTA(Lists!$F:$F)-1,1)</definedName>
    <definedName name="PurchaseStatusList">OFFSET(Lists!$G$2,0,0,COUNTA(Lists!$G:$G)-1,1)</definedName>
    <definedName name="_xlnm._FilterDatabase" localSheetId="2" hidden="1">'Inventory'!$A$1:$W$1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/d/yyyy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Wardrobe Rental Organizer (Excel)</t>
        </is>
      </c>
    </row>
    <row r="3">
      <c r="A3" s="2" t="inlineStr">
        <is>
          <t>How to use:</t>
        </is>
      </c>
    </row>
    <row r="5">
      <c r="A5" s="3" t="inlineStr">
        <is>
          <t>1) Go to the Lists sheet to add / edit dropdown options (Wardrobes, Categories, Sizes, Colors, etc.).</t>
        </is>
      </c>
    </row>
    <row r="6">
      <c r="A6" t="inlineStr">
        <is>
          <t xml:space="preserve">   - The dropdowns update automatically as you add new items to the Lists columns.</t>
        </is>
      </c>
    </row>
    <row r="7">
      <c r="A7" t="inlineStr">
        <is>
          <t>2) Go to Inventory and fill in the blue cells (your inputs). Item IDs are already permanent.</t>
        </is>
      </c>
    </row>
    <row r="8">
      <c r="A8" t="inlineStr">
        <is>
          <t>3) For pictures:</t>
        </is>
      </c>
    </row>
    <row r="9">
      <c r="A9" t="inlineStr">
        <is>
          <t xml:space="preserve">   - If your Excel supports the IMAGE() function, paste an image URL into 'Image URL' and the Image column will show it.</t>
        </is>
      </c>
    </row>
    <row r="10">
      <c r="A10" t="inlineStr">
        <is>
          <t xml:space="preserve">   - If not, you can insert pictures manually (Insert → Pictures).</t>
        </is>
      </c>
    </row>
    <row r="11">
      <c r="A11" t="inlineStr">
        <is>
          <t>4) Wardrobe View:</t>
        </is>
      </c>
    </row>
    <row r="12">
      <c r="A12" t="inlineStr">
        <is>
          <t xml:space="preserve">   - Select a wardrobe in cell B1 and the matching inventory will show automatically.</t>
        </is>
      </c>
    </row>
    <row r="13">
      <c r="A13" t="inlineStr">
        <is>
          <t>5) Finance tracking (simple):</t>
        </is>
      </c>
    </row>
    <row r="14">
      <c r="A14" t="inlineStr">
        <is>
          <t xml:space="preserve">   - Enter Times Rented for each item. Total Revenue, Total Cost, Profit, and Break-even Rentals calculate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8" customWidth="1" min="7" max="7"/>
  </cols>
  <sheetData>
    <row r="1">
      <c r="A1" s="4" t="inlineStr">
        <is>
          <t>Wardrobes</t>
        </is>
      </c>
      <c r="B1" s="4" t="inlineStr">
        <is>
          <t>Categories</t>
        </is>
      </c>
      <c r="C1" s="4" t="inlineStr">
        <is>
          <t>Conditions</t>
        </is>
      </c>
      <c r="D1" s="4" t="inlineStr">
        <is>
          <t>Sizes</t>
        </is>
      </c>
      <c r="E1" s="4" t="inlineStr">
        <is>
          <t>Colors</t>
        </is>
      </c>
      <c r="F1" s="4" t="inlineStr">
        <is>
          <t>Item Status</t>
        </is>
      </c>
      <c r="G1" s="4" t="inlineStr">
        <is>
          <t>Purchase Status</t>
        </is>
      </c>
    </row>
    <row r="2">
      <c r="A2" s="5" t="inlineStr">
        <is>
          <t>Everyday</t>
        </is>
      </c>
      <c r="B2" s="5" t="inlineStr">
        <is>
          <t>Top</t>
        </is>
      </c>
      <c r="C2" s="5" t="inlineStr">
        <is>
          <t>New</t>
        </is>
      </c>
      <c r="D2" s="5" t="inlineStr">
        <is>
          <t>XXS</t>
        </is>
      </c>
      <c r="E2" s="5" t="inlineStr">
        <is>
          <t>Black</t>
        </is>
      </c>
      <c r="F2" s="5" t="inlineStr">
        <is>
          <t>Available</t>
        </is>
      </c>
      <c r="G2" s="5" t="inlineStr">
        <is>
          <t>Purchased</t>
        </is>
      </c>
    </row>
    <row r="3">
      <c r="A3" s="5" t="inlineStr">
        <is>
          <t>Work</t>
        </is>
      </c>
      <c r="B3" s="5" t="inlineStr">
        <is>
          <t>Bottom</t>
        </is>
      </c>
      <c r="C3" s="5" t="inlineStr">
        <is>
          <t>Like New</t>
        </is>
      </c>
      <c r="D3" s="5" t="inlineStr">
        <is>
          <t>XS</t>
        </is>
      </c>
      <c r="E3" s="5" t="inlineStr">
        <is>
          <t>White</t>
        </is>
      </c>
      <c r="F3" s="5" t="inlineStr">
        <is>
          <t>Rented</t>
        </is>
      </c>
      <c r="G3" s="5" t="inlineStr">
        <is>
          <t>Not purchased</t>
        </is>
      </c>
    </row>
    <row r="4">
      <c r="A4" s="5" t="inlineStr">
        <is>
          <t>Casual</t>
        </is>
      </c>
      <c r="B4" s="5" t="inlineStr">
        <is>
          <t>Outerwear</t>
        </is>
      </c>
      <c r="C4" s="5" t="inlineStr">
        <is>
          <t>Good</t>
        </is>
      </c>
      <c r="D4" s="5" t="inlineStr">
        <is>
          <t>S</t>
        </is>
      </c>
      <c r="E4" s="5" t="inlineStr">
        <is>
          <t>Gray</t>
        </is>
      </c>
      <c r="F4" s="5" t="inlineStr">
        <is>
          <t>Cleaning</t>
        </is>
      </c>
      <c r="G4" s="5" t="inlineStr">
        <is>
          <t>Pending purchase</t>
        </is>
      </c>
    </row>
    <row r="5">
      <c r="A5" s="5" t="inlineStr">
        <is>
          <t>Formal</t>
        </is>
      </c>
      <c r="B5" s="5" t="inlineStr">
        <is>
          <t>Jacket</t>
        </is>
      </c>
      <c r="C5" s="5" t="inlineStr">
        <is>
          <t>Fair</t>
        </is>
      </c>
      <c r="D5" s="5" t="inlineStr">
        <is>
          <t>M</t>
        </is>
      </c>
      <c r="E5" s="5" t="inlineStr">
        <is>
          <t>Brown</t>
        </is>
      </c>
      <c r="F5" s="5" t="inlineStr">
        <is>
          <t>Repair</t>
        </is>
      </c>
    </row>
    <row r="6">
      <c r="A6" s="5" t="inlineStr">
        <is>
          <t>Night Out</t>
        </is>
      </c>
      <c r="B6" s="5" t="inlineStr">
        <is>
          <t>Coat</t>
        </is>
      </c>
      <c r="C6" s="5" t="inlineStr">
        <is>
          <t>Needs Repair</t>
        </is>
      </c>
      <c r="D6" s="5" t="inlineStr">
        <is>
          <t>L</t>
        </is>
      </c>
      <c r="E6" s="5" t="inlineStr">
        <is>
          <t>Blue</t>
        </is>
      </c>
      <c r="F6" s="5" t="inlineStr">
        <is>
          <t>Retired</t>
        </is>
      </c>
    </row>
    <row r="7">
      <c r="A7" s="5" t="inlineStr">
        <is>
          <t>Vacation</t>
        </is>
      </c>
      <c r="B7" s="5" t="inlineStr">
        <is>
          <t>Hoodie</t>
        </is>
      </c>
      <c r="D7" s="5" t="inlineStr">
        <is>
          <t>XL</t>
        </is>
      </c>
      <c r="E7" s="5" t="inlineStr">
        <is>
          <t>Navy</t>
        </is>
      </c>
    </row>
    <row r="8">
      <c r="A8" s="5" t="inlineStr">
        <is>
          <t>Active</t>
        </is>
      </c>
      <c r="B8" s="5" t="inlineStr">
        <is>
          <t>Sweater</t>
        </is>
      </c>
      <c r="D8" s="5" t="inlineStr">
        <is>
          <t>XXL</t>
        </is>
      </c>
      <c r="E8" s="5" t="inlineStr">
        <is>
          <t>Green</t>
        </is>
      </c>
    </row>
    <row r="9">
      <c r="A9" s="5" t="inlineStr">
        <is>
          <t>Seasonal</t>
        </is>
      </c>
      <c r="B9" s="5" t="inlineStr">
        <is>
          <t>T-Shirt</t>
        </is>
      </c>
      <c r="D9" s="5" t="inlineStr">
        <is>
          <t>XXXL</t>
        </is>
      </c>
      <c r="E9" s="5" t="inlineStr">
        <is>
          <t>Red</t>
        </is>
      </c>
    </row>
    <row r="10">
      <c r="B10" s="5" t="inlineStr">
        <is>
          <t>Shirt</t>
        </is>
      </c>
      <c r="D10" s="5" t="inlineStr">
        <is>
          <t>One Size</t>
        </is>
      </c>
      <c r="E10" s="5" t="inlineStr">
        <is>
          <t>Pink</t>
        </is>
      </c>
    </row>
    <row r="11">
      <c r="B11" s="5" t="inlineStr">
        <is>
          <t>Polo</t>
        </is>
      </c>
      <c r="D11" s="5" t="inlineStr">
        <is>
          <t>00</t>
        </is>
      </c>
      <c r="E11" s="5" t="inlineStr">
        <is>
          <t>Purple</t>
        </is>
      </c>
    </row>
    <row r="12">
      <c r="B12" s="5" t="inlineStr">
        <is>
          <t>Dress</t>
        </is>
      </c>
      <c r="D12" s="5" t="inlineStr">
        <is>
          <t>0</t>
        </is>
      </c>
      <c r="E12" s="5" t="inlineStr">
        <is>
          <t>Yellow</t>
        </is>
      </c>
    </row>
    <row r="13">
      <c r="B13" s="5" t="inlineStr">
        <is>
          <t>Suit</t>
        </is>
      </c>
      <c r="D13" s="5" t="inlineStr">
        <is>
          <t>2</t>
        </is>
      </c>
      <c r="E13" s="5" t="inlineStr">
        <is>
          <t>Orange</t>
        </is>
      </c>
    </row>
    <row r="14">
      <c r="B14" s="5" t="inlineStr">
        <is>
          <t>Blazer</t>
        </is>
      </c>
      <c r="D14" s="5" t="inlineStr">
        <is>
          <t>4</t>
        </is>
      </c>
      <c r="E14" s="5" t="inlineStr">
        <is>
          <t>Beige</t>
        </is>
      </c>
    </row>
    <row r="15">
      <c r="B15" s="5" t="inlineStr">
        <is>
          <t>Set</t>
        </is>
      </c>
      <c r="D15" s="5" t="inlineStr">
        <is>
          <t>6</t>
        </is>
      </c>
      <c r="E15" s="5" t="inlineStr">
        <is>
          <t>Tan</t>
        </is>
      </c>
    </row>
    <row r="16">
      <c r="B16" s="5" t="inlineStr">
        <is>
          <t>Activewear</t>
        </is>
      </c>
      <c r="D16" s="5" t="inlineStr">
        <is>
          <t>8</t>
        </is>
      </c>
      <c r="E16" s="5" t="inlineStr">
        <is>
          <t>Cream</t>
        </is>
      </c>
    </row>
    <row r="17">
      <c r="B17" s="5" t="inlineStr">
        <is>
          <t>Loungewear</t>
        </is>
      </c>
      <c r="D17" s="5" t="inlineStr">
        <is>
          <t>10</t>
        </is>
      </c>
      <c r="E17" s="5" t="inlineStr">
        <is>
          <t>Off-White</t>
        </is>
      </c>
    </row>
    <row r="18">
      <c r="B18" s="5" t="inlineStr">
        <is>
          <t>Sleepwear</t>
        </is>
      </c>
      <c r="D18" s="5" t="inlineStr">
        <is>
          <t>12</t>
        </is>
      </c>
      <c r="E18" s="5" t="inlineStr">
        <is>
          <t>Charcoal</t>
        </is>
      </c>
    </row>
    <row r="19">
      <c r="B19" s="5" t="inlineStr">
        <is>
          <t>Shoes</t>
        </is>
      </c>
      <c r="D19" s="5" t="inlineStr">
        <is>
          <t>14</t>
        </is>
      </c>
      <c r="E19" s="5" t="inlineStr">
        <is>
          <t>Chocolate</t>
        </is>
      </c>
    </row>
    <row r="20">
      <c r="B20" s="5" t="inlineStr">
        <is>
          <t>Sneakers</t>
        </is>
      </c>
      <c r="D20" s="5" t="inlineStr">
        <is>
          <t>16</t>
        </is>
      </c>
      <c r="E20" s="5" t="inlineStr">
        <is>
          <t>Silver</t>
        </is>
      </c>
    </row>
    <row r="21">
      <c r="B21" s="5" t="inlineStr">
        <is>
          <t>Boots</t>
        </is>
      </c>
      <c r="D21" s="5" t="inlineStr">
        <is>
          <t>18</t>
        </is>
      </c>
      <c r="E21" s="5" t="inlineStr">
        <is>
          <t>Light Blue</t>
        </is>
      </c>
    </row>
    <row r="22">
      <c r="B22" s="5" t="inlineStr">
        <is>
          <t>Loafers</t>
        </is>
      </c>
      <c r="D22" s="5" t="inlineStr">
        <is>
          <t>20</t>
        </is>
      </c>
      <c r="E22" s="5" t="inlineStr">
        <is>
          <t>Royal Blue</t>
        </is>
      </c>
    </row>
    <row r="23">
      <c r="B23" s="5" t="inlineStr">
        <is>
          <t>Dress Shoes</t>
        </is>
      </c>
      <c r="D23" s="5" t="inlineStr">
        <is>
          <t>22</t>
        </is>
      </c>
      <c r="E23" s="5" t="inlineStr">
        <is>
          <t>Teal</t>
        </is>
      </c>
    </row>
    <row r="24">
      <c r="B24" s="5" t="inlineStr">
        <is>
          <t>Sandals</t>
        </is>
      </c>
      <c r="D24" s="5" t="inlineStr">
        <is>
          <t>24</t>
        </is>
      </c>
      <c r="E24" s="5" t="inlineStr">
        <is>
          <t>Turquoise</t>
        </is>
      </c>
    </row>
    <row r="25">
      <c r="B25" s="5" t="inlineStr">
        <is>
          <t>Accessory</t>
        </is>
      </c>
      <c r="D25" s="5" t="inlineStr">
        <is>
          <t>25</t>
        </is>
      </c>
      <c r="E25" s="5" t="inlineStr">
        <is>
          <t>Olive</t>
        </is>
      </c>
    </row>
    <row r="26">
      <c r="B26" s="5" t="inlineStr">
        <is>
          <t>Bag</t>
        </is>
      </c>
      <c r="D26" s="5" t="inlineStr">
        <is>
          <t>26</t>
        </is>
      </c>
      <c r="E26" s="5" t="inlineStr">
        <is>
          <t>Forest Green</t>
        </is>
      </c>
    </row>
    <row r="27">
      <c r="B27" s="5" t="inlineStr">
        <is>
          <t>Belt</t>
        </is>
      </c>
      <c r="D27" s="5" t="inlineStr">
        <is>
          <t>27</t>
        </is>
      </c>
      <c r="E27" s="5" t="inlineStr">
        <is>
          <t>Sage</t>
        </is>
      </c>
    </row>
    <row r="28">
      <c r="B28" s="5" t="inlineStr">
        <is>
          <t>Hat</t>
        </is>
      </c>
      <c r="D28" s="5" t="inlineStr">
        <is>
          <t>28</t>
        </is>
      </c>
      <c r="E28" s="5" t="inlineStr">
        <is>
          <t>Mustard</t>
        </is>
      </c>
    </row>
    <row r="29">
      <c r="B29" s="5" t="inlineStr">
        <is>
          <t>Jewelry</t>
        </is>
      </c>
      <c r="D29" s="5" t="inlineStr">
        <is>
          <t>29</t>
        </is>
      </c>
      <c r="E29" s="5" t="inlineStr">
        <is>
          <t>Rust</t>
        </is>
      </c>
    </row>
    <row r="30">
      <c r="B30" s="5" t="inlineStr">
        <is>
          <t>Watch</t>
        </is>
      </c>
      <c r="D30" s="5" t="inlineStr">
        <is>
          <t>30</t>
        </is>
      </c>
      <c r="E30" s="5" t="inlineStr">
        <is>
          <t>Burgundy</t>
        </is>
      </c>
    </row>
    <row r="31">
      <c r="B31" s="5" t="inlineStr">
        <is>
          <t>Sunglasses</t>
        </is>
      </c>
      <c r="D31" s="5" t="inlineStr">
        <is>
          <t>31</t>
        </is>
      </c>
      <c r="E31" s="5" t="inlineStr">
        <is>
          <t>Maroon</t>
        </is>
      </c>
    </row>
    <row r="32">
      <c r="B32" s="5" t="inlineStr">
        <is>
          <t>Scarf</t>
        </is>
      </c>
      <c r="D32" s="5" t="inlineStr">
        <is>
          <t>32</t>
        </is>
      </c>
      <c r="E32" s="5" t="inlineStr">
        <is>
          <t>Blush</t>
        </is>
      </c>
    </row>
    <row r="33">
      <c r="B33" s="5" t="inlineStr">
        <is>
          <t>Tie</t>
        </is>
      </c>
      <c r="D33" s="5" t="inlineStr">
        <is>
          <t>33</t>
        </is>
      </c>
      <c r="E33" s="5" t="inlineStr">
        <is>
          <t>Hot Pink</t>
        </is>
      </c>
    </row>
    <row r="34">
      <c r="D34" s="5" t="inlineStr">
        <is>
          <t>34</t>
        </is>
      </c>
      <c r="E34" s="5" t="inlineStr">
        <is>
          <t>Lavender</t>
        </is>
      </c>
    </row>
    <row r="35">
      <c r="D35" s="5" t="inlineStr">
        <is>
          <t>35</t>
        </is>
      </c>
      <c r="E35" s="5" t="inlineStr">
        <is>
          <t>Gold</t>
        </is>
      </c>
    </row>
    <row r="36">
      <c r="D36" s="5" t="inlineStr">
        <is>
          <t>36</t>
        </is>
      </c>
      <c r="E36" s="5" t="inlineStr">
        <is>
          <t>Multicolor</t>
        </is>
      </c>
    </row>
    <row r="37">
      <c r="D37" s="5" t="inlineStr">
        <is>
          <t>38</t>
        </is>
      </c>
      <c r="E37" s="5" t="inlineStr">
        <is>
          <t>Patterned</t>
        </is>
      </c>
    </row>
    <row r="38">
      <c r="D38" s="5" t="inlineStr">
        <is>
          <t>40</t>
        </is>
      </c>
      <c r="E38" s="5" t="inlineStr">
        <is>
          <t>Denim</t>
        </is>
      </c>
    </row>
    <row r="39">
      <c r="D39" s="5" t="inlineStr">
        <is>
          <t>42</t>
        </is>
      </c>
      <c r="E39" s="5" t="inlineStr">
        <is>
          <t>Animal Print</t>
        </is>
      </c>
    </row>
    <row r="40">
      <c r="D40" s="5" t="inlineStr">
        <is>
          <t>44</t>
        </is>
      </c>
    </row>
    <row r="41">
      <c r="D41" s="5" t="inlineStr">
        <is>
          <t>46</t>
        </is>
      </c>
    </row>
    <row r="42">
      <c r="D42" s="5" t="inlineStr">
        <is>
          <t>48</t>
        </is>
      </c>
    </row>
    <row r="43">
      <c r="D43" s="5" t="inlineStr">
        <is>
          <t>50</t>
        </is>
      </c>
    </row>
    <row r="44">
      <c r="D44" s="5" t="inlineStr">
        <is>
          <t>52</t>
        </is>
      </c>
    </row>
    <row r="45">
      <c r="D45" s="5" t="inlineStr">
        <is>
          <t>54</t>
        </is>
      </c>
    </row>
    <row r="46">
      <c r="D46" s="5" t="inlineStr">
        <is>
          <t>56</t>
        </is>
      </c>
    </row>
    <row r="47">
      <c r="D47" s="5" t="inlineStr">
        <is>
          <t>58</t>
        </is>
      </c>
    </row>
    <row r="48">
      <c r="D48" s="5" t="inlineStr">
        <is>
          <t>60</t>
        </is>
      </c>
    </row>
    <row r="49">
      <c r="D49" s="5" t="inlineStr">
        <is>
          <t>28x30</t>
        </is>
      </c>
    </row>
    <row r="50">
      <c r="D50" s="5" t="inlineStr">
        <is>
          <t>28x32</t>
        </is>
      </c>
    </row>
    <row r="51">
      <c r="D51" s="5" t="inlineStr">
        <is>
          <t>30x30</t>
        </is>
      </c>
    </row>
    <row r="52">
      <c r="D52" s="5" t="inlineStr">
        <is>
          <t>30x32</t>
        </is>
      </c>
    </row>
    <row r="53">
      <c r="D53" s="5" t="inlineStr">
        <is>
          <t>30x34</t>
        </is>
      </c>
    </row>
    <row r="54">
      <c r="D54" s="5" t="inlineStr">
        <is>
          <t>32x30</t>
        </is>
      </c>
    </row>
    <row r="55">
      <c r="D55" s="5" t="inlineStr">
        <is>
          <t>32x32</t>
        </is>
      </c>
    </row>
    <row r="56">
      <c r="D56" s="5" t="inlineStr">
        <is>
          <t>32x34</t>
        </is>
      </c>
    </row>
    <row r="57">
      <c r="D57" s="5" t="inlineStr">
        <is>
          <t>34x30</t>
        </is>
      </c>
    </row>
    <row r="58">
      <c r="D58" s="5" t="inlineStr">
        <is>
          <t>34x32</t>
        </is>
      </c>
    </row>
    <row r="59">
      <c r="D59" s="5" t="inlineStr">
        <is>
          <t>34x34</t>
        </is>
      </c>
    </row>
    <row r="60">
      <c r="D60" s="5" t="inlineStr">
        <is>
          <t>36x30</t>
        </is>
      </c>
    </row>
    <row r="61">
      <c r="D61" s="5" t="inlineStr">
        <is>
          <t>36x32</t>
        </is>
      </c>
    </row>
    <row r="62">
      <c r="D62" s="5" t="inlineStr">
        <is>
          <t>36x34</t>
        </is>
      </c>
    </row>
    <row r="63">
      <c r="D63" s="5" t="inlineStr">
        <is>
          <t>38x30</t>
        </is>
      </c>
    </row>
    <row r="64">
      <c r="D64" s="5" t="inlineStr">
        <is>
          <t>38x32</t>
        </is>
      </c>
    </row>
    <row r="65">
      <c r="D65" s="5" t="inlineStr">
        <is>
          <t>38x34</t>
        </is>
      </c>
    </row>
    <row r="66">
      <c r="D66" s="5" t="inlineStr">
        <is>
          <t>3</t>
        </is>
      </c>
    </row>
    <row r="67">
      <c r="D67" s="5" t="inlineStr">
        <is>
          <t>3.5</t>
        </is>
      </c>
    </row>
    <row r="68">
      <c r="D68" s="5" t="inlineStr">
        <is>
          <t>4</t>
        </is>
      </c>
    </row>
    <row r="69">
      <c r="D69" s="5" t="inlineStr">
        <is>
          <t>4.5</t>
        </is>
      </c>
    </row>
    <row r="70">
      <c r="D70" s="5" t="inlineStr">
        <is>
          <t>5</t>
        </is>
      </c>
    </row>
    <row r="71">
      <c r="D71" s="5" t="inlineStr">
        <is>
          <t>5.5</t>
        </is>
      </c>
    </row>
    <row r="72">
      <c r="D72" s="5" t="inlineStr">
        <is>
          <t>6</t>
        </is>
      </c>
    </row>
    <row r="73">
      <c r="D73" s="5" t="inlineStr">
        <is>
          <t>6.5</t>
        </is>
      </c>
    </row>
    <row r="74">
      <c r="D74" s="5" t="inlineStr">
        <is>
          <t>7</t>
        </is>
      </c>
    </row>
    <row r="75">
      <c r="D75" s="5" t="inlineStr">
        <is>
          <t>7.5</t>
        </is>
      </c>
    </row>
    <row r="76">
      <c r="D76" s="5" t="inlineStr">
        <is>
          <t>8</t>
        </is>
      </c>
    </row>
    <row r="77">
      <c r="D77" s="5" t="inlineStr">
        <is>
          <t>8.5</t>
        </is>
      </c>
    </row>
    <row r="78">
      <c r="D78" s="5" t="inlineStr">
        <is>
          <t>9</t>
        </is>
      </c>
    </row>
    <row r="79">
      <c r="D79" s="5" t="inlineStr">
        <is>
          <t>9.5</t>
        </is>
      </c>
    </row>
    <row r="80">
      <c r="D80" s="5" t="inlineStr">
        <is>
          <t>10</t>
        </is>
      </c>
    </row>
    <row r="81">
      <c r="D81" s="5" t="inlineStr">
        <is>
          <t>10.5</t>
        </is>
      </c>
    </row>
    <row r="82">
      <c r="D82" s="5" t="inlineStr">
        <is>
          <t>11</t>
        </is>
      </c>
    </row>
    <row r="83">
      <c r="D83" s="5" t="inlineStr">
        <is>
          <t>11.5</t>
        </is>
      </c>
    </row>
    <row r="84">
      <c r="D84" s="5" t="inlineStr">
        <is>
          <t>12</t>
        </is>
      </c>
    </row>
    <row r="85">
      <c r="D85" s="5" t="inlineStr">
        <is>
          <t>12.5</t>
        </is>
      </c>
    </row>
    <row r="86">
      <c r="D86" s="5" t="inlineStr">
        <is>
          <t>13</t>
        </is>
      </c>
    </row>
    <row r="87">
      <c r="D87" s="5" t="inlineStr">
        <is>
          <t>14</t>
        </is>
      </c>
    </row>
    <row r="88">
      <c r="D88" s="5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28" customWidth="1" min="5" max="5"/>
    <col width="10" customWidth="1" min="6" max="6"/>
    <col width="30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2" customWidth="1" min="18" max="18"/>
    <col width="18" customWidth="1" min="19" max="19"/>
    <col width="14" customWidth="1" min="20" max="20"/>
    <col width="14" customWidth="1" min="21" max="21"/>
    <col width="18" customWidth="1" min="22" max="22"/>
    <col width="24" customWidth="1" min="23" max="23"/>
  </cols>
  <sheetData>
    <row r="1">
      <c r="A1" s="4" t="inlineStr">
        <is>
          <t>Item ID</t>
        </is>
      </c>
      <c r="B1" s="4" t="inlineStr">
        <is>
          <t>Wardrobe Name</t>
        </is>
      </c>
      <c r="C1" s="4" t="inlineStr">
        <is>
          <t>Item Name</t>
        </is>
      </c>
      <c r="D1" s="4" t="inlineStr">
        <is>
          <t>Category</t>
        </is>
      </c>
      <c r="E1" s="4" t="inlineStr">
        <is>
          <t>Image URL</t>
        </is>
      </c>
      <c r="F1" s="4" t="inlineStr">
        <is>
          <t>Image</t>
        </is>
      </c>
      <c r="G1" s="4" t="inlineStr">
        <is>
          <t>Item Link</t>
        </is>
      </c>
      <c r="H1" s="4" t="inlineStr">
        <is>
          <t>Cost of Item ($)</t>
        </is>
      </c>
      <c r="I1" s="4" t="inlineStr">
        <is>
          <t>Rental Fee ($)</t>
        </is>
      </c>
      <c r="J1" s="4" t="inlineStr">
        <is>
          <t>Condition</t>
        </is>
      </c>
      <c r="K1" s="4" t="inlineStr">
        <is>
          <t>Size</t>
        </is>
      </c>
      <c r="L1" s="4" t="inlineStr">
        <is>
          <t>Color</t>
        </is>
      </c>
      <c r="M1" s="4" t="inlineStr">
        <is>
          <t>Brand</t>
        </is>
      </c>
      <c r="N1" s="4" t="inlineStr">
        <is>
          <t>Purchase Status</t>
        </is>
      </c>
      <c r="O1" s="4" t="inlineStr">
        <is>
          <t>Status</t>
        </is>
      </c>
      <c r="P1" s="4" t="inlineStr">
        <is>
          <t>Date Added</t>
        </is>
      </c>
      <c r="Q1" s="4" t="inlineStr">
        <is>
          <t>Extra Costs ($)</t>
        </is>
      </c>
      <c r="R1" s="4" t="inlineStr">
        <is>
          <t>Times Rented</t>
        </is>
      </c>
      <c r="S1" s="4" t="inlineStr">
        <is>
          <t>Total Revenue ($)</t>
        </is>
      </c>
      <c r="T1" s="4" t="inlineStr">
        <is>
          <t>Total Cost ($)</t>
        </is>
      </c>
      <c r="U1" s="4" t="inlineStr">
        <is>
          <t>Profit ($)</t>
        </is>
      </c>
      <c r="V1" s="4" t="inlineStr">
        <is>
          <t>Break-even Rentals</t>
        </is>
      </c>
      <c r="W1" s="4" t="inlineStr">
        <is>
          <t>Notes</t>
        </is>
      </c>
    </row>
    <row r="2" ht="60" customHeight="1">
      <c r="A2" t="inlineStr">
        <is>
          <t>W001</t>
        </is>
      </c>
      <c r="B2" s="6" t="inlineStr">
        <is>
          <t>Work</t>
        </is>
      </c>
      <c r="C2" s="6" t="inlineStr">
        <is>
          <t>Black Blazer</t>
        </is>
      </c>
      <c r="D2" s="6" t="inlineStr">
        <is>
          <t>Jacket</t>
        </is>
      </c>
      <c r="E2" s="6" t="n"/>
      <c r="F2">
        <f>IF(E2="","",IMAGE(E2))</f>
        <v/>
      </c>
      <c r="G2" s="6" t="n"/>
      <c r="H2" s="7" t="n">
        <v>120</v>
      </c>
      <c r="I2" s="7" t="n">
        <v>25</v>
      </c>
      <c r="J2" s="6" t="inlineStr">
        <is>
          <t>Like New</t>
        </is>
      </c>
      <c r="K2" s="6" t="inlineStr">
        <is>
          <t>M</t>
        </is>
      </c>
      <c r="L2" s="6" t="inlineStr">
        <is>
          <t>Black</t>
        </is>
      </c>
      <c r="M2" s="6" t="inlineStr">
        <is>
          <t>Zara</t>
        </is>
      </c>
      <c r="N2" s="6" t="inlineStr">
        <is>
          <t>Purchased</t>
        </is>
      </c>
      <c r="O2" s="6" t="inlineStr">
        <is>
          <t>Available</t>
        </is>
      </c>
      <c r="P2" s="8" t="n">
        <v>46012</v>
      </c>
      <c r="Q2" s="7" t="n">
        <v>0</v>
      </c>
      <c r="R2" s="9" t="n">
        <v>6</v>
      </c>
      <c r="S2" s="10">
        <f>IF($C2="","",$I2*$R2)</f>
        <v/>
      </c>
      <c r="T2" s="10">
        <f>IF($C2="","",(IF($N2="Purchased",$H2,0)+$Q2))</f>
        <v/>
      </c>
      <c r="U2" s="10">
        <f>IF($C2="","",$S2-$T2)</f>
        <v/>
      </c>
      <c r="V2" s="11">
        <f>IF(OR($C2="",$I2=0),"",CEILING($T2/$I2,1))</f>
        <v/>
      </c>
      <c r="W2" s="6" t="n"/>
    </row>
    <row r="3">
      <c r="A3" t="inlineStr">
        <is>
          <t>W002</t>
        </is>
      </c>
      <c r="B3" s="6" t="n"/>
      <c r="C3" s="6" t="n"/>
      <c r="D3" s="6" t="n"/>
      <c r="E3" s="6" t="n"/>
      <c r="F3">
        <f>IF(E3="","",IMAGE(E3))</f>
        <v/>
      </c>
      <c r="G3" s="6" t="n"/>
      <c r="H3" s="7" t="n"/>
      <c r="I3" s="7" t="n"/>
      <c r="J3" s="6" t="n"/>
      <c r="K3" s="6" t="n"/>
      <c r="L3" s="6" t="n"/>
      <c r="M3" s="6" t="n"/>
      <c r="N3" s="6" t="n"/>
      <c r="O3" s="6" t="n"/>
      <c r="P3" s="8" t="n"/>
      <c r="Q3" s="7" t="n"/>
      <c r="R3" s="9" t="n"/>
      <c r="S3" s="10">
        <f>IF($C3="","",$I3*$R3)</f>
        <v/>
      </c>
      <c r="T3" s="10">
        <f>IF($C3="","",(IF($N3="Purchased",$H3,0)+$Q3))</f>
        <v/>
      </c>
      <c r="U3" s="10">
        <f>IF($C3="","",$S3-$T3)</f>
        <v/>
      </c>
      <c r="V3" s="11">
        <f>IF(OR($C3="",$I3=0),"",CEILING($T3/$I3,1))</f>
        <v/>
      </c>
      <c r="W3" s="6" t="n"/>
    </row>
    <row r="4">
      <c r="A4" t="inlineStr">
        <is>
          <t>W003</t>
        </is>
      </c>
      <c r="B4" s="6" t="n"/>
      <c r="C4" s="6" t="n"/>
      <c r="D4" s="6" t="n"/>
      <c r="E4" s="6" t="n"/>
      <c r="F4">
        <f>IF(E4="","",IMAGE(E4))</f>
        <v/>
      </c>
      <c r="G4" s="6" t="n"/>
      <c r="H4" s="7" t="n"/>
      <c r="I4" s="7" t="n"/>
      <c r="J4" s="6" t="n"/>
      <c r="K4" s="6" t="n"/>
      <c r="L4" s="6" t="n"/>
      <c r="M4" s="6" t="n"/>
      <c r="N4" s="6" t="n"/>
      <c r="O4" s="6" t="n"/>
      <c r="P4" s="8" t="n"/>
      <c r="Q4" s="7" t="n"/>
      <c r="R4" s="9" t="n"/>
      <c r="S4" s="10">
        <f>IF($C4="","",$I4*$R4)</f>
        <v/>
      </c>
      <c r="T4" s="10">
        <f>IF($C4="","",(IF($N4="Purchased",$H4,0)+$Q4))</f>
        <v/>
      </c>
      <c r="U4" s="10">
        <f>IF($C4="","",$S4-$T4)</f>
        <v/>
      </c>
      <c r="V4" s="11">
        <f>IF(OR($C4="",$I4=0),"",CEILING($T4/$I4,1))</f>
        <v/>
      </c>
      <c r="W4" s="6" t="n"/>
    </row>
    <row r="5">
      <c r="A5" t="inlineStr">
        <is>
          <t>W004</t>
        </is>
      </c>
      <c r="B5" s="6" t="n"/>
      <c r="C5" s="6" t="n"/>
      <c r="D5" s="6" t="n"/>
      <c r="E5" s="6" t="n"/>
      <c r="F5">
        <f>IF(E5="","",IMAGE(E5))</f>
        <v/>
      </c>
      <c r="G5" s="6" t="n"/>
      <c r="H5" s="7" t="n"/>
      <c r="I5" s="7" t="n"/>
      <c r="J5" s="6" t="n"/>
      <c r="K5" s="6" t="n"/>
      <c r="L5" s="6" t="n"/>
      <c r="M5" s="6" t="n"/>
      <c r="N5" s="6" t="n"/>
      <c r="O5" s="6" t="n"/>
      <c r="P5" s="8" t="n"/>
      <c r="Q5" s="7" t="n"/>
      <c r="R5" s="9" t="n"/>
      <c r="S5" s="10">
        <f>IF($C5="","",$I5*$R5)</f>
        <v/>
      </c>
      <c r="T5" s="10">
        <f>IF($C5="","",(IF($N5="Purchased",$H5,0)+$Q5))</f>
        <v/>
      </c>
      <c r="U5" s="10">
        <f>IF($C5="","",$S5-$T5)</f>
        <v/>
      </c>
      <c r="V5" s="11">
        <f>IF(OR($C5="",$I5=0),"",CEILING($T5/$I5,1))</f>
        <v/>
      </c>
      <c r="W5" s="6" t="n"/>
    </row>
    <row r="6">
      <c r="A6" t="inlineStr">
        <is>
          <t>W005</t>
        </is>
      </c>
      <c r="B6" s="6" t="n"/>
      <c r="C6" s="6" t="n"/>
      <c r="D6" s="6" t="n"/>
      <c r="E6" s="6" t="n"/>
      <c r="F6">
        <f>IF(E6="","",IMAGE(E6))</f>
        <v/>
      </c>
      <c r="G6" s="6" t="n"/>
      <c r="H6" s="7" t="n"/>
      <c r="I6" s="7" t="n"/>
      <c r="J6" s="6" t="n"/>
      <c r="K6" s="6" t="n"/>
      <c r="L6" s="6" t="n"/>
      <c r="M6" s="6" t="n"/>
      <c r="N6" s="6" t="n"/>
      <c r="O6" s="6" t="n"/>
      <c r="P6" s="8" t="n"/>
      <c r="Q6" s="7" t="n"/>
      <c r="R6" s="9" t="n"/>
      <c r="S6" s="10">
        <f>IF($C6="","",$I6*$R6)</f>
        <v/>
      </c>
      <c r="T6" s="10">
        <f>IF($C6="","",(IF($N6="Purchased",$H6,0)+$Q6))</f>
        <v/>
      </c>
      <c r="U6" s="10">
        <f>IF($C6="","",$S6-$T6)</f>
        <v/>
      </c>
      <c r="V6" s="11">
        <f>IF(OR($C6="",$I6=0),"",CEILING($T6/$I6,1))</f>
        <v/>
      </c>
      <c r="W6" s="6" t="n"/>
    </row>
    <row r="7">
      <c r="A7" t="inlineStr">
        <is>
          <t>W006</t>
        </is>
      </c>
      <c r="B7" s="6" t="n"/>
      <c r="C7" s="6" t="n"/>
      <c r="D7" s="6" t="n"/>
      <c r="E7" s="6" t="n"/>
      <c r="F7">
        <f>IF(E7="","",IMAGE(E7))</f>
        <v/>
      </c>
      <c r="G7" s="6" t="n"/>
      <c r="H7" s="7" t="n"/>
      <c r="I7" s="7" t="n"/>
      <c r="J7" s="6" t="n"/>
      <c r="K7" s="6" t="n"/>
      <c r="L7" s="6" t="n"/>
      <c r="M7" s="6" t="n"/>
      <c r="N7" s="6" t="n"/>
      <c r="O7" s="6" t="n"/>
      <c r="P7" s="8" t="n"/>
      <c r="Q7" s="7" t="n"/>
      <c r="R7" s="9" t="n"/>
      <c r="S7" s="10">
        <f>IF($C7="","",$I7*$R7)</f>
        <v/>
      </c>
      <c r="T7" s="10">
        <f>IF($C7="","",(IF($N7="Purchased",$H7,0)+$Q7))</f>
        <v/>
      </c>
      <c r="U7" s="10">
        <f>IF($C7="","",$S7-$T7)</f>
        <v/>
      </c>
      <c r="V7" s="11">
        <f>IF(OR($C7="",$I7=0),"",CEILING($T7/$I7,1))</f>
        <v/>
      </c>
      <c r="W7" s="6" t="n"/>
    </row>
    <row r="8">
      <c r="A8" t="inlineStr">
        <is>
          <t>W007</t>
        </is>
      </c>
      <c r="B8" s="6" t="n"/>
      <c r="C8" s="6" t="n"/>
      <c r="D8" s="6" t="n"/>
      <c r="E8" s="6" t="n"/>
      <c r="F8">
        <f>IF(E8="","",IMAGE(E8))</f>
        <v/>
      </c>
      <c r="G8" s="6" t="n"/>
      <c r="H8" s="7" t="n"/>
      <c r="I8" s="7" t="n"/>
      <c r="J8" s="6" t="n"/>
      <c r="K8" s="6" t="n"/>
      <c r="L8" s="6" t="n"/>
      <c r="M8" s="6" t="n"/>
      <c r="N8" s="6" t="n"/>
      <c r="O8" s="6" t="n"/>
      <c r="P8" s="8" t="n"/>
      <c r="Q8" s="7" t="n"/>
      <c r="R8" s="9" t="n"/>
      <c r="S8" s="10">
        <f>IF($C8="","",$I8*$R8)</f>
        <v/>
      </c>
      <c r="T8" s="10">
        <f>IF($C8="","",(IF($N8="Purchased",$H8,0)+$Q8))</f>
        <v/>
      </c>
      <c r="U8" s="10">
        <f>IF($C8="","",$S8-$T8)</f>
        <v/>
      </c>
      <c r="V8" s="11">
        <f>IF(OR($C8="",$I8=0),"",CEILING($T8/$I8,1))</f>
        <v/>
      </c>
      <c r="W8" s="6" t="n"/>
    </row>
    <row r="9">
      <c r="A9" t="inlineStr">
        <is>
          <t>W008</t>
        </is>
      </c>
      <c r="B9" s="6" t="n"/>
      <c r="C9" s="6" t="n"/>
      <c r="D9" s="6" t="n"/>
      <c r="E9" s="6" t="n"/>
      <c r="F9">
        <f>IF(E9="","",IMAGE(E9))</f>
        <v/>
      </c>
      <c r="G9" s="6" t="n"/>
      <c r="H9" s="7" t="n"/>
      <c r="I9" s="7" t="n"/>
      <c r="J9" s="6" t="n"/>
      <c r="K9" s="6" t="n"/>
      <c r="L9" s="6" t="n"/>
      <c r="M9" s="6" t="n"/>
      <c r="N9" s="6" t="n"/>
      <c r="O9" s="6" t="n"/>
      <c r="P9" s="8" t="n"/>
      <c r="Q9" s="7" t="n"/>
      <c r="R9" s="9" t="n"/>
      <c r="S9" s="10">
        <f>IF($C9="","",$I9*$R9)</f>
        <v/>
      </c>
      <c r="T9" s="10">
        <f>IF($C9="","",(IF($N9="Purchased",$H9,0)+$Q9))</f>
        <v/>
      </c>
      <c r="U9" s="10">
        <f>IF($C9="","",$S9-$T9)</f>
        <v/>
      </c>
      <c r="V9" s="11">
        <f>IF(OR($C9="",$I9=0),"",CEILING($T9/$I9,1))</f>
        <v/>
      </c>
      <c r="W9" s="6" t="n"/>
    </row>
    <row r="10">
      <c r="A10" t="inlineStr">
        <is>
          <t>W009</t>
        </is>
      </c>
      <c r="B10" s="6" t="n"/>
      <c r="C10" s="6" t="n"/>
      <c r="D10" s="6" t="n"/>
      <c r="E10" s="6" t="n"/>
      <c r="F10">
        <f>IF(E10="","",IMAGE(E10))</f>
        <v/>
      </c>
      <c r="G10" s="6" t="n"/>
      <c r="H10" s="7" t="n"/>
      <c r="I10" s="7" t="n"/>
      <c r="J10" s="6" t="n"/>
      <c r="K10" s="6" t="n"/>
      <c r="L10" s="6" t="n"/>
      <c r="M10" s="6" t="n"/>
      <c r="N10" s="6" t="n"/>
      <c r="O10" s="6" t="n"/>
      <c r="P10" s="8" t="n"/>
      <c r="Q10" s="7" t="n"/>
      <c r="R10" s="9" t="n"/>
      <c r="S10" s="10">
        <f>IF($C10="","",$I10*$R10)</f>
        <v/>
      </c>
      <c r="T10" s="10">
        <f>IF($C10="","",(IF($N10="Purchased",$H10,0)+$Q10))</f>
        <v/>
      </c>
      <c r="U10" s="10">
        <f>IF($C10="","",$S10-$T10)</f>
        <v/>
      </c>
      <c r="V10" s="11">
        <f>IF(OR($C10="",$I10=0),"",CEILING($T10/$I10,1))</f>
        <v/>
      </c>
      <c r="W10" s="6" t="n"/>
    </row>
    <row r="11">
      <c r="A11" t="inlineStr">
        <is>
          <t>W010</t>
        </is>
      </c>
      <c r="B11" s="6" t="n"/>
      <c r="C11" s="6" t="n"/>
      <c r="D11" s="6" t="n"/>
      <c r="E11" s="6" t="n"/>
      <c r="F11">
        <f>IF(E11="","",IMAGE(E11))</f>
        <v/>
      </c>
      <c r="G11" s="6" t="n"/>
      <c r="H11" s="7" t="n"/>
      <c r="I11" s="7" t="n"/>
      <c r="J11" s="6" t="n"/>
      <c r="K11" s="6" t="n"/>
      <c r="L11" s="6" t="n"/>
      <c r="M11" s="6" t="n"/>
      <c r="N11" s="6" t="n"/>
      <c r="O11" s="6" t="n"/>
      <c r="P11" s="8" t="n"/>
      <c r="Q11" s="7" t="n"/>
      <c r="R11" s="9" t="n"/>
      <c r="S11" s="10">
        <f>IF($C11="","",$I11*$R11)</f>
        <v/>
      </c>
      <c r="T11" s="10">
        <f>IF($C11="","",(IF($N11="Purchased",$H11,0)+$Q11))</f>
        <v/>
      </c>
      <c r="U11" s="10">
        <f>IF($C11="","",$S11-$T11)</f>
        <v/>
      </c>
      <c r="V11" s="11">
        <f>IF(OR($C11="",$I11=0),"",CEILING($T11/$I11,1))</f>
        <v/>
      </c>
      <c r="W11" s="6" t="n"/>
    </row>
    <row r="12">
      <c r="A12" t="inlineStr">
        <is>
          <t>W011</t>
        </is>
      </c>
      <c r="B12" s="6" t="n"/>
      <c r="C12" s="6" t="n"/>
      <c r="D12" s="6" t="n"/>
      <c r="E12" s="6" t="n"/>
      <c r="F12">
        <f>IF(E12="","",IMAGE(E12))</f>
        <v/>
      </c>
      <c r="G12" s="6" t="n"/>
      <c r="H12" s="7" t="n"/>
      <c r="I12" s="7" t="n"/>
      <c r="J12" s="6" t="n"/>
      <c r="K12" s="6" t="n"/>
      <c r="L12" s="6" t="n"/>
      <c r="M12" s="6" t="n"/>
      <c r="N12" s="6" t="n"/>
      <c r="O12" s="6" t="n"/>
      <c r="P12" s="8" t="n"/>
      <c r="Q12" s="7" t="n"/>
      <c r="R12" s="9" t="n"/>
      <c r="S12" s="10">
        <f>IF($C12="","",$I12*$R12)</f>
        <v/>
      </c>
      <c r="T12" s="10">
        <f>IF($C12="","",(IF($N12="Purchased",$H12,0)+$Q12))</f>
        <v/>
      </c>
      <c r="U12" s="10">
        <f>IF($C12="","",$S12-$T12)</f>
        <v/>
      </c>
      <c r="V12" s="11">
        <f>IF(OR($C12="",$I12=0),"",CEILING($T12/$I12,1))</f>
        <v/>
      </c>
      <c r="W12" s="6" t="n"/>
    </row>
    <row r="13">
      <c r="A13" t="inlineStr">
        <is>
          <t>W012</t>
        </is>
      </c>
      <c r="B13" s="6" t="n"/>
      <c r="C13" s="6" t="n"/>
      <c r="D13" s="6" t="n"/>
      <c r="E13" s="6" t="n"/>
      <c r="F13">
        <f>IF(E13="","",IMAGE(E13))</f>
        <v/>
      </c>
      <c r="G13" s="6" t="n"/>
      <c r="H13" s="7" t="n"/>
      <c r="I13" s="7" t="n"/>
      <c r="J13" s="6" t="n"/>
      <c r="K13" s="6" t="n"/>
      <c r="L13" s="6" t="n"/>
      <c r="M13" s="6" t="n"/>
      <c r="N13" s="6" t="n"/>
      <c r="O13" s="6" t="n"/>
      <c r="P13" s="8" t="n"/>
      <c r="Q13" s="7" t="n"/>
      <c r="R13" s="9" t="n"/>
      <c r="S13" s="10">
        <f>IF($C13="","",$I13*$R13)</f>
        <v/>
      </c>
      <c r="T13" s="10">
        <f>IF($C13="","",(IF($N13="Purchased",$H13,0)+$Q13))</f>
        <v/>
      </c>
      <c r="U13" s="10">
        <f>IF($C13="","",$S13-$T13)</f>
        <v/>
      </c>
      <c r="V13" s="11">
        <f>IF(OR($C13="",$I13=0),"",CEILING($T13/$I13,1))</f>
        <v/>
      </c>
      <c r="W13" s="6" t="n"/>
    </row>
    <row r="14">
      <c r="A14" t="inlineStr">
        <is>
          <t>W013</t>
        </is>
      </c>
      <c r="B14" s="6" t="n"/>
      <c r="C14" s="6" t="n"/>
      <c r="D14" s="6" t="n"/>
      <c r="E14" s="6" t="n"/>
      <c r="F14">
        <f>IF(E14="","",IMAGE(E14))</f>
        <v/>
      </c>
      <c r="G14" s="6" t="n"/>
      <c r="H14" s="7" t="n"/>
      <c r="I14" s="7" t="n"/>
      <c r="J14" s="6" t="n"/>
      <c r="K14" s="6" t="n"/>
      <c r="L14" s="6" t="n"/>
      <c r="M14" s="6" t="n"/>
      <c r="N14" s="6" t="n"/>
      <c r="O14" s="6" t="n"/>
      <c r="P14" s="8" t="n"/>
      <c r="Q14" s="7" t="n"/>
      <c r="R14" s="9" t="n"/>
      <c r="S14" s="10">
        <f>IF($C14="","",$I14*$R14)</f>
        <v/>
      </c>
      <c r="T14" s="10">
        <f>IF($C14="","",(IF($N14="Purchased",$H14,0)+$Q14))</f>
        <v/>
      </c>
      <c r="U14" s="10">
        <f>IF($C14="","",$S14-$T14)</f>
        <v/>
      </c>
      <c r="V14" s="11">
        <f>IF(OR($C14="",$I14=0),"",CEILING($T14/$I14,1))</f>
        <v/>
      </c>
      <c r="W14" s="6" t="n"/>
    </row>
    <row r="15">
      <c r="A15" t="inlineStr">
        <is>
          <t>W014</t>
        </is>
      </c>
      <c r="B15" s="6" t="n"/>
      <c r="C15" s="6" t="n"/>
      <c r="D15" s="6" t="n"/>
      <c r="E15" s="6" t="n"/>
      <c r="F15">
        <f>IF(E15="","",IMAGE(E15))</f>
        <v/>
      </c>
      <c r="G15" s="6" t="n"/>
      <c r="H15" s="7" t="n"/>
      <c r="I15" s="7" t="n"/>
      <c r="J15" s="6" t="n"/>
      <c r="K15" s="6" t="n"/>
      <c r="L15" s="6" t="n"/>
      <c r="M15" s="6" t="n"/>
      <c r="N15" s="6" t="n"/>
      <c r="O15" s="6" t="n"/>
      <c r="P15" s="8" t="n"/>
      <c r="Q15" s="7" t="n"/>
      <c r="R15" s="9" t="n"/>
      <c r="S15" s="10">
        <f>IF($C15="","",$I15*$R15)</f>
        <v/>
      </c>
      <c r="T15" s="10">
        <f>IF($C15="","",(IF($N15="Purchased",$H15,0)+$Q15))</f>
        <v/>
      </c>
      <c r="U15" s="10">
        <f>IF($C15="","",$S15-$T15)</f>
        <v/>
      </c>
      <c r="V15" s="11">
        <f>IF(OR($C15="",$I15=0),"",CEILING($T15/$I15,1))</f>
        <v/>
      </c>
      <c r="W15" s="6" t="n"/>
    </row>
    <row r="16">
      <c r="A16" t="inlineStr">
        <is>
          <t>W015</t>
        </is>
      </c>
      <c r="B16" s="6" t="n"/>
      <c r="C16" s="6" t="n"/>
      <c r="D16" s="6" t="n"/>
      <c r="E16" s="6" t="n"/>
      <c r="F16">
        <f>IF(E16="","",IMAGE(E16))</f>
        <v/>
      </c>
      <c r="G16" s="6" t="n"/>
      <c r="H16" s="7" t="n"/>
      <c r="I16" s="7" t="n"/>
      <c r="J16" s="6" t="n"/>
      <c r="K16" s="6" t="n"/>
      <c r="L16" s="6" t="n"/>
      <c r="M16" s="6" t="n"/>
      <c r="N16" s="6" t="n"/>
      <c r="O16" s="6" t="n"/>
      <c r="P16" s="8" t="n"/>
      <c r="Q16" s="7" t="n"/>
      <c r="R16" s="9" t="n"/>
      <c r="S16" s="10">
        <f>IF($C16="","",$I16*$R16)</f>
        <v/>
      </c>
      <c r="T16" s="10">
        <f>IF($C16="","",(IF($N16="Purchased",$H16,0)+$Q16))</f>
        <v/>
      </c>
      <c r="U16" s="10">
        <f>IF($C16="","",$S16-$T16)</f>
        <v/>
      </c>
      <c r="V16" s="11">
        <f>IF(OR($C16="",$I16=0),"",CEILING($T16/$I16,1))</f>
        <v/>
      </c>
      <c r="W16" s="6" t="n"/>
    </row>
    <row r="17">
      <c r="A17" t="inlineStr">
        <is>
          <t>W016</t>
        </is>
      </c>
      <c r="B17" s="6" t="n"/>
      <c r="C17" s="6" t="n"/>
      <c r="D17" s="6" t="n"/>
      <c r="E17" s="6" t="n"/>
      <c r="F17">
        <f>IF(E17="","",IMAGE(E17))</f>
        <v/>
      </c>
      <c r="G17" s="6" t="n"/>
      <c r="H17" s="7" t="n"/>
      <c r="I17" s="7" t="n"/>
      <c r="J17" s="6" t="n"/>
      <c r="K17" s="6" t="n"/>
      <c r="L17" s="6" t="n"/>
      <c r="M17" s="6" t="n"/>
      <c r="N17" s="6" t="n"/>
      <c r="O17" s="6" t="n"/>
      <c r="P17" s="8" t="n"/>
      <c r="Q17" s="7" t="n"/>
      <c r="R17" s="9" t="n"/>
      <c r="S17" s="10">
        <f>IF($C17="","",$I17*$R17)</f>
        <v/>
      </c>
      <c r="T17" s="10">
        <f>IF($C17="","",(IF($N17="Purchased",$H17,0)+$Q17))</f>
        <v/>
      </c>
      <c r="U17" s="10">
        <f>IF($C17="","",$S17-$T17)</f>
        <v/>
      </c>
      <c r="V17" s="11">
        <f>IF(OR($C17="",$I17=0),"",CEILING($T17/$I17,1))</f>
        <v/>
      </c>
      <c r="W17" s="6" t="n"/>
    </row>
    <row r="18">
      <c r="A18" t="inlineStr">
        <is>
          <t>W017</t>
        </is>
      </c>
      <c r="B18" s="6" t="n"/>
      <c r="C18" s="6" t="n"/>
      <c r="D18" s="6" t="n"/>
      <c r="E18" s="6" t="n"/>
      <c r="F18">
        <f>IF(E18="","",IMAGE(E18))</f>
        <v/>
      </c>
      <c r="G18" s="6" t="n"/>
      <c r="H18" s="7" t="n"/>
      <c r="I18" s="7" t="n"/>
      <c r="J18" s="6" t="n"/>
      <c r="K18" s="6" t="n"/>
      <c r="L18" s="6" t="n"/>
      <c r="M18" s="6" t="n"/>
      <c r="N18" s="6" t="n"/>
      <c r="O18" s="6" t="n"/>
      <c r="P18" s="8" t="n"/>
      <c r="Q18" s="7" t="n"/>
      <c r="R18" s="9" t="n"/>
      <c r="S18" s="10">
        <f>IF($C18="","",$I18*$R18)</f>
        <v/>
      </c>
      <c r="T18" s="10">
        <f>IF($C18="","",(IF($N18="Purchased",$H18,0)+$Q18))</f>
        <v/>
      </c>
      <c r="U18" s="10">
        <f>IF($C18="","",$S18-$T18)</f>
        <v/>
      </c>
      <c r="V18" s="11">
        <f>IF(OR($C18="",$I18=0),"",CEILING($T18/$I18,1))</f>
        <v/>
      </c>
      <c r="W18" s="6" t="n"/>
    </row>
    <row r="19">
      <c r="A19" t="inlineStr">
        <is>
          <t>W018</t>
        </is>
      </c>
      <c r="B19" s="6" t="n"/>
      <c r="C19" s="6" t="n"/>
      <c r="D19" s="6" t="n"/>
      <c r="E19" s="6" t="n"/>
      <c r="F19">
        <f>IF(E19="","",IMAGE(E19))</f>
        <v/>
      </c>
      <c r="G19" s="6" t="n"/>
      <c r="H19" s="7" t="n"/>
      <c r="I19" s="7" t="n"/>
      <c r="J19" s="6" t="n"/>
      <c r="K19" s="6" t="n"/>
      <c r="L19" s="6" t="n"/>
      <c r="M19" s="6" t="n"/>
      <c r="N19" s="6" t="n"/>
      <c r="O19" s="6" t="n"/>
      <c r="P19" s="8" t="n"/>
      <c r="Q19" s="7" t="n"/>
      <c r="R19" s="9" t="n"/>
      <c r="S19" s="10">
        <f>IF($C19="","",$I19*$R19)</f>
        <v/>
      </c>
      <c r="T19" s="10">
        <f>IF($C19="","",(IF($N19="Purchased",$H19,0)+$Q19))</f>
        <v/>
      </c>
      <c r="U19" s="10">
        <f>IF($C19="","",$S19-$T19)</f>
        <v/>
      </c>
      <c r="V19" s="11">
        <f>IF(OR($C19="",$I19=0),"",CEILING($T19/$I19,1))</f>
        <v/>
      </c>
      <c r="W19" s="6" t="n"/>
    </row>
    <row r="20">
      <c r="A20" t="inlineStr">
        <is>
          <t>W019</t>
        </is>
      </c>
      <c r="B20" s="6" t="n"/>
      <c r="C20" s="6" t="n"/>
      <c r="D20" s="6" t="n"/>
      <c r="E20" s="6" t="n"/>
      <c r="F20">
        <f>IF(E20="","",IMAGE(E20))</f>
        <v/>
      </c>
      <c r="G20" s="6" t="n"/>
      <c r="H20" s="7" t="n"/>
      <c r="I20" s="7" t="n"/>
      <c r="J20" s="6" t="n"/>
      <c r="K20" s="6" t="n"/>
      <c r="L20" s="6" t="n"/>
      <c r="M20" s="6" t="n"/>
      <c r="N20" s="6" t="n"/>
      <c r="O20" s="6" t="n"/>
      <c r="P20" s="8" t="n"/>
      <c r="Q20" s="7" t="n"/>
      <c r="R20" s="9" t="n"/>
      <c r="S20" s="10">
        <f>IF($C20="","",$I20*$R20)</f>
        <v/>
      </c>
      <c r="T20" s="10">
        <f>IF($C20="","",(IF($N20="Purchased",$H20,0)+$Q20))</f>
        <v/>
      </c>
      <c r="U20" s="10">
        <f>IF($C20="","",$S20-$T20)</f>
        <v/>
      </c>
      <c r="V20" s="11">
        <f>IF(OR($C20="",$I20=0),"",CEILING($T20/$I20,1))</f>
        <v/>
      </c>
      <c r="W20" s="6" t="n"/>
    </row>
    <row r="21">
      <c r="A21" t="inlineStr">
        <is>
          <t>W020</t>
        </is>
      </c>
      <c r="B21" s="6" t="n"/>
      <c r="C21" s="6" t="n"/>
      <c r="D21" s="6" t="n"/>
      <c r="E21" s="6" t="n"/>
      <c r="F21">
        <f>IF(E21="","",IMAGE(E21))</f>
        <v/>
      </c>
      <c r="G21" s="6" t="n"/>
      <c r="H21" s="7" t="n"/>
      <c r="I21" s="7" t="n"/>
      <c r="J21" s="6" t="n"/>
      <c r="K21" s="6" t="n"/>
      <c r="L21" s="6" t="n"/>
      <c r="M21" s="6" t="n"/>
      <c r="N21" s="6" t="n"/>
      <c r="O21" s="6" t="n"/>
      <c r="P21" s="8" t="n"/>
      <c r="Q21" s="7" t="n"/>
      <c r="R21" s="9" t="n"/>
      <c r="S21" s="10">
        <f>IF($C21="","",$I21*$R21)</f>
        <v/>
      </c>
      <c r="T21" s="10">
        <f>IF($C21="","",(IF($N21="Purchased",$H21,0)+$Q21))</f>
        <v/>
      </c>
      <c r="U21" s="10">
        <f>IF($C21="","",$S21-$T21)</f>
        <v/>
      </c>
      <c r="V21" s="11">
        <f>IF(OR($C21="",$I21=0),"",CEILING($T21/$I21,1))</f>
        <v/>
      </c>
      <c r="W21" s="6" t="n"/>
    </row>
    <row r="22">
      <c r="A22" t="inlineStr">
        <is>
          <t>W021</t>
        </is>
      </c>
      <c r="B22" s="6" t="n"/>
      <c r="C22" s="6" t="n"/>
      <c r="D22" s="6" t="n"/>
      <c r="E22" s="6" t="n"/>
      <c r="F22">
        <f>IF(E22="","",IMAGE(E22))</f>
        <v/>
      </c>
      <c r="G22" s="6" t="n"/>
      <c r="H22" s="7" t="n"/>
      <c r="I22" s="7" t="n"/>
      <c r="J22" s="6" t="n"/>
      <c r="K22" s="6" t="n"/>
      <c r="L22" s="6" t="n"/>
      <c r="M22" s="6" t="n"/>
      <c r="N22" s="6" t="n"/>
      <c r="O22" s="6" t="n"/>
      <c r="P22" s="8" t="n"/>
      <c r="Q22" s="7" t="n"/>
      <c r="R22" s="9" t="n"/>
      <c r="S22" s="10">
        <f>IF($C22="","",$I22*$R22)</f>
        <v/>
      </c>
      <c r="T22" s="10">
        <f>IF($C22="","",(IF($N22="Purchased",$H22,0)+$Q22))</f>
        <v/>
      </c>
      <c r="U22" s="10">
        <f>IF($C22="","",$S22-$T22)</f>
        <v/>
      </c>
      <c r="V22" s="11">
        <f>IF(OR($C22="",$I22=0),"",CEILING($T22/$I22,1))</f>
        <v/>
      </c>
      <c r="W22" s="6" t="n"/>
    </row>
    <row r="23">
      <c r="A23" t="inlineStr">
        <is>
          <t>W022</t>
        </is>
      </c>
      <c r="B23" s="6" t="n"/>
      <c r="C23" s="6" t="n"/>
      <c r="D23" s="6" t="n"/>
      <c r="E23" s="6" t="n"/>
      <c r="F23">
        <f>IF(E23="","",IMAGE(E23))</f>
        <v/>
      </c>
      <c r="G23" s="6" t="n"/>
      <c r="H23" s="7" t="n"/>
      <c r="I23" s="7" t="n"/>
      <c r="J23" s="6" t="n"/>
      <c r="K23" s="6" t="n"/>
      <c r="L23" s="6" t="n"/>
      <c r="M23" s="6" t="n"/>
      <c r="N23" s="6" t="n"/>
      <c r="O23" s="6" t="n"/>
      <c r="P23" s="8" t="n"/>
      <c r="Q23" s="7" t="n"/>
      <c r="R23" s="9" t="n"/>
      <c r="S23" s="10">
        <f>IF($C23="","",$I23*$R23)</f>
        <v/>
      </c>
      <c r="T23" s="10">
        <f>IF($C23="","",(IF($N23="Purchased",$H23,0)+$Q23))</f>
        <v/>
      </c>
      <c r="U23" s="10">
        <f>IF($C23="","",$S23-$T23)</f>
        <v/>
      </c>
      <c r="V23" s="11">
        <f>IF(OR($C23="",$I23=0),"",CEILING($T23/$I23,1))</f>
        <v/>
      </c>
      <c r="W23" s="6" t="n"/>
    </row>
    <row r="24">
      <c r="A24" t="inlineStr">
        <is>
          <t>W023</t>
        </is>
      </c>
      <c r="B24" s="6" t="n"/>
      <c r="C24" s="6" t="n"/>
      <c r="D24" s="6" t="n"/>
      <c r="E24" s="6" t="n"/>
      <c r="F24">
        <f>IF(E24="","",IMAGE(E24))</f>
        <v/>
      </c>
      <c r="G24" s="6" t="n"/>
      <c r="H24" s="7" t="n"/>
      <c r="I24" s="7" t="n"/>
      <c r="J24" s="6" t="n"/>
      <c r="K24" s="6" t="n"/>
      <c r="L24" s="6" t="n"/>
      <c r="M24" s="6" t="n"/>
      <c r="N24" s="6" t="n"/>
      <c r="O24" s="6" t="n"/>
      <c r="P24" s="8" t="n"/>
      <c r="Q24" s="7" t="n"/>
      <c r="R24" s="9" t="n"/>
      <c r="S24" s="10">
        <f>IF($C24="","",$I24*$R24)</f>
        <v/>
      </c>
      <c r="T24" s="10">
        <f>IF($C24="","",(IF($N24="Purchased",$H24,0)+$Q24))</f>
        <v/>
      </c>
      <c r="U24" s="10">
        <f>IF($C24="","",$S24-$T24)</f>
        <v/>
      </c>
      <c r="V24" s="11">
        <f>IF(OR($C24="",$I24=0),"",CEILING($T24/$I24,1))</f>
        <v/>
      </c>
      <c r="W24" s="6" t="n"/>
    </row>
    <row r="25">
      <c r="A25" t="inlineStr">
        <is>
          <t>W024</t>
        </is>
      </c>
      <c r="B25" s="6" t="n"/>
      <c r="C25" s="6" t="n"/>
      <c r="D25" s="6" t="n"/>
      <c r="E25" s="6" t="n"/>
      <c r="F25">
        <f>IF(E25="","",IMAGE(E25))</f>
        <v/>
      </c>
      <c r="G25" s="6" t="n"/>
      <c r="H25" s="7" t="n"/>
      <c r="I25" s="7" t="n"/>
      <c r="J25" s="6" t="n"/>
      <c r="K25" s="6" t="n"/>
      <c r="L25" s="6" t="n"/>
      <c r="M25" s="6" t="n"/>
      <c r="N25" s="6" t="n"/>
      <c r="O25" s="6" t="n"/>
      <c r="P25" s="8" t="n"/>
      <c r="Q25" s="7" t="n"/>
      <c r="R25" s="9" t="n"/>
      <c r="S25" s="10">
        <f>IF($C25="","",$I25*$R25)</f>
        <v/>
      </c>
      <c r="T25" s="10">
        <f>IF($C25="","",(IF($N25="Purchased",$H25,0)+$Q25))</f>
        <v/>
      </c>
      <c r="U25" s="10">
        <f>IF($C25="","",$S25-$T25)</f>
        <v/>
      </c>
      <c r="V25" s="11">
        <f>IF(OR($C25="",$I25=0),"",CEILING($T25/$I25,1))</f>
        <v/>
      </c>
      <c r="W25" s="6" t="n"/>
    </row>
    <row r="26">
      <c r="A26" t="inlineStr">
        <is>
          <t>W025</t>
        </is>
      </c>
      <c r="B26" s="6" t="n"/>
      <c r="C26" s="6" t="n"/>
      <c r="D26" s="6" t="n"/>
      <c r="E26" s="6" t="n"/>
      <c r="F26">
        <f>IF(E26="","",IMAGE(E26))</f>
        <v/>
      </c>
      <c r="G26" s="6" t="n"/>
      <c r="H26" s="7" t="n"/>
      <c r="I26" s="7" t="n"/>
      <c r="J26" s="6" t="n"/>
      <c r="K26" s="6" t="n"/>
      <c r="L26" s="6" t="n"/>
      <c r="M26" s="6" t="n"/>
      <c r="N26" s="6" t="n"/>
      <c r="O26" s="6" t="n"/>
      <c r="P26" s="8" t="n"/>
      <c r="Q26" s="7" t="n"/>
      <c r="R26" s="9" t="n"/>
      <c r="S26" s="10">
        <f>IF($C26="","",$I26*$R26)</f>
        <v/>
      </c>
      <c r="T26" s="10">
        <f>IF($C26="","",(IF($N26="Purchased",$H26,0)+$Q26))</f>
        <v/>
      </c>
      <c r="U26" s="10">
        <f>IF($C26="","",$S26-$T26)</f>
        <v/>
      </c>
      <c r="V26" s="11">
        <f>IF(OR($C26="",$I26=0),"",CEILING($T26/$I26,1))</f>
        <v/>
      </c>
      <c r="W26" s="6" t="n"/>
    </row>
    <row r="27">
      <c r="A27" t="inlineStr">
        <is>
          <t>W026</t>
        </is>
      </c>
      <c r="B27" s="6" t="n"/>
      <c r="C27" s="6" t="n"/>
      <c r="D27" s="6" t="n"/>
      <c r="E27" s="6" t="n"/>
      <c r="F27">
        <f>IF(E27="","",IMAGE(E27))</f>
        <v/>
      </c>
      <c r="G27" s="6" t="n"/>
      <c r="H27" s="7" t="n"/>
      <c r="I27" s="7" t="n"/>
      <c r="J27" s="6" t="n"/>
      <c r="K27" s="6" t="n"/>
      <c r="L27" s="6" t="n"/>
      <c r="M27" s="6" t="n"/>
      <c r="N27" s="6" t="n"/>
      <c r="O27" s="6" t="n"/>
      <c r="P27" s="8" t="n"/>
      <c r="Q27" s="7" t="n"/>
      <c r="R27" s="9" t="n"/>
      <c r="S27" s="10">
        <f>IF($C27="","",$I27*$R27)</f>
        <v/>
      </c>
      <c r="T27" s="10">
        <f>IF($C27="","",(IF($N27="Purchased",$H27,0)+$Q27))</f>
        <v/>
      </c>
      <c r="U27" s="10">
        <f>IF($C27="","",$S27-$T27)</f>
        <v/>
      </c>
      <c r="V27" s="11">
        <f>IF(OR($C27="",$I27=0),"",CEILING($T27/$I27,1))</f>
        <v/>
      </c>
      <c r="W27" s="6" t="n"/>
    </row>
    <row r="28">
      <c r="A28" t="inlineStr">
        <is>
          <t>W027</t>
        </is>
      </c>
      <c r="B28" s="6" t="n"/>
      <c r="C28" s="6" t="n"/>
      <c r="D28" s="6" t="n"/>
      <c r="E28" s="6" t="n"/>
      <c r="F28">
        <f>IF(E28="","",IMAGE(E28))</f>
        <v/>
      </c>
      <c r="G28" s="6" t="n"/>
      <c r="H28" s="7" t="n"/>
      <c r="I28" s="7" t="n"/>
      <c r="J28" s="6" t="n"/>
      <c r="K28" s="6" t="n"/>
      <c r="L28" s="6" t="n"/>
      <c r="M28" s="6" t="n"/>
      <c r="N28" s="6" t="n"/>
      <c r="O28" s="6" t="n"/>
      <c r="P28" s="8" t="n"/>
      <c r="Q28" s="7" t="n"/>
      <c r="R28" s="9" t="n"/>
      <c r="S28" s="10">
        <f>IF($C28="","",$I28*$R28)</f>
        <v/>
      </c>
      <c r="T28" s="10">
        <f>IF($C28="","",(IF($N28="Purchased",$H28,0)+$Q28))</f>
        <v/>
      </c>
      <c r="U28" s="10">
        <f>IF($C28="","",$S28-$T28)</f>
        <v/>
      </c>
      <c r="V28" s="11">
        <f>IF(OR($C28="",$I28=0),"",CEILING($T28/$I28,1))</f>
        <v/>
      </c>
      <c r="W28" s="6" t="n"/>
    </row>
    <row r="29">
      <c r="A29" t="inlineStr">
        <is>
          <t>W028</t>
        </is>
      </c>
      <c r="B29" s="6" t="n"/>
      <c r="C29" s="6" t="n"/>
      <c r="D29" s="6" t="n"/>
      <c r="E29" s="6" t="n"/>
      <c r="F29">
        <f>IF(E29="","",IMAGE(E29))</f>
        <v/>
      </c>
      <c r="G29" s="6" t="n"/>
      <c r="H29" s="7" t="n"/>
      <c r="I29" s="7" t="n"/>
      <c r="J29" s="6" t="n"/>
      <c r="K29" s="6" t="n"/>
      <c r="L29" s="6" t="n"/>
      <c r="M29" s="6" t="n"/>
      <c r="N29" s="6" t="n"/>
      <c r="O29" s="6" t="n"/>
      <c r="P29" s="8" t="n"/>
      <c r="Q29" s="7" t="n"/>
      <c r="R29" s="9" t="n"/>
      <c r="S29" s="10">
        <f>IF($C29="","",$I29*$R29)</f>
        <v/>
      </c>
      <c r="T29" s="10">
        <f>IF($C29="","",(IF($N29="Purchased",$H29,0)+$Q29))</f>
        <v/>
      </c>
      <c r="U29" s="10">
        <f>IF($C29="","",$S29-$T29)</f>
        <v/>
      </c>
      <c r="V29" s="11">
        <f>IF(OR($C29="",$I29=0),"",CEILING($T29/$I29,1))</f>
        <v/>
      </c>
      <c r="W29" s="6" t="n"/>
    </row>
    <row r="30">
      <c r="A30" t="inlineStr">
        <is>
          <t>W029</t>
        </is>
      </c>
      <c r="B30" s="6" t="n"/>
      <c r="C30" s="6" t="n"/>
      <c r="D30" s="6" t="n"/>
      <c r="E30" s="6" t="n"/>
      <c r="F30">
        <f>IF(E30="","",IMAGE(E30))</f>
        <v/>
      </c>
      <c r="G30" s="6" t="n"/>
      <c r="H30" s="7" t="n"/>
      <c r="I30" s="7" t="n"/>
      <c r="J30" s="6" t="n"/>
      <c r="K30" s="6" t="n"/>
      <c r="L30" s="6" t="n"/>
      <c r="M30" s="6" t="n"/>
      <c r="N30" s="6" t="n"/>
      <c r="O30" s="6" t="n"/>
      <c r="P30" s="8" t="n"/>
      <c r="Q30" s="7" t="n"/>
      <c r="R30" s="9" t="n"/>
      <c r="S30" s="10">
        <f>IF($C30="","",$I30*$R30)</f>
        <v/>
      </c>
      <c r="T30" s="10">
        <f>IF($C30="","",(IF($N30="Purchased",$H30,0)+$Q30))</f>
        <v/>
      </c>
      <c r="U30" s="10">
        <f>IF($C30="","",$S30-$T30)</f>
        <v/>
      </c>
      <c r="V30" s="11">
        <f>IF(OR($C30="",$I30=0),"",CEILING($T30/$I30,1))</f>
        <v/>
      </c>
      <c r="W30" s="6" t="n"/>
    </row>
    <row r="31">
      <c r="A31" t="inlineStr">
        <is>
          <t>W030</t>
        </is>
      </c>
      <c r="B31" s="6" t="n"/>
      <c r="C31" s="6" t="n"/>
      <c r="D31" s="6" t="n"/>
      <c r="E31" s="6" t="n"/>
      <c r="F31">
        <f>IF(E31="","",IMAGE(E31))</f>
        <v/>
      </c>
      <c r="G31" s="6" t="n"/>
      <c r="H31" s="7" t="n"/>
      <c r="I31" s="7" t="n"/>
      <c r="J31" s="6" t="n"/>
      <c r="K31" s="6" t="n"/>
      <c r="L31" s="6" t="n"/>
      <c r="M31" s="6" t="n"/>
      <c r="N31" s="6" t="n"/>
      <c r="O31" s="6" t="n"/>
      <c r="P31" s="8" t="n"/>
      <c r="Q31" s="7" t="n"/>
      <c r="R31" s="9" t="n"/>
      <c r="S31" s="10">
        <f>IF($C31="","",$I31*$R31)</f>
        <v/>
      </c>
      <c r="T31" s="10">
        <f>IF($C31="","",(IF($N31="Purchased",$H31,0)+$Q31))</f>
        <v/>
      </c>
      <c r="U31" s="10">
        <f>IF($C31="","",$S31-$T31)</f>
        <v/>
      </c>
      <c r="V31" s="11">
        <f>IF(OR($C31="",$I31=0),"",CEILING($T31/$I31,1))</f>
        <v/>
      </c>
      <c r="W31" s="6" t="n"/>
    </row>
    <row r="32">
      <c r="A32" t="inlineStr">
        <is>
          <t>W031</t>
        </is>
      </c>
      <c r="B32" s="6" t="n"/>
      <c r="C32" s="6" t="n"/>
      <c r="D32" s="6" t="n"/>
      <c r="E32" s="6" t="n"/>
      <c r="F32">
        <f>IF(E32="","",IMAGE(E32))</f>
        <v/>
      </c>
      <c r="G32" s="6" t="n"/>
      <c r="H32" s="7" t="n"/>
      <c r="I32" s="7" t="n"/>
      <c r="J32" s="6" t="n"/>
      <c r="K32" s="6" t="n"/>
      <c r="L32" s="6" t="n"/>
      <c r="M32" s="6" t="n"/>
      <c r="N32" s="6" t="n"/>
      <c r="O32" s="6" t="n"/>
      <c r="P32" s="8" t="n"/>
      <c r="Q32" s="7" t="n"/>
      <c r="R32" s="9" t="n"/>
      <c r="S32" s="10">
        <f>IF($C32="","",$I32*$R32)</f>
        <v/>
      </c>
      <c r="T32" s="10">
        <f>IF($C32="","",(IF($N32="Purchased",$H32,0)+$Q32))</f>
        <v/>
      </c>
      <c r="U32" s="10">
        <f>IF($C32="","",$S32-$T32)</f>
        <v/>
      </c>
      <c r="V32" s="11">
        <f>IF(OR($C32="",$I32=0),"",CEILING($T32/$I32,1))</f>
        <v/>
      </c>
      <c r="W32" s="6" t="n"/>
    </row>
    <row r="33">
      <c r="A33" t="inlineStr">
        <is>
          <t>W032</t>
        </is>
      </c>
      <c r="B33" s="6" t="n"/>
      <c r="C33" s="6" t="n"/>
      <c r="D33" s="6" t="n"/>
      <c r="E33" s="6" t="n"/>
      <c r="F33">
        <f>IF(E33="","",IMAGE(E33))</f>
        <v/>
      </c>
      <c r="G33" s="6" t="n"/>
      <c r="H33" s="7" t="n"/>
      <c r="I33" s="7" t="n"/>
      <c r="J33" s="6" t="n"/>
      <c r="K33" s="6" t="n"/>
      <c r="L33" s="6" t="n"/>
      <c r="M33" s="6" t="n"/>
      <c r="N33" s="6" t="n"/>
      <c r="O33" s="6" t="n"/>
      <c r="P33" s="8" t="n"/>
      <c r="Q33" s="7" t="n"/>
      <c r="R33" s="9" t="n"/>
      <c r="S33" s="10">
        <f>IF($C33="","",$I33*$R33)</f>
        <v/>
      </c>
      <c r="T33" s="10">
        <f>IF($C33="","",(IF($N33="Purchased",$H33,0)+$Q33))</f>
        <v/>
      </c>
      <c r="U33" s="10">
        <f>IF($C33="","",$S33-$T33)</f>
        <v/>
      </c>
      <c r="V33" s="11">
        <f>IF(OR($C33="",$I33=0),"",CEILING($T33/$I33,1))</f>
        <v/>
      </c>
      <c r="W33" s="6" t="n"/>
    </row>
    <row r="34">
      <c r="A34" t="inlineStr">
        <is>
          <t>W033</t>
        </is>
      </c>
      <c r="B34" s="6" t="n"/>
      <c r="C34" s="6" t="n"/>
      <c r="D34" s="6" t="n"/>
      <c r="E34" s="6" t="n"/>
      <c r="F34">
        <f>IF(E34="","",IMAGE(E34))</f>
        <v/>
      </c>
      <c r="G34" s="6" t="n"/>
      <c r="H34" s="7" t="n"/>
      <c r="I34" s="7" t="n"/>
      <c r="J34" s="6" t="n"/>
      <c r="K34" s="6" t="n"/>
      <c r="L34" s="6" t="n"/>
      <c r="M34" s="6" t="n"/>
      <c r="N34" s="6" t="n"/>
      <c r="O34" s="6" t="n"/>
      <c r="P34" s="8" t="n"/>
      <c r="Q34" s="7" t="n"/>
      <c r="R34" s="9" t="n"/>
      <c r="S34" s="10">
        <f>IF($C34="","",$I34*$R34)</f>
        <v/>
      </c>
      <c r="T34" s="10">
        <f>IF($C34="","",(IF($N34="Purchased",$H34,0)+$Q34))</f>
        <v/>
      </c>
      <c r="U34" s="10">
        <f>IF($C34="","",$S34-$T34)</f>
        <v/>
      </c>
      <c r="V34" s="11">
        <f>IF(OR($C34="",$I34=0),"",CEILING($T34/$I34,1))</f>
        <v/>
      </c>
      <c r="W34" s="6" t="n"/>
    </row>
    <row r="35">
      <c r="A35" t="inlineStr">
        <is>
          <t>W034</t>
        </is>
      </c>
      <c r="B35" s="6" t="n"/>
      <c r="C35" s="6" t="n"/>
      <c r="D35" s="6" t="n"/>
      <c r="E35" s="6" t="n"/>
      <c r="F35">
        <f>IF(E35="","",IMAGE(E35))</f>
        <v/>
      </c>
      <c r="G35" s="6" t="n"/>
      <c r="H35" s="7" t="n"/>
      <c r="I35" s="7" t="n"/>
      <c r="J35" s="6" t="n"/>
      <c r="K35" s="6" t="n"/>
      <c r="L35" s="6" t="n"/>
      <c r="M35" s="6" t="n"/>
      <c r="N35" s="6" t="n"/>
      <c r="O35" s="6" t="n"/>
      <c r="P35" s="8" t="n"/>
      <c r="Q35" s="7" t="n"/>
      <c r="R35" s="9" t="n"/>
      <c r="S35" s="10">
        <f>IF($C35="","",$I35*$R35)</f>
        <v/>
      </c>
      <c r="T35" s="10">
        <f>IF($C35="","",(IF($N35="Purchased",$H35,0)+$Q35))</f>
        <v/>
      </c>
      <c r="U35" s="10">
        <f>IF($C35="","",$S35-$T35)</f>
        <v/>
      </c>
      <c r="V35" s="11">
        <f>IF(OR($C35="",$I35=0),"",CEILING($T35/$I35,1))</f>
        <v/>
      </c>
      <c r="W35" s="6" t="n"/>
    </row>
    <row r="36">
      <c r="A36" t="inlineStr">
        <is>
          <t>W035</t>
        </is>
      </c>
      <c r="B36" s="6" t="n"/>
      <c r="C36" s="6" t="n"/>
      <c r="D36" s="6" t="n"/>
      <c r="E36" s="6" t="n"/>
      <c r="F36">
        <f>IF(E36="","",IMAGE(E36))</f>
        <v/>
      </c>
      <c r="G36" s="6" t="n"/>
      <c r="H36" s="7" t="n"/>
      <c r="I36" s="7" t="n"/>
      <c r="J36" s="6" t="n"/>
      <c r="K36" s="6" t="n"/>
      <c r="L36" s="6" t="n"/>
      <c r="M36" s="6" t="n"/>
      <c r="N36" s="6" t="n"/>
      <c r="O36" s="6" t="n"/>
      <c r="P36" s="8" t="n"/>
      <c r="Q36" s="7" t="n"/>
      <c r="R36" s="9" t="n"/>
      <c r="S36" s="10">
        <f>IF($C36="","",$I36*$R36)</f>
        <v/>
      </c>
      <c r="T36" s="10">
        <f>IF($C36="","",(IF($N36="Purchased",$H36,0)+$Q36))</f>
        <v/>
      </c>
      <c r="U36" s="10">
        <f>IF($C36="","",$S36-$T36)</f>
        <v/>
      </c>
      <c r="V36" s="11">
        <f>IF(OR($C36="",$I36=0),"",CEILING($T36/$I36,1))</f>
        <v/>
      </c>
      <c r="W36" s="6" t="n"/>
    </row>
    <row r="37">
      <c r="A37" t="inlineStr">
        <is>
          <t>W036</t>
        </is>
      </c>
      <c r="B37" s="6" t="n"/>
      <c r="C37" s="6" t="n"/>
      <c r="D37" s="6" t="n"/>
      <c r="E37" s="6" t="n"/>
      <c r="F37">
        <f>IF(E37="","",IMAGE(E37))</f>
        <v/>
      </c>
      <c r="G37" s="6" t="n"/>
      <c r="H37" s="7" t="n"/>
      <c r="I37" s="7" t="n"/>
      <c r="J37" s="6" t="n"/>
      <c r="K37" s="6" t="n"/>
      <c r="L37" s="6" t="n"/>
      <c r="M37" s="6" t="n"/>
      <c r="N37" s="6" t="n"/>
      <c r="O37" s="6" t="n"/>
      <c r="P37" s="8" t="n"/>
      <c r="Q37" s="7" t="n"/>
      <c r="R37" s="9" t="n"/>
      <c r="S37" s="10">
        <f>IF($C37="","",$I37*$R37)</f>
        <v/>
      </c>
      <c r="T37" s="10">
        <f>IF($C37="","",(IF($N37="Purchased",$H37,0)+$Q37))</f>
        <v/>
      </c>
      <c r="U37" s="10">
        <f>IF($C37="","",$S37-$T37)</f>
        <v/>
      </c>
      <c r="V37" s="11">
        <f>IF(OR($C37="",$I37=0),"",CEILING($T37/$I37,1))</f>
        <v/>
      </c>
      <c r="W37" s="6" t="n"/>
    </row>
    <row r="38">
      <c r="A38" t="inlineStr">
        <is>
          <t>W037</t>
        </is>
      </c>
      <c r="B38" s="6" t="n"/>
      <c r="C38" s="6" t="n"/>
      <c r="D38" s="6" t="n"/>
      <c r="E38" s="6" t="n"/>
      <c r="F38">
        <f>IF(E38="","",IMAGE(E38))</f>
        <v/>
      </c>
      <c r="G38" s="6" t="n"/>
      <c r="H38" s="7" t="n"/>
      <c r="I38" s="7" t="n"/>
      <c r="J38" s="6" t="n"/>
      <c r="K38" s="6" t="n"/>
      <c r="L38" s="6" t="n"/>
      <c r="M38" s="6" t="n"/>
      <c r="N38" s="6" t="n"/>
      <c r="O38" s="6" t="n"/>
      <c r="P38" s="8" t="n"/>
      <c r="Q38" s="7" t="n"/>
      <c r="R38" s="9" t="n"/>
      <c r="S38" s="10">
        <f>IF($C38="","",$I38*$R38)</f>
        <v/>
      </c>
      <c r="T38" s="10">
        <f>IF($C38="","",(IF($N38="Purchased",$H38,0)+$Q38))</f>
        <v/>
      </c>
      <c r="U38" s="10">
        <f>IF($C38="","",$S38-$T38)</f>
        <v/>
      </c>
      <c r="V38" s="11">
        <f>IF(OR($C38="",$I38=0),"",CEILING($T38/$I38,1))</f>
        <v/>
      </c>
      <c r="W38" s="6" t="n"/>
    </row>
    <row r="39">
      <c r="A39" t="inlineStr">
        <is>
          <t>W038</t>
        </is>
      </c>
      <c r="B39" s="6" t="n"/>
      <c r="C39" s="6" t="n"/>
      <c r="D39" s="6" t="n"/>
      <c r="E39" s="6" t="n"/>
      <c r="F39">
        <f>IF(E39="","",IMAGE(E39))</f>
        <v/>
      </c>
      <c r="G39" s="6" t="n"/>
      <c r="H39" s="7" t="n"/>
      <c r="I39" s="7" t="n"/>
      <c r="J39" s="6" t="n"/>
      <c r="K39" s="6" t="n"/>
      <c r="L39" s="6" t="n"/>
      <c r="M39" s="6" t="n"/>
      <c r="N39" s="6" t="n"/>
      <c r="O39" s="6" t="n"/>
      <c r="P39" s="8" t="n"/>
      <c r="Q39" s="7" t="n"/>
      <c r="R39" s="9" t="n"/>
      <c r="S39" s="10">
        <f>IF($C39="","",$I39*$R39)</f>
        <v/>
      </c>
      <c r="T39" s="10">
        <f>IF($C39="","",(IF($N39="Purchased",$H39,0)+$Q39))</f>
        <v/>
      </c>
      <c r="U39" s="10">
        <f>IF($C39="","",$S39-$T39)</f>
        <v/>
      </c>
      <c r="V39" s="11">
        <f>IF(OR($C39="",$I39=0),"",CEILING($T39/$I39,1))</f>
        <v/>
      </c>
      <c r="W39" s="6" t="n"/>
    </row>
    <row r="40">
      <c r="A40" t="inlineStr">
        <is>
          <t>W039</t>
        </is>
      </c>
      <c r="B40" s="6" t="n"/>
      <c r="C40" s="6" t="n"/>
      <c r="D40" s="6" t="n"/>
      <c r="E40" s="6" t="n"/>
      <c r="F40">
        <f>IF(E40="","",IMAGE(E40))</f>
        <v/>
      </c>
      <c r="G40" s="6" t="n"/>
      <c r="H40" s="7" t="n"/>
      <c r="I40" s="7" t="n"/>
      <c r="J40" s="6" t="n"/>
      <c r="K40" s="6" t="n"/>
      <c r="L40" s="6" t="n"/>
      <c r="M40" s="6" t="n"/>
      <c r="N40" s="6" t="n"/>
      <c r="O40" s="6" t="n"/>
      <c r="P40" s="8" t="n"/>
      <c r="Q40" s="7" t="n"/>
      <c r="R40" s="9" t="n"/>
      <c r="S40" s="10">
        <f>IF($C40="","",$I40*$R40)</f>
        <v/>
      </c>
      <c r="T40" s="10">
        <f>IF($C40="","",(IF($N40="Purchased",$H40,0)+$Q40))</f>
        <v/>
      </c>
      <c r="U40" s="10">
        <f>IF($C40="","",$S40-$T40)</f>
        <v/>
      </c>
      <c r="V40" s="11">
        <f>IF(OR($C40="",$I40=0),"",CEILING($T40/$I40,1))</f>
        <v/>
      </c>
      <c r="W40" s="6" t="n"/>
    </row>
    <row r="41">
      <c r="A41" t="inlineStr">
        <is>
          <t>W040</t>
        </is>
      </c>
      <c r="B41" s="6" t="n"/>
      <c r="C41" s="6" t="n"/>
      <c r="D41" s="6" t="n"/>
      <c r="E41" s="6" t="n"/>
      <c r="F41">
        <f>IF(E41="","",IMAGE(E41))</f>
        <v/>
      </c>
      <c r="G41" s="6" t="n"/>
      <c r="H41" s="7" t="n"/>
      <c r="I41" s="7" t="n"/>
      <c r="J41" s="6" t="n"/>
      <c r="K41" s="6" t="n"/>
      <c r="L41" s="6" t="n"/>
      <c r="M41" s="6" t="n"/>
      <c r="N41" s="6" t="n"/>
      <c r="O41" s="6" t="n"/>
      <c r="P41" s="8" t="n"/>
      <c r="Q41" s="7" t="n"/>
      <c r="R41" s="9" t="n"/>
      <c r="S41" s="10">
        <f>IF($C41="","",$I41*$R41)</f>
        <v/>
      </c>
      <c r="T41" s="10">
        <f>IF($C41="","",(IF($N41="Purchased",$H41,0)+$Q41))</f>
        <v/>
      </c>
      <c r="U41" s="10">
        <f>IF($C41="","",$S41-$T41)</f>
        <v/>
      </c>
      <c r="V41" s="11">
        <f>IF(OR($C41="",$I41=0),"",CEILING($T41/$I41,1))</f>
        <v/>
      </c>
      <c r="W41" s="6" t="n"/>
    </row>
    <row r="42">
      <c r="A42" t="inlineStr">
        <is>
          <t>W041</t>
        </is>
      </c>
      <c r="B42" s="6" t="n"/>
      <c r="C42" s="6" t="n"/>
      <c r="D42" s="6" t="n"/>
      <c r="E42" s="6" t="n"/>
      <c r="F42">
        <f>IF(E42="","",IMAGE(E42))</f>
        <v/>
      </c>
      <c r="G42" s="6" t="n"/>
      <c r="H42" s="7" t="n"/>
      <c r="I42" s="7" t="n"/>
      <c r="J42" s="6" t="n"/>
      <c r="K42" s="6" t="n"/>
      <c r="L42" s="6" t="n"/>
      <c r="M42" s="6" t="n"/>
      <c r="N42" s="6" t="n"/>
      <c r="O42" s="6" t="n"/>
      <c r="P42" s="8" t="n"/>
      <c r="Q42" s="7" t="n"/>
      <c r="R42" s="9" t="n"/>
      <c r="S42" s="10">
        <f>IF($C42="","",$I42*$R42)</f>
        <v/>
      </c>
      <c r="T42" s="10">
        <f>IF($C42="","",(IF($N42="Purchased",$H42,0)+$Q42))</f>
        <v/>
      </c>
      <c r="U42" s="10">
        <f>IF($C42="","",$S42-$T42)</f>
        <v/>
      </c>
      <c r="V42" s="11">
        <f>IF(OR($C42="",$I42=0),"",CEILING($T42/$I42,1))</f>
        <v/>
      </c>
      <c r="W42" s="6" t="n"/>
    </row>
    <row r="43">
      <c r="A43" t="inlineStr">
        <is>
          <t>W042</t>
        </is>
      </c>
      <c r="B43" s="6" t="n"/>
      <c r="C43" s="6" t="n"/>
      <c r="D43" s="6" t="n"/>
      <c r="E43" s="6" t="n"/>
      <c r="F43">
        <f>IF(E43="","",IMAGE(E43))</f>
        <v/>
      </c>
      <c r="G43" s="6" t="n"/>
      <c r="H43" s="7" t="n"/>
      <c r="I43" s="7" t="n"/>
      <c r="J43" s="6" t="n"/>
      <c r="K43" s="6" t="n"/>
      <c r="L43" s="6" t="n"/>
      <c r="M43" s="6" t="n"/>
      <c r="N43" s="6" t="n"/>
      <c r="O43" s="6" t="n"/>
      <c r="P43" s="8" t="n"/>
      <c r="Q43" s="7" t="n"/>
      <c r="R43" s="9" t="n"/>
      <c r="S43" s="10">
        <f>IF($C43="","",$I43*$R43)</f>
        <v/>
      </c>
      <c r="T43" s="10">
        <f>IF($C43="","",(IF($N43="Purchased",$H43,0)+$Q43))</f>
        <v/>
      </c>
      <c r="U43" s="10">
        <f>IF($C43="","",$S43-$T43)</f>
        <v/>
      </c>
      <c r="V43" s="11">
        <f>IF(OR($C43="",$I43=0),"",CEILING($T43/$I43,1))</f>
        <v/>
      </c>
      <c r="W43" s="6" t="n"/>
    </row>
    <row r="44">
      <c r="A44" t="inlineStr">
        <is>
          <t>W043</t>
        </is>
      </c>
      <c r="B44" s="6" t="n"/>
      <c r="C44" s="6" t="n"/>
      <c r="D44" s="6" t="n"/>
      <c r="E44" s="6" t="n"/>
      <c r="F44">
        <f>IF(E44="","",IMAGE(E44))</f>
        <v/>
      </c>
      <c r="G44" s="6" t="n"/>
      <c r="H44" s="7" t="n"/>
      <c r="I44" s="7" t="n"/>
      <c r="J44" s="6" t="n"/>
      <c r="K44" s="6" t="n"/>
      <c r="L44" s="6" t="n"/>
      <c r="M44" s="6" t="n"/>
      <c r="N44" s="6" t="n"/>
      <c r="O44" s="6" t="n"/>
      <c r="P44" s="8" t="n"/>
      <c r="Q44" s="7" t="n"/>
      <c r="R44" s="9" t="n"/>
      <c r="S44" s="10">
        <f>IF($C44="","",$I44*$R44)</f>
        <v/>
      </c>
      <c r="T44" s="10">
        <f>IF($C44="","",(IF($N44="Purchased",$H44,0)+$Q44))</f>
        <v/>
      </c>
      <c r="U44" s="10">
        <f>IF($C44="","",$S44-$T44)</f>
        <v/>
      </c>
      <c r="V44" s="11">
        <f>IF(OR($C44="",$I44=0),"",CEILING($T44/$I44,1))</f>
        <v/>
      </c>
      <c r="W44" s="6" t="n"/>
    </row>
    <row r="45">
      <c r="A45" t="inlineStr">
        <is>
          <t>W044</t>
        </is>
      </c>
      <c r="B45" s="6" t="n"/>
      <c r="C45" s="6" t="n"/>
      <c r="D45" s="6" t="n"/>
      <c r="E45" s="6" t="n"/>
      <c r="F45">
        <f>IF(E45="","",IMAGE(E45))</f>
        <v/>
      </c>
      <c r="G45" s="6" t="n"/>
      <c r="H45" s="7" t="n"/>
      <c r="I45" s="7" t="n"/>
      <c r="J45" s="6" t="n"/>
      <c r="K45" s="6" t="n"/>
      <c r="L45" s="6" t="n"/>
      <c r="M45" s="6" t="n"/>
      <c r="N45" s="6" t="n"/>
      <c r="O45" s="6" t="n"/>
      <c r="P45" s="8" t="n"/>
      <c r="Q45" s="7" t="n"/>
      <c r="R45" s="9" t="n"/>
      <c r="S45" s="10">
        <f>IF($C45="","",$I45*$R45)</f>
        <v/>
      </c>
      <c r="T45" s="10">
        <f>IF($C45="","",(IF($N45="Purchased",$H45,0)+$Q45))</f>
        <v/>
      </c>
      <c r="U45" s="10">
        <f>IF($C45="","",$S45-$T45)</f>
        <v/>
      </c>
      <c r="V45" s="11">
        <f>IF(OR($C45="",$I45=0),"",CEILING($T45/$I45,1))</f>
        <v/>
      </c>
      <c r="W45" s="6" t="n"/>
    </row>
    <row r="46">
      <c r="A46" t="inlineStr">
        <is>
          <t>W045</t>
        </is>
      </c>
      <c r="B46" s="6" t="n"/>
      <c r="C46" s="6" t="n"/>
      <c r="D46" s="6" t="n"/>
      <c r="E46" s="6" t="n"/>
      <c r="F46">
        <f>IF(E46="","",IMAGE(E46))</f>
        <v/>
      </c>
      <c r="G46" s="6" t="n"/>
      <c r="H46" s="7" t="n"/>
      <c r="I46" s="7" t="n"/>
      <c r="J46" s="6" t="n"/>
      <c r="K46" s="6" t="n"/>
      <c r="L46" s="6" t="n"/>
      <c r="M46" s="6" t="n"/>
      <c r="N46" s="6" t="n"/>
      <c r="O46" s="6" t="n"/>
      <c r="P46" s="8" t="n"/>
      <c r="Q46" s="7" t="n"/>
      <c r="R46" s="9" t="n"/>
      <c r="S46" s="10">
        <f>IF($C46="","",$I46*$R46)</f>
        <v/>
      </c>
      <c r="T46" s="10">
        <f>IF($C46="","",(IF($N46="Purchased",$H46,0)+$Q46))</f>
        <v/>
      </c>
      <c r="U46" s="10">
        <f>IF($C46="","",$S46-$T46)</f>
        <v/>
      </c>
      <c r="V46" s="11">
        <f>IF(OR($C46="",$I46=0),"",CEILING($T46/$I46,1))</f>
        <v/>
      </c>
      <c r="W46" s="6" t="n"/>
    </row>
    <row r="47">
      <c r="A47" t="inlineStr">
        <is>
          <t>W046</t>
        </is>
      </c>
      <c r="B47" s="6" t="n"/>
      <c r="C47" s="6" t="n"/>
      <c r="D47" s="6" t="n"/>
      <c r="E47" s="6" t="n"/>
      <c r="F47">
        <f>IF(E47="","",IMAGE(E47))</f>
        <v/>
      </c>
      <c r="G47" s="6" t="n"/>
      <c r="H47" s="7" t="n"/>
      <c r="I47" s="7" t="n"/>
      <c r="J47" s="6" t="n"/>
      <c r="K47" s="6" t="n"/>
      <c r="L47" s="6" t="n"/>
      <c r="M47" s="6" t="n"/>
      <c r="N47" s="6" t="n"/>
      <c r="O47" s="6" t="n"/>
      <c r="P47" s="8" t="n"/>
      <c r="Q47" s="7" t="n"/>
      <c r="R47" s="9" t="n"/>
      <c r="S47" s="10">
        <f>IF($C47="","",$I47*$R47)</f>
        <v/>
      </c>
      <c r="T47" s="10">
        <f>IF($C47="","",(IF($N47="Purchased",$H47,0)+$Q47))</f>
        <v/>
      </c>
      <c r="U47" s="10">
        <f>IF($C47="","",$S47-$T47)</f>
        <v/>
      </c>
      <c r="V47" s="11">
        <f>IF(OR($C47="",$I47=0),"",CEILING($T47/$I47,1))</f>
        <v/>
      </c>
      <c r="W47" s="6" t="n"/>
    </row>
    <row r="48">
      <c r="A48" t="inlineStr">
        <is>
          <t>W047</t>
        </is>
      </c>
      <c r="B48" s="6" t="n"/>
      <c r="C48" s="6" t="n"/>
      <c r="D48" s="6" t="n"/>
      <c r="E48" s="6" t="n"/>
      <c r="F48">
        <f>IF(E48="","",IMAGE(E48))</f>
        <v/>
      </c>
      <c r="G48" s="6" t="n"/>
      <c r="H48" s="7" t="n"/>
      <c r="I48" s="7" t="n"/>
      <c r="J48" s="6" t="n"/>
      <c r="K48" s="6" t="n"/>
      <c r="L48" s="6" t="n"/>
      <c r="M48" s="6" t="n"/>
      <c r="N48" s="6" t="n"/>
      <c r="O48" s="6" t="n"/>
      <c r="P48" s="8" t="n"/>
      <c r="Q48" s="7" t="n"/>
      <c r="R48" s="9" t="n"/>
      <c r="S48" s="10">
        <f>IF($C48="","",$I48*$R48)</f>
        <v/>
      </c>
      <c r="T48" s="10">
        <f>IF($C48="","",(IF($N48="Purchased",$H48,0)+$Q48))</f>
        <v/>
      </c>
      <c r="U48" s="10">
        <f>IF($C48="","",$S48-$T48)</f>
        <v/>
      </c>
      <c r="V48" s="11">
        <f>IF(OR($C48="",$I48=0),"",CEILING($T48/$I48,1))</f>
        <v/>
      </c>
      <c r="W48" s="6" t="n"/>
    </row>
    <row r="49">
      <c r="A49" t="inlineStr">
        <is>
          <t>W048</t>
        </is>
      </c>
      <c r="B49" s="6" t="n"/>
      <c r="C49" s="6" t="n"/>
      <c r="D49" s="6" t="n"/>
      <c r="E49" s="6" t="n"/>
      <c r="F49">
        <f>IF(E49="","",IMAGE(E49))</f>
        <v/>
      </c>
      <c r="G49" s="6" t="n"/>
      <c r="H49" s="7" t="n"/>
      <c r="I49" s="7" t="n"/>
      <c r="J49" s="6" t="n"/>
      <c r="K49" s="6" t="n"/>
      <c r="L49" s="6" t="n"/>
      <c r="M49" s="6" t="n"/>
      <c r="N49" s="6" t="n"/>
      <c r="O49" s="6" t="n"/>
      <c r="P49" s="8" t="n"/>
      <c r="Q49" s="7" t="n"/>
      <c r="R49" s="9" t="n"/>
      <c r="S49" s="10">
        <f>IF($C49="","",$I49*$R49)</f>
        <v/>
      </c>
      <c r="T49" s="10">
        <f>IF($C49="","",(IF($N49="Purchased",$H49,0)+$Q49))</f>
        <v/>
      </c>
      <c r="U49" s="10">
        <f>IF($C49="","",$S49-$T49)</f>
        <v/>
      </c>
      <c r="V49" s="11">
        <f>IF(OR($C49="",$I49=0),"",CEILING($T49/$I49,1))</f>
        <v/>
      </c>
      <c r="W49" s="6" t="n"/>
    </row>
    <row r="50">
      <c r="A50" t="inlineStr">
        <is>
          <t>W049</t>
        </is>
      </c>
      <c r="B50" s="6" t="n"/>
      <c r="C50" s="6" t="n"/>
      <c r="D50" s="6" t="n"/>
      <c r="E50" s="6" t="n"/>
      <c r="F50">
        <f>IF(E50="","",IMAGE(E50))</f>
        <v/>
      </c>
      <c r="G50" s="6" t="n"/>
      <c r="H50" s="7" t="n"/>
      <c r="I50" s="7" t="n"/>
      <c r="J50" s="6" t="n"/>
      <c r="K50" s="6" t="n"/>
      <c r="L50" s="6" t="n"/>
      <c r="M50" s="6" t="n"/>
      <c r="N50" s="6" t="n"/>
      <c r="O50" s="6" t="n"/>
      <c r="P50" s="8" t="n"/>
      <c r="Q50" s="7" t="n"/>
      <c r="R50" s="9" t="n"/>
      <c r="S50" s="10">
        <f>IF($C50="","",$I50*$R50)</f>
        <v/>
      </c>
      <c r="T50" s="10">
        <f>IF($C50="","",(IF($N50="Purchased",$H50,0)+$Q50))</f>
        <v/>
      </c>
      <c r="U50" s="10">
        <f>IF($C50="","",$S50-$T50)</f>
        <v/>
      </c>
      <c r="V50" s="11">
        <f>IF(OR($C50="",$I50=0),"",CEILING($T50/$I50,1))</f>
        <v/>
      </c>
      <c r="W50" s="6" t="n"/>
    </row>
    <row r="51">
      <c r="A51" t="inlineStr">
        <is>
          <t>W050</t>
        </is>
      </c>
      <c r="B51" s="6" t="n"/>
      <c r="C51" s="6" t="n"/>
      <c r="D51" s="6" t="n"/>
      <c r="E51" s="6" t="n"/>
      <c r="F51">
        <f>IF(E51="","",IMAGE(E51))</f>
        <v/>
      </c>
      <c r="G51" s="6" t="n"/>
      <c r="H51" s="7" t="n"/>
      <c r="I51" s="7" t="n"/>
      <c r="J51" s="6" t="n"/>
      <c r="K51" s="6" t="n"/>
      <c r="L51" s="6" t="n"/>
      <c r="M51" s="6" t="n"/>
      <c r="N51" s="6" t="n"/>
      <c r="O51" s="6" t="n"/>
      <c r="P51" s="8" t="n"/>
      <c r="Q51" s="7" t="n"/>
      <c r="R51" s="9" t="n"/>
      <c r="S51" s="10">
        <f>IF($C51="","",$I51*$R51)</f>
        <v/>
      </c>
      <c r="T51" s="10">
        <f>IF($C51="","",(IF($N51="Purchased",$H51,0)+$Q51))</f>
        <v/>
      </c>
      <c r="U51" s="10">
        <f>IF($C51="","",$S51-$T51)</f>
        <v/>
      </c>
      <c r="V51" s="11">
        <f>IF(OR($C51="",$I51=0),"",CEILING($T51/$I51,1))</f>
        <v/>
      </c>
      <c r="W51" s="6" t="n"/>
    </row>
    <row r="52">
      <c r="A52" t="inlineStr">
        <is>
          <t>W051</t>
        </is>
      </c>
      <c r="B52" s="6" t="n"/>
      <c r="C52" s="6" t="n"/>
      <c r="D52" s="6" t="n"/>
      <c r="E52" s="6" t="n"/>
      <c r="F52">
        <f>IF(E52="","",IMAGE(E52))</f>
        <v/>
      </c>
      <c r="G52" s="6" t="n"/>
      <c r="H52" s="7" t="n"/>
      <c r="I52" s="7" t="n"/>
      <c r="J52" s="6" t="n"/>
      <c r="K52" s="6" t="n"/>
      <c r="L52" s="6" t="n"/>
      <c r="M52" s="6" t="n"/>
      <c r="N52" s="6" t="n"/>
      <c r="O52" s="6" t="n"/>
      <c r="P52" s="8" t="n"/>
      <c r="Q52" s="7" t="n"/>
      <c r="R52" s="9" t="n"/>
      <c r="S52" s="10">
        <f>IF($C52="","",$I52*$R52)</f>
        <v/>
      </c>
      <c r="T52" s="10">
        <f>IF($C52="","",(IF($N52="Purchased",$H52,0)+$Q52))</f>
        <v/>
      </c>
      <c r="U52" s="10">
        <f>IF($C52="","",$S52-$T52)</f>
        <v/>
      </c>
      <c r="V52" s="11">
        <f>IF(OR($C52="",$I52=0),"",CEILING($T52/$I52,1))</f>
        <v/>
      </c>
      <c r="W52" s="6" t="n"/>
    </row>
    <row r="53">
      <c r="A53" t="inlineStr">
        <is>
          <t>W052</t>
        </is>
      </c>
      <c r="B53" s="6" t="n"/>
      <c r="C53" s="6" t="n"/>
      <c r="D53" s="6" t="n"/>
      <c r="E53" s="6" t="n"/>
      <c r="F53">
        <f>IF(E53="","",IMAGE(E53))</f>
        <v/>
      </c>
      <c r="G53" s="6" t="n"/>
      <c r="H53" s="7" t="n"/>
      <c r="I53" s="7" t="n"/>
      <c r="J53" s="6" t="n"/>
      <c r="K53" s="6" t="n"/>
      <c r="L53" s="6" t="n"/>
      <c r="M53" s="6" t="n"/>
      <c r="N53" s="6" t="n"/>
      <c r="O53" s="6" t="n"/>
      <c r="P53" s="8" t="n"/>
      <c r="Q53" s="7" t="n"/>
      <c r="R53" s="9" t="n"/>
      <c r="S53" s="10">
        <f>IF($C53="","",$I53*$R53)</f>
        <v/>
      </c>
      <c r="T53" s="10">
        <f>IF($C53="","",(IF($N53="Purchased",$H53,0)+$Q53))</f>
        <v/>
      </c>
      <c r="U53" s="10">
        <f>IF($C53="","",$S53-$T53)</f>
        <v/>
      </c>
      <c r="V53" s="11">
        <f>IF(OR($C53="",$I53=0),"",CEILING($T53/$I53,1))</f>
        <v/>
      </c>
      <c r="W53" s="6" t="n"/>
    </row>
    <row r="54">
      <c r="A54" t="inlineStr">
        <is>
          <t>W053</t>
        </is>
      </c>
      <c r="B54" s="6" t="n"/>
      <c r="C54" s="6" t="n"/>
      <c r="D54" s="6" t="n"/>
      <c r="E54" s="6" t="n"/>
      <c r="F54">
        <f>IF(E54="","",IMAGE(E54))</f>
        <v/>
      </c>
      <c r="G54" s="6" t="n"/>
      <c r="H54" s="7" t="n"/>
      <c r="I54" s="7" t="n"/>
      <c r="J54" s="6" t="n"/>
      <c r="K54" s="6" t="n"/>
      <c r="L54" s="6" t="n"/>
      <c r="M54" s="6" t="n"/>
      <c r="N54" s="6" t="n"/>
      <c r="O54" s="6" t="n"/>
      <c r="P54" s="8" t="n"/>
      <c r="Q54" s="7" t="n"/>
      <c r="R54" s="9" t="n"/>
      <c r="S54" s="10">
        <f>IF($C54="","",$I54*$R54)</f>
        <v/>
      </c>
      <c r="T54" s="10">
        <f>IF($C54="","",(IF($N54="Purchased",$H54,0)+$Q54))</f>
        <v/>
      </c>
      <c r="U54" s="10">
        <f>IF($C54="","",$S54-$T54)</f>
        <v/>
      </c>
      <c r="V54" s="11">
        <f>IF(OR($C54="",$I54=0),"",CEILING($T54/$I54,1))</f>
        <v/>
      </c>
      <c r="W54" s="6" t="n"/>
    </row>
    <row r="55">
      <c r="A55" t="inlineStr">
        <is>
          <t>W054</t>
        </is>
      </c>
      <c r="B55" s="6" t="n"/>
      <c r="C55" s="6" t="n"/>
      <c r="D55" s="6" t="n"/>
      <c r="E55" s="6" t="n"/>
      <c r="F55">
        <f>IF(E55="","",IMAGE(E55))</f>
        <v/>
      </c>
      <c r="G55" s="6" t="n"/>
      <c r="H55" s="7" t="n"/>
      <c r="I55" s="7" t="n"/>
      <c r="J55" s="6" t="n"/>
      <c r="K55" s="6" t="n"/>
      <c r="L55" s="6" t="n"/>
      <c r="M55" s="6" t="n"/>
      <c r="N55" s="6" t="n"/>
      <c r="O55" s="6" t="n"/>
      <c r="P55" s="8" t="n"/>
      <c r="Q55" s="7" t="n"/>
      <c r="R55" s="9" t="n"/>
      <c r="S55" s="10">
        <f>IF($C55="","",$I55*$R55)</f>
        <v/>
      </c>
      <c r="T55" s="10">
        <f>IF($C55="","",(IF($N55="Purchased",$H55,0)+$Q55))</f>
        <v/>
      </c>
      <c r="U55" s="10">
        <f>IF($C55="","",$S55-$T55)</f>
        <v/>
      </c>
      <c r="V55" s="11">
        <f>IF(OR($C55="",$I55=0),"",CEILING($T55/$I55,1))</f>
        <v/>
      </c>
      <c r="W55" s="6" t="n"/>
    </row>
    <row r="56">
      <c r="A56" t="inlineStr">
        <is>
          <t>W055</t>
        </is>
      </c>
      <c r="B56" s="6" t="n"/>
      <c r="C56" s="6" t="n"/>
      <c r="D56" s="6" t="n"/>
      <c r="E56" s="6" t="n"/>
      <c r="F56">
        <f>IF(E56="","",IMAGE(E56))</f>
        <v/>
      </c>
      <c r="G56" s="6" t="n"/>
      <c r="H56" s="7" t="n"/>
      <c r="I56" s="7" t="n"/>
      <c r="J56" s="6" t="n"/>
      <c r="K56" s="6" t="n"/>
      <c r="L56" s="6" t="n"/>
      <c r="M56" s="6" t="n"/>
      <c r="N56" s="6" t="n"/>
      <c r="O56" s="6" t="n"/>
      <c r="P56" s="8" t="n"/>
      <c r="Q56" s="7" t="n"/>
      <c r="R56" s="9" t="n"/>
      <c r="S56" s="10">
        <f>IF($C56="","",$I56*$R56)</f>
        <v/>
      </c>
      <c r="T56" s="10">
        <f>IF($C56="","",(IF($N56="Purchased",$H56,0)+$Q56))</f>
        <v/>
      </c>
      <c r="U56" s="10">
        <f>IF($C56="","",$S56-$T56)</f>
        <v/>
      </c>
      <c r="V56" s="11">
        <f>IF(OR($C56="",$I56=0),"",CEILING($T56/$I56,1))</f>
        <v/>
      </c>
      <c r="W56" s="6" t="n"/>
    </row>
    <row r="57">
      <c r="A57" t="inlineStr">
        <is>
          <t>W056</t>
        </is>
      </c>
      <c r="B57" s="6" t="n"/>
      <c r="C57" s="6" t="n"/>
      <c r="D57" s="6" t="n"/>
      <c r="E57" s="6" t="n"/>
      <c r="F57">
        <f>IF(E57="","",IMAGE(E57))</f>
        <v/>
      </c>
      <c r="G57" s="6" t="n"/>
      <c r="H57" s="7" t="n"/>
      <c r="I57" s="7" t="n"/>
      <c r="J57" s="6" t="n"/>
      <c r="K57" s="6" t="n"/>
      <c r="L57" s="6" t="n"/>
      <c r="M57" s="6" t="n"/>
      <c r="N57" s="6" t="n"/>
      <c r="O57" s="6" t="n"/>
      <c r="P57" s="8" t="n"/>
      <c r="Q57" s="7" t="n"/>
      <c r="R57" s="9" t="n"/>
      <c r="S57" s="10">
        <f>IF($C57="","",$I57*$R57)</f>
        <v/>
      </c>
      <c r="T57" s="10">
        <f>IF($C57="","",(IF($N57="Purchased",$H57,0)+$Q57))</f>
        <v/>
      </c>
      <c r="U57" s="10">
        <f>IF($C57="","",$S57-$T57)</f>
        <v/>
      </c>
      <c r="V57" s="11">
        <f>IF(OR($C57="",$I57=0),"",CEILING($T57/$I57,1))</f>
        <v/>
      </c>
      <c r="W57" s="6" t="n"/>
    </row>
    <row r="58">
      <c r="A58" t="inlineStr">
        <is>
          <t>W057</t>
        </is>
      </c>
      <c r="B58" s="6" t="n"/>
      <c r="C58" s="6" t="n"/>
      <c r="D58" s="6" t="n"/>
      <c r="E58" s="6" t="n"/>
      <c r="F58">
        <f>IF(E58="","",IMAGE(E58))</f>
        <v/>
      </c>
      <c r="G58" s="6" t="n"/>
      <c r="H58" s="7" t="n"/>
      <c r="I58" s="7" t="n"/>
      <c r="J58" s="6" t="n"/>
      <c r="K58" s="6" t="n"/>
      <c r="L58" s="6" t="n"/>
      <c r="M58" s="6" t="n"/>
      <c r="N58" s="6" t="n"/>
      <c r="O58" s="6" t="n"/>
      <c r="P58" s="8" t="n"/>
      <c r="Q58" s="7" t="n"/>
      <c r="R58" s="9" t="n"/>
      <c r="S58" s="10">
        <f>IF($C58="","",$I58*$R58)</f>
        <v/>
      </c>
      <c r="T58" s="10">
        <f>IF($C58="","",(IF($N58="Purchased",$H58,0)+$Q58))</f>
        <v/>
      </c>
      <c r="U58" s="10">
        <f>IF($C58="","",$S58-$T58)</f>
        <v/>
      </c>
      <c r="V58" s="11">
        <f>IF(OR($C58="",$I58=0),"",CEILING($T58/$I58,1))</f>
        <v/>
      </c>
      <c r="W58" s="6" t="n"/>
    </row>
    <row r="59">
      <c r="A59" t="inlineStr">
        <is>
          <t>W058</t>
        </is>
      </c>
      <c r="B59" s="6" t="n"/>
      <c r="C59" s="6" t="n"/>
      <c r="D59" s="6" t="n"/>
      <c r="E59" s="6" t="n"/>
      <c r="F59">
        <f>IF(E59="","",IMAGE(E59))</f>
        <v/>
      </c>
      <c r="G59" s="6" t="n"/>
      <c r="H59" s="7" t="n"/>
      <c r="I59" s="7" t="n"/>
      <c r="J59" s="6" t="n"/>
      <c r="K59" s="6" t="n"/>
      <c r="L59" s="6" t="n"/>
      <c r="M59" s="6" t="n"/>
      <c r="N59" s="6" t="n"/>
      <c r="O59" s="6" t="n"/>
      <c r="P59" s="8" t="n"/>
      <c r="Q59" s="7" t="n"/>
      <c r="R59" s="9" t="n"/>
      <c r="S59" s="10">
        <f>IF($C59="","",$I59*$R59)</f>
        <v/>
      </c>
      <c r="T59" s="10">
        <f>IF($C59="","",(IF($N59="Purchased",$H59,0)+$Q59))</f>
        <v/>
      </c>
      <c r="U59" s="10">
        <f>IF($C59="","",$S59-$T59)</f>
        <v/>
      </c>
      <c r="V59" s="11">
        <f>IF(OR($C59="",$I59=0),"",CEILING($T59/$I59,1))</f>
        <v/>
      </c>
      <c r="W59" s="6" t="n"/>
    </row>
    <row r="60">
      <c r="A60" t="inlineStr">
        <is>
          <t>W059</t>
        </is>
      </c>
      <c r="B60" s="6" t="n"/>
      <c r="C60" s="6" t="n"/>
      <c r="D60" s="6" t="n"/>
      <c r="E60" s="6" t="n"/>
      <c r="F60">
        <f>IF(E60="","",IMAGE(E60))</f>
        <v/>
      </c>
      <c r="G60" s="6" t="n"/>
      <c r="H60" s="7" t="n"/>
      <c r="I60" s="7" t="n"/>
      <c r="J60" s="6" t="n"/>
      <c r="K60" s="6" t="n"/>
      <c r="L60" s="6" t="n"/>
      <c r="M60" s="6" t="n"/>
      <c r="N60" s="6" t="n"/>
      <c r="O60" s="6" t="n"/>
      <c r="P60" s="8" t="n"/>
      <c r="Q60" s="7" t="n"/>
      <c r="R60" s="9" t="n"/>
      <c r="S60" s="10">
        <f>IF($C60="","",$I60*$R60)</f>
        <v/>
      </c>
      <c r="T60" s="10">
        <f>IF($C60="","",(IF($N60="Purchased",$H60,0)+$Q60))</f>
        <v/>
      </c>
      <c r="U60" s="10">
        <f>IF($C60="","",$S60-$T60)</f>
        <v/>
      </c>
      <c r="V60" s="11">
        <f>IF(OR($C60="",$I60=0),"",CEILING($T60/$I60,1))</f>
        <v/>
      </c>
      <c r="W60" s="6" t="n"/>
    </row>
    <row r="61">
      <c r="A61" t="inlineStr">
        <is>
          <t>W060</t>
        </is>
      </c>
      <c r="B61" s="6" t="n"/>
      <c r="C61" s="6" t="n"/>
      <c r="D61" s="6" t="n"/>
      <c r="E61" s="6" t="n"/>
      <c r="F61">
        <f>IF(E61="","",IMAGE(E61))</f>
        <v/>
      </c>
      <c r="G61" s="6" t="n"/>
      <c r="H61" s="7" t="n"/>
      <c r="I61" s="7" t="n"/>
      <c r="J61" s="6" t="n"/>
      <c r="K61" s="6" t="n"/>
      <c r="L61" s="6" t="n"/>
      <c r="M61" s="6" t="n"/>
      <c r="N61" s="6" t="n"/>
      <c r="O61" s="6" t="n"/>
      <c r="P61" s="8" t="n"/>
      <c r="Q61" s="7" t="n"/>
      <c r="R61" s="9" t="n"/>
      <c r="S61" s="10">
        <f>IF($C61="","",$I61*$R61)</f>
        <v/>
      </c>
      <c r="T61" s="10">
        <f>IF($C61="","",(IF($N61="Purchased",$H61,0)+$Q61))</f>
        <v/>
      </c>
      <c r="U61" s="10">
        <f>IF($C61="","",$S61-$T61)</f>
        <v/>
      </c>
      <c r="V61" s="11">
        <f>IF(OR($C61="",$I61=0),"",CEILING($T61/$I61,1))</f>
        <v/>
      </c>
      <c r="W61" s="6" t="n"/>
    </row>
    <row r="62">
      <c r="A62" t="inlineStr">
        <is>
          <t>W061</t>
        </is>
      </c>
      <c r="B62" s="6" t="n"/>
      <c r="C62" s="6" t="n"/>
      <c r="D62" s="6" t="n"/>
      <c r="E62" s="6" t="n"/>
      <c r="F62">
        <f>IF(E62="","",IMAGE(E62))</f>
        <v/>
      </c>
      <c r="G62" s="6" t="n"/>
      <c r="H62" s="7" t="n"/>
      <c r="I62" s="7" t="n"/>
      <c r="J62" s="6" t="n"/>
      <c r="K62" s="6" t="n"/>
      <c r="L62" s="6" t="n"/>
      <c r="M62" s="6" t="n"/>
      <c r="N62" s="6" t="n"/>
      <c r="O62" s="6" t="n"/>
      <c r="P62" s="8" t="n"/>
      <c r="Q62" s="7" t="n"/>
      <c r="R62" s="9" t="n"/>
      <c r="S62" s="10">
        <f>IF($C62="","",$I62*$R62)</f>
        <v/>
      </c>
      <c r="T62" s="10">
        <f>IF($C62="","",(IF($N62="Purchased",$H62,0)+$Q62))</f>
        <v/>
      </c>
      <c r="U62" s="10">
        <f>IF($C62="","",$S62-$T62)</f>
        <v/>
      </c>
      <c r="V62" s="11">
        <f>IF(OR($C62="",$I62=0),"",CEILING($T62/$I62,1))</f>
        <v/>
      </c>
      <c r="W62" s="6" t="n"/>
    </row>
    <row r="63">
      <c r="A63" t="inlineStr">
        <is>
          <t>W062</t>
        </is>
      </c>
      <c r="B63" s="6" t="n"/>
      <c r="C63" s="6" t="n"/>
      <c r="D63" s="6" t="n"/>
      <c r="E63" s="6" t="n"/>
      <c r="F63">
        <f>IF(E63="","",IMAGE(E63))</f>
        <v/>
      </c>
      <c r="G63" s="6" t="n"/>
      <c r="H63" s="7" t="n"/>
      <c r="I63" s="7" t="n"/>
      <c r="J63" s="6" t="n"/>
      <c r="K63" s="6" t="n"/>
      <c r="L63" s="6" t="n"/>
      <c r="M63" s="6" t="n"/>
      <c r="N63" s="6" t="n"/>
      <c r="O63" s="6" t="n"/>
      <c r="P63" s="8" t="n"/>
      <c r="Q63" s="7" t="n"/>
      <c r="R63" s="9" t="n"/>
      <c r="S63" s="10">
        <f>IF($C63="","",$I63*$R63)</f>
        <v/>
      </c>
      <c r="T63" s="10">
        <f>IF($C63="","",(IF($N63="Purchased",$H63,0)+$Q63))</f>
        <v/>
      </c>
      <c r="U63" s="10">
        <f>IF($C63="","",$S63-$T63)</f>
        <v/>
      </c>
      <c r="V63" s="11">
        <f>IF(OR($C63="",$I63=0),"",CEILING($T63/$I63,1))</f>
        <v/>
      </c>
      <c r="W63" s="6" t="n"/>
    </row>
    <row r="64">
      <c r="A64" t="inlineStr">
        <is>
          <t>W063</t>
        </is>
      </c>
      <c r="B64" s="6" t="n"/>
      <c r="C64" s="6" t="n"/>
      <c r="D64" s="6" t="n"/>
      <c r="E64" s="6" t="n"/>
      <c r="F64">
        <f>IF(E64="","",IMAGE(E64))</f>
        <v/>
      </c>
      <c r="G64" s="6" t="n"/>
      <c r="H64" s="7" t="n"/>
      <c r="I64" s="7" t="n"/>
      <c r="J64" s="6" t="n"/>
      <c r="K64" s="6" t="n"/>
      <c r="L64" s="6" t="n"/>
      <c r="M64" s="6" t="n"/>
      <c r="N64" s="6" t="n"/>
      <c r="O64" s="6" t="n"/>
      <c r="P64" s="8" t="n"/>
      <c r="Q64" s="7" t="n"/>
      <c r="R64" s="9" t="n"/>
      <c r="S64" s="10">
        <f>IF($C64="","",$I64*$R64)</f>
        <v/>
      </c>
      <c r="T64" s="10">
        <f>IF($C64="","",(IF($N64="Purchased",$H64,0)+$Q64))</f>
        <v/>
      </c>
      <c r="U64" s="10">
        <f>IF($C64="","",$S64-$T64)</f>
        <v/>
      </c>
      <c r="V64" s="11">
        <f>IF(OR($C64="",$I64=0),"",CEILING($T64/$I64,1))</f>
        <v/>
      </c>
      <c r="W64" s="6" t="n"/>
    </row>
    <row r="65">
      <c r="A65" t="inlineStr">
        <is>
          <t>W064</t>
        </is>
      </c>
      <c r="B65" s="6" t="n"/>
      <c r="C65" s="6" t="n"/>
      <c r="D65" s="6" t="n"/>
      <c r="E65" s="6" t="n"/>
      <c r="F65">
        <f>IF(E65="","",IMAGE(E65))</f>
        <v/>
      </c>
      <c r="G65" s="6" t="n"/>
      <c r="H65" s="7" t="n"/>
      <c r="I65" s="7" t="n"/>
      <c r="J65" s="6" t="n"/>
      <c r="K65" s="6" t="n"/>
      <c r="L65" s="6" t="n"/>
      <c r="M65" s="6" t="n"/>
      <c r="N65" s="6" t="n"/>
      <c r="O65" s="6" t="n"/>
      <c r="P65" s="8" t="n"/>
      <c r="Q65" s="7" t="n"/>
      <c r="R65" s="9" t="n"/>
      <c r="S65" s="10">
        <f>IF($C65="","",$I65*$R65)</f>
        <v/>
      </c>
      <c r="T65" s="10">
        <f>IF($C65="","",(IF($N65="Purchased",$H65,0)+$Q65))</f>
        <v/>
      </c>
      <c r="U65" s="10">
        <f>IF($C65="","",$S65-$T65)</f>
        <v/>
      </c>
      <c r="V65" s="11">
        <f>IF(OR($C65="",$I65=0),"",CEILING($T65/$I65,1))</f>
        <v/>
      </c>
      <c r="W65" s="6" t="n"/>
    </row>
    <row r="66">
      <c r="A66" t="inlineStr">
        <is>
          <t>W065</t>
        </is>
      </c>
      <c r="B66" s="6" t="n"/>
      <c r="C66" s="6" t="n"/>
      <c r="D66" s="6" t="n"/>
      <c r="E66" s="6" t="n"/>
      <c r="F66">
        <f>IF(E66="","",IMAGE(E66))</f>
        <v/>
      </c>
      <c r="G66" s="6" t="n"/>
      <c r="H66" s="7" t="n"/>
      <c r="I66" s="7" t="n"/>
      <c r="J66" s="6" t="n"/>
      <c r="K66" s="6" t="n"/>
      <c r="L66" s="6" t="n"/>
      <c r="M66" s="6" t="n"/>
      <c r="N66" s="6" t="n"/>
      <c r="O66" s="6" t="n"/>
      <c r="P66" s="8" t="n"/>
      <c r="Q66" s="7" t="n"/>
      <c r="R66" s="9" t="n"/>
      <c r="S66" s="10">
        <f>IF($C66="","",$I66*$R66)</f>
        <v/>
      </c>
      <c r="T66" s="10">
        <f>IF($C66="","",(IF($N66="Purchased",$H66,0)+$Q66))</f>
        <v/>
      </c>
      <c r="U66" s="10">
        <f>IF($C66="","",$S66-$T66)</f>
        <v/>
      </c>
      <c r="V66" s="11">
        <f>IF(OR($C66="",$I66=0),"",CEILING($T66/$I66,1))</f>
        <v/>
      </c>
      <c r="W66" s="6" t="n"/>
    </row>
    <row r="67">
      <c r="A67" t="inlineStr">
        <is>
          <t>W066</t>
        </is>
      </c>
      <c r="B67" s="6" t="n"/>
      <c r="C67" s="6" t="n"/>
      <c r="D67" s="6" t="n"/>
      <c r="E67" s="6" t="n"/>
      <c r="F67">
        <f>IF(E67="","",IMAGE(E67))</f>
        <v/>
      </c>
      <c r="G67" s="6" t="n"/>
      <c r="H67" s="7" t="n"/>
      <c r="I67" s="7" t="n"/>
      <c r="J67" s="6" t="n"/>
      <c r="K67" s="6" t="n"/>
      <c r="L67" s="6" t="n"/>
      <c r="M67" s="6" t="n"/>
      <c r="N67" s="6" t="n"/>
      <c r="O67" s="6" t="n"/>
      <c r="P67" s="8" t="n"/>
      <c r="Q67" s="7" t="n"/>
      <c r="R67" s="9" t="n"/>
      <c r="S67" s="10">
        <f>IF($C67="","",$I67*$R67)</f>
        <v/>
      </c>
      <c r="T67" s="10">
        <f>IF($C67="","",(IF($N67="Purchased",$H67,0)+$Q67))</f>
        <v/>
      </c>
      <c r="U67" s="10">
        <f>IF($C67="","",$S67-$T67)</f>
        <v/>
      </c>
      <c r="V67" s="11">
        <f>IF(OR($C67="",$I67=0),"",CEILING($T67/$I67,1))</f>
        <v/>
      </c>
      <c r="W67" s="6" t="n"/>
    </row>
    <row r="68">
      <c r="A68" t="inlineStr">
        <is>
          <t>W067</t>
        </is>
      </c>
      <c r="B68" s="6" t="n"/>
      <c r="C68" s="6" t="n"/>
      <c r="D68" s="6" t="n"/>
      <c r="E68" s="6" t="n"/>
      <c r="F68">
        <f>IF(E68="","",IMAGE(E68))</f>
        <v/>
      </c>
      <c r="G68" s="6" t="n"/>
      <c r="H68" s="7" t="n"/>
      <c r="I68" s="7" t="n"/>
      <c r="J68" s="6" t="n"/>
      <c r="K68" s="6" t="n"/>
      <c r="L68" s="6" t="n"/>
      <c r="M68" s="6" t="n"/>
      <c r="N68" s="6" t="n"/>
      <c r="O68" s="6" t="n"/>
      <c r="P68" s="8" t="n"/>
      <c r="Q68" s="7" t="n"/>
      <c r="R68" s="9" t="n"/>
      <c r="S68" s="10">
        <f>IF($C68="","",$I68*$R68)</f>
        <v/>
      </c>
      <c r="T68" s="10">
        <f>IF($C68="","",(IF($N68="Purchased",$H68,0)+$Q68))</f>
        <v/>
      </c>
      <c r="U68" s="10">
        <f>IF($C68="","",$S68-$T68)</f>
        <v/>
      </c>
      <c r="V68" s="11">
        <f>IF(OR($C68="",$I68=0),"",CEILING($T68/$I68,1))</f>
        <v/>
      </c>
      <c r="W68" s="6" t="n"/>
    </row>
    <row r="69">
      <c r="A69" t="inlineStr">
        <is>
          <t>W068</t>
        </is>
      </c>
      <c r="B69" s="6" t="n"/>
      <c r="C69" s="6" t="n"/>
      <c r="D69" s="6" t="n"/>
      <c r="E69" s="6" t="n"/>
      <c r="F69">
        <f>IF(E69="","",IMAGE(E69))</f>
        <v/>
      </c>
      <c r="G69" s="6" t="n"/>
      <c r="H69" s="7" t="n"/>
      <c r="I69" s="7" t="n"/>
      <c r="J69" s="6" t="n"/>
      <c r="K69" s="6" t="n"/>
      <c r="L69" s="6" t="n"/>
      <c r="M69" s="6" t="n"/>
      <c r="N69" s="6" t="n"/>
      <c r="O69" s="6" t="n"/>
      <c r="P69" s="8" t="n"/>
      <c r="Q69" s="7" t="n"/>
      <c r="R69" s="9" t="n"/>
      <c r="S69" s="10">
        <f>IF($C69="","",$I69*$R69)</f>
        <v/>
      </c>
      <c r="T69" s="10">
        <f>IF($C69="","",(IF($N69="Purchased",$H69,0)+$Q69))</f>
        <v/>
      </c>
      <c r="U69" s="10">
        <f>IF($C69="","",$S69-$T69)</f>
        <v/>
      </c>
      <c r="V69" s="11">
        <f>IF(OR($C69="",$I69=0),"",CEILING($T69/$I69,1))</f>
        <v/>
      </c>
      <c r="W69" s="6" t="n"/>
    </row>
    <row r="70">
      <c r="A70" t="inlineStr">
        <is>
          <t>W069</t>
        </is>
      </c>
      <c r="B70" s="6" t="n"/>
      <c r="C70" s="6" t="n"/>
      <c r="D70" s="6" t="n"/>
      <c r="E70" s="6" t="n"/>
      <c r="F70">
        <f>IF(E70="","",IMAGE(E70))</f>
        <v/>
      </c>
      <c r="G70" s="6" t="n"/>
      <c r="H70" s="7" t="n"/>
      <c r="I70" s="7" t="n"/>
      <c r="J70" s="6" t="n"/>
      <c r="K70" s="6" t="n"/>
      <c r="L70" s="6" t="n"/>
      <c r="M70" s="6" t="n"/>
      <c r="N70" s="6" t="n"/>
      <c r="O70" s="6" t="n"/>
      <c r="P70" s="8" t="n"/>
      <c r="Q70" s="7" t="n"/>
      <c r="R70" s="9" t="n"/>
      <c r="S70" s="10">
        <f>IF($C70="","",$I70*$R70)</f>
        <v/>
      </c>
      <c r="T70" s="10">
        <f>IF($C70="","",(IF($N70="Purchased",$H70,0)+$Q70))</f>
        <v/>
      </c>
      <c r="U70" s="10">
        <f>IF($C70="","",$S70-$T70)</f>
        <v/>
      </c>
      <c r="V70" s="11">
        <f>IF(OR($C70="",$I70=0),"",CEILING($T70/$I70,1))</f>
        <v/>
      </c>
      <c r="W70" s="6" t="n"/>
    </row>
    <row r="71">
      <c r="A71" t="inlineStr">
        <is>
          <t>W070</t>
        </is>
      </c>
      <c r="B71" s="6" t="n"/>
      <c r="C71" s="6" t="n"/>
      <c r="D71" s="6" t="n"/>
      <c r="E71" s="6" t="n"/>
      <c r="F71">
        <f>IF(E71="","",IMAGE(E71))</f>
        <v/>
      </c>
      <c r="G71" s="6" t="n"/>
      <c r="H71" s="7" t="n"/>
      <c r="I71" s="7" t="n"/>
      <c r="J71" s="6" t="n"/>
      <c r="K71" s="6" t="n"/>
      <c r="L71" s="6" t="n"/>
      <c r="M71" s="6" t="n"/>
      <c r="N71" s="6" t="n"/>
      <c r="O71" s="6" t="n"/>
      <c r="P71" s="8" t="n"/>
      <c r="Q71" s="7" t="n"/>
      <c r="R71" s="9" t="n"/>
      <c r="S71" s="10">
        <f>IF($C71="","",$I71*$R71)</f>
        <v/>
      </c>
      <c r="T71" s="10">
        <f>IF($C71="","",(IF($N71="Purchased",$H71,0)+$Q71))</f>
        <v/>
      </c>
      <c r="U71" s="10">
        <f>IF($C71="","",$S71-$T71)</f>
        <v/>
      </c>
      <c r="V71" s="11">
        <f>IF(OR($C71="",$I71=0),"",CEILING($T71/$I71,1))</f>
        <v/>
      </c>
      <c r="W71" s="6" t="n"/>
    </row>
    <row r="72">
      <c r="A72" t="inlineStr">
        <is>
          <t>W071</t>
        </is>
      </c>
      <c r="B72" s="6" t="n"/>
      <c r="C72" s="6" t="n"/>
      <c r="D72" s="6" t="n"/>
      <c r="E72" s="6" t="n"/>
      <c r="F72">
        <f>IF(E72="","",IMAGE(E72))</f>
        <v/>
      </c>
      <c r="G72" s="6" t="n"/>
      <c r="H72" s="7" t="n"/>
      <c r="I72" s="7" t="n"/>
      <c r="J72" s="6" t="n"/>
      <c r="K72" s="6" t="n"/>
      <c r="L72" s="6" t="n"/>
      <c r="M72" s="6" t="n"/>
      <c r="N72" s="6" t="n"/>
      <c r="O72" s="6" t="n"/>
      <c r="P72" s="8" t="n"/>
      <c r="Q72" s="7" t="n"/>
      <c r="R72" s="9" t="n"/>
      <c r="S72" s="10">
        <f>IF($C72="","",$I72*$R72)</f>
        <v/>
      </c>
      <c r="T72" s="10">
        <f>IF($C72="","",(IF($N72="Purchased",$H72,0)+$Q72))</f>
        <v/>
      </c>
      <c r="U72" s="10">
        <f>IF($C72="","",$S72-$T72)</f>
        <v/>
      </c>
      <c r="V72" s="11">
        <f>IF(OR($C72="",$I72=0),"",CEILING($T72/$I72,1))</f>
        <v/>
      </c>
      <c r="W72" s="6" t="n"/>
    </row>
    <row r="73">
      <c r="A73" t="inlineStr">
        <is>
          <t>W072</t>
        </is>
      </c>
      <c r="B73" s="6" t="n"/>
      <c r="C73" s="6" t="n"/>
      <c r="D73" s="6" t="n"/>
      <c r="E73" s="6" t="n"/>
      <c r="F73">
        <f>IF(E73="","",IMAGE(E73))</f>
        <v/>
      </c>
      <c r="G73" s="6" t="n"/>
      <c r="H73" s="7" t="n"/>
      <c r="I73" s="7" t="n"/>
      <c r="J73" s="6" t="n"/>
      <c r="K73" s="6" t="n"/>
      <c r="L73" s="6" t="n"/>
      <c r="M73" s="6" t="n"/>
      <c r="N73" s="6" t="n"/>
      <c r="O73" s="6" t="n"/>
      <c r="P73" s="8" t="n"/>
      <c r="Q73" s="7" t="n"/>
      <c r="R73" s="9" t="n"/>
      <c r="S73" s="10">
        <f>IF($C73="","",$I73*$R73)</f>
        <v/>
      </c>
      <c r="T73" s="10">
        <f>IF($C73="","",(IF($N73="Purchased",$H73,0)+$Q73))</f>
        <v/>
      </c>
      <c r="U73" s="10">
        <f>IF($C73="","",$S73-$T73)</f>
        <v/>
      </c>
      <c r="V73" s="11">
        <f>IF(OR($C73="",$I73=0),"",CEILING($T73/$I73,1))</f>
        <v/>
      </c>
      <c r="W73" s="6" t="n"/>
    </row>
    <row r="74">
      <c r="A74" t="inlineStr">
        <is>
          <t>W073</t>
        </is>
      </c>
      <c r="B74" s="6" t="n"/>
      <c r="C74" s="6" t="n"/>
      <c r="D74" s="6" t="n"/>
      <c r="E74" s="6" t="n"/>
      <c r="F74">
        <f>IF(E74="","",IMAGE(E74))</f>
        <v/>
      </c>
      <c r="G74" s="6" t="n"/>
      <c r="H74" s="7" t="n"/>
      <c r="I74" s="7" t="n"/>
      <c r="J74" s="6" t="n"/>
      <c r="K74" s="6" t="n"/>
      <c r="L74" s="6" t="n"/>
      <c r="M74" s="6" t="n"/>
      <c r="N74" s="6" t="n"/>
      <c r="O74" s="6" t="n"/>
      <c r="P74" s="8" t="n"/>
      <c r="Q74" s="7" t="n"/>
      <c r="R74" s="9" t="n"/>
      <c r="S74" s="10">
        <f>IF($C74="","",$I74*$R74)</f>
        <v/>
      </c>
      <c r="T74" s="10">
        <f>IF($C74="","",(IF($N74="Purchased",$H74,0)+$Q74))</f>
        <v/>
      </c>
      <c r="U74" s="10">
        <f>IF($C74="","",$S74-$T74)</f>
        <v/>
      </c>
      <c r="V74" s="11">
        <f>IF(OR($C74="",$I74=0),"",CEILING($T74/$I74,1))</f>
        <v/>
      </c>
      <c r="W74" s="6" t="n"/>
    </row>
    <row r="75">
      <c r="A75" t="inlineStr">
        <is>
          <t>W074</t>
        </is>
      </c>
      <c r="B75" s="6" t="n"/>
      <c r="C75" s="6" t="n"/>
      <c r="D75" s="6" t="n"/>
      <c r="E75" s="6" t="n"/>
      <c r="F75">
        <f>IF(E75="","",IMAGE(E75))</f>
        <v/>
      </c>
      <c r="G75" s="6" t="n"/>
      <c r="H75" s="7" t="n"/>
      <c r="I75" s="7" t="n"/>
      <c r="J75" s="6" t="n"/>
      <c r="K75" s="6" t="n"/>
      <c r="L75" s="6" t="n"/>
      <c r="M75" s="6" t="n"/>
      <c r="N75" s="6" t="n"/>
      <c r="O75" s="6" t="n"/>
      <c r="P75" s="8" t="n"/>
      <c r="Q75" s="7" t="n"/>
      <c r="R75" s="9" t="n"/>
      <c r="S75" s="10">
        <f>IF($C75="","",$I75*$R75)</f>
        <v/>
      </c>
      <c r="T75" s="10">
        <f>IF($C75="","",(IF($N75="Purchased",$H75,0)+$Q75))</f>
        <v/>
      </c>
      <c r="U75" s="10">
        <f>IF($C75="","",$S75-$T75)</f>
        <v/>
      </c>
      <c r="V75" s="11">
        <f>IF(OR($C75="",$I75=0),"",CEILING($T75/$I75,1))</f>
        <v/>
      </c>
      <c r="W75" s="6" t="n"/>
    </row>
    <row r="76">
      <c r="A76" t="inlineStr">
        <is>
          <t>W075</t>
        </is>
      </c>
      <c r="B76" s="6" t="n"/>
      <c r="C76" s="6" t="n"/>
      <c r="D76" s="6" t="n"/>
      <c r="E76" s="6" t="n"/>
      <c r="F76">
        <f>IF(E76="","",IMAGE(E76))</f>
        <v/>
      </c>
      <c r="G76" s="6" t="n"/>
      <c r="H76" s="7" t="n"/>
      <c r="I76" s="7" t="n"/>
      <c r="J76" s="6" t="n"/>
      <c r="K76" s="6" t="n"/>
      <c r="L76" s="6" t="n"/>
      <c r="M76" s="6" t="n"/>
      <c r="N76" s="6" t="n"/>
      <c r="O76" s="6" t="n"/>
      <c r="P76" s="8" t="n"/>
      <c r="Q76" s="7" t="n"/>
      <c r="R76" s="9" t="n"/>
      <c r="S76" s="10">
        <f>IF($C76="","",$I76*$R76)</f>
        <v/>
      </c>
      <c r="T76" s="10">
        <f>IF($C76="","",(IF($N76="Purchased",$H76,0)+$Q76))</f>
        <v/>
      </c>
      <c r="U76" s="10">
        <f>IF($C76="","",$S76-$T76)</f>
        <v/>
      </c>
      <c r="V76" s="11">
        <f>IF(OR($C76="",$I76=0),"",CEILING($T76/$I76,1))</f>
        <v/>
      </c>
      <c r="W76" s="6" t="n"/>
    </row>
    <row r="77">
      <c r="A77" t="inlineStr">
        <is>
          <t>W076</t>
        </is>
      </c>
      <c r="B77" s="6" t="n"/>
      <c r="C77" s="6" t="n"/>
      <c r="D77" s="6" t="n"/>
      <c r="E77" s="6" t="n"/>
      <c r="F77">
        <f>IF(E77="","",IMAGE(E77))</f>
        <v/>
      </c>
      <c r="G77" s="6" t="n"/>
      <c r="H77" s="7" t="n"/>
      <c r="I77" s="7" t="n"/>
      <c r="J77" s="6" t="n"/>
      <c r="K77" s="6" t="n"/>
      <c r="L77" s="6" t="n"/>
      <c r="M77" s="6" t="n"/>
      <c r="N77" s="6" t="n"/>
      <c r="O77" s="6" t="n"/>
      <c r="P77" s="8" t="n"/>
      <c r="Q77" s="7" t="n"/>
      <c r="R77" s="9" t="n"/>
      <c r="S77" s="10">
        <f>IF($C77="","",$I77*$R77)</f>
        <v/>
      </c>
      <c r="T77" s="10">
        <f>IF($C77="","",(IF($N77="Purchased",$H77,0)+$Q77))</f>
        <v/>
      </c>
      <c r="U77" s="10">
        <f>IF($C77="","",$S77-$T77)</f>
        <v/>
      </c>
      <c r="V77" s="11">
        <f>IF(OR($C77="",$I77=0),"",CEILING($T77/$I77,1))</f>
        <v/>
      </c>
      <c r="W77" s="6" t="n"/>
    </row>
    <row r="78">
      <c r="A78" t="inlineStr">
        <is>
          <t>W077</t>
        </is>
      </c>
      <c r="B78" s="6" t="n"/>
      <c r="C78" s="6" t="n"/>
      <c r="D78" s="6" t="n"/>
      <c r="E78" s="6" t="n"/>
      <c r="F78">
        <f>IF(E78="","",IMAGE(E78))</f>
        <v/>
      </c>
      <c r="G78" s="6" t="n"/>
      <c r="H78" s="7" t="n"/>
      <c r="I78" s="7" t="n"/>
      <c r="J78" s="6" t="n"/>
      <c r="K78" s="6" t="n"/>
      <c r="L78" s="6" t="n"/>
      <c r="M78" s="6" t="n"/>
      <c r="N78" s="6" t="n"/>
      <c r="O78" s="6" t="n"/>
      <c r="P78" s="8" t="n"/>
      <c r="Q78" s="7" t="n"/>
      <c r="R78" s="9" t="n"/>
      <c r="S78" s="10">
        <f>IF($C78="","",$I78*$R78)</f>
        <v/>
      </c>
      <c r="T78" s="10">
        <f>IF($C78="","",(IF($N78="Purchased",$H78,0)+$Q78))</f>
        <v/>
      </c>
      <c r="U78" s="10">
        <f>IF($C78="","",$S78-$T78)</f>
        <v/>
      </c>
      <c r="V78" s="11">
        <f>IF(OR($C78="",$I78=0),"",CEILING($T78/$I78,1))</f>
        <v/>
      </c>
      <c r="W78" s="6" t="n"/>
    </row>
    <row r="79">
      <c r="A79" t="inlineStr">
        <is>
          <t>W078</t>
        </is>
      </c>
      <c r="B79" s="6" t="n"/>
      <c r="C79" s="6" t="n"/>
      <c r="D79" s="6" t="n"/>
      <c r="E79" s="6" t="n"/>
      <c r="F79">
        <f>IF(E79="","",IMAGE(E79))</f>
        <v/>
      </c>
      <c r="G79" s="6" t="n"/>
      <c r="H79" s="7" t="n"/>
      <c r="I79" s="7" t="n"/>
      <c r="J79" s="6" t="n"/>
      <c r="K79" s="6" t="n"/>
      <c r="L79" s="6" t="n"/>
      <c r="M79" s="6" t="n"/>
      <c r="N79" s="6" t="n"/>
      <c r="O79" s="6" t="n"/>
      <c r="P79" s="8" t="n"/>
      <c r="Q79" s="7" t="n"/>
      <c r="R79" s="9" t="n"/>
      <c r="S79" s="10">
        <f>IF($C79="","",$I79*$R79)</f>
        <v/>
      </c>
      <c r="T79" s="10">
        <f>IF($C79="","",(IF($N79="Purchased",$H79,0)+$Q79))</f>
        <v/>
      </c>
      <c r="U79" s="10">
        <f>IF($C79="","",$S79-$T79)</f>
        <v/>
      </c>
      <c r="V79" s="11">
        <f>IF(OR($C79="",$I79=0),"",CEILING($T79/$I79,1))</f>
        <v/>
      </c>
      <c r="W79" s="6" t="n"/>
    </row>
    <row r="80">
      <c r="A80" t="inlineStr">
        <is>
          <t>W079</t>
        </is>
      </c>
      <c r="B80" s="6" t="n"/>
      <c r="C80" s="6" t="n"/>
      <c r="D80" s="6" t="n"/>
      <c r="E80" s="6" t="n"/>
      <c r="F80">
        <f>IF(E80="","",IMAGE(E80))</f>
        <v/>
      </c>
      <c r="G80" s="6" t="n"/>
      <c r="H80" s="7" t="n"/>
      <c r="I80" s="7" t="n"/>
      <c r="J80" s="6" t="n"/>
      <c r="K80" s="6" t="n"/>
      <c r="L80" s="6" t="n"/>
      <c r="M80" s="6" t="n"/>
      <c r="N80" s="6" t="n"/>
      <c r="O80" s="6" t="n"/>
      <c r="P80" s="8" t="n"/>
      <c r="Q80" s="7" t="n"/>
      <c r="R80" s="9" t="n"/>
      <c r="S80" s="10">
        <f>IF($C80="","",$I80*$R80)</f>
        <v/>
      </c>
      <c r="T80" s="10">
        <f>IF($C80="","",(IF($N80="Purchased",$H80,0)+$Q80))</f>
        <v/>
      </c>
      <c r="U80" s="10">
        <f>IF($C80="","",$S80-$T80)</f>
        <v/>
      </c>
      <c r="V80" s="11">
        <f>IF(OR($C80="",$I80=0),"",CEILING($T80/$I80,1))</f>
        <v/>
      </c>
      <c r="W80" s="6" t="n"/>
    </row>
    <row r="81">
      <c r="A81" t="inlineStr">
        <is>
          <t>W080</t>
        </is>
      </c>
      <c r="B81" s="6" t="n"/>
      <c r="C81" s="6" t="n"/>
      <c r="D81" s="6" t="n"/>
      <c r="E81" s="6" t="n"/>
      <c r="F81">
        <f>IF(E81="","",IMAGE(E81))</f>
        <v/>
      </c>
      <c r="G81" s="6" t="n"/>
      <c r="H81" s="7" t="n"/>
      <c r="I81" s="7" t="n"/>
      <c r="J81" s="6" t="n"/>
      <c r="K81" s="6" t="n"/>
      <c r="L81" s="6" t="n"/>
      <c r="M81" s="6" t="n"/>
      <c r="N81" s="6" t="n"/>
      <c r="O81" s="6" t="n"/>
      <c r="P81" s="8" t="n"/>
      <c r="Q81" s="7" t="n"/>
      <c r="R81" s="9" t="n"/>
      <c r="S81" s="10">
        <f>IF($C81="","",$I81*$R81)</f>
        <v/>
      </c>
      <c r="T81" s="10">
        <f>IF($C81="","",(IF($N81="Purchased",$H81,0)+$Q81))</f>
        <v/>
      </c>
      <c r="U81" s="10">
        <f>IF($C81="","",$S81-$T81)</f>
        <v/>
      </c>
      <c r="V81" s="11">
        <f>IF(OR($C81="",$I81=0),"",CEILING($T81/$I81,1))</f>
        <v/>
      </c>
      <c r="W81" s="6" t="n"/>
    </row>
    <row r="82">
      <c r="A82" t="inlineStr">
        <is>
          <t>W081</t>
        </is>
      </c>
      <c r="B82" s="6" t="n"/>
      <c r="C82" s="6" t="n"/>
      <c r="D82" s="6" t="n"/>
      <c r="E82" s="6" t="n"/>
      <c r="F82">
        <f>IF(E82="","",IMAGE(E82))</f>
        <v/>
      </c>
      <c r="G82" s="6" t="n"/>
      <c r="H82" s="7" t="n"/>
      <c r="I82" s="7" t="n"/>
      <c r="J82" s="6" t="n"/>
      <c r="K82" s="6" t="n"/>
      <c r="L82" s="6" t="n"/>
      <c r="M82" s="6" t="n"/>
      <c r="N82" s="6" t="n"/>
      <c r="O82" s="6" t="n"/>
      <c r="P82" s="8" t="n"/>
      <c r="Q82" s="7" t="n"/>
      <c r="R82" s="9" t="n"/>
      <c r="S82" s="10">
        <f>IF($C82="","",$I82*$R82)</f>
        <v/>
      </c>
      <c r="T82" s="10">
        <f>IF($C82="","",(IF($N82="Purchased",$H82,0)+$Q82))</f>
        <v/>
      </c>
      <c r="U82" s="10">
        <f>IF($C82="","",$S82-$T82)</f>
        <v/>
      </c>
      <c r="V82" s="11">
        <f>IF(OR($C82="",$I82=0),"",CEILING($T82/$I82,1))</f>
        <v/>
      </c>
      <c r="W82" s="6" t="n"/>
    </row>
    <row r="83">
      <c r="A83" t="inlineStr">
        <is>
          <t>W082</t>
        </is>
      </c>
      <c r="B83" s="6" t="n"/>
      <c r="C83" s="6" t="n"/>
      <c r="D83" s="6" t="n"/>
      <c r="E83" s="6" t="n"/>
      <c r="F83">
        <f>IF(E83="","",IMAGE(E83))</f>
        <v/>
      </c>
      <c r="G83" s="6" t="n"/>
      <c r="H83" s="7" t="n"/>
      <c r="I83" s="7" t="n"/>
      <c r="J83" s="6" t="n"/>
      <c r="K83" s="6" t="n"/>
      <c r="L83" s="6" t="n"/>
      <c r="M83" s="6" t="n"/>
      <c r="N83" s="6" t="n"/>
      <c r="O83" s="6" t="n"/>
      <c r="P83" s="8" t="n"/>
      <c r="Q83" s="7" t="n"/>
      <c r="R83" s="9" t="n"/>
      <c r="S83" s="10">
        <f>IF($C83="","",$I83*$R83)</f>
        <v/>
      </c>
      <c r="T83" s="10">
        <f>IF($C83="","",(IF($N83="Purchased",$H83,0)+$Q83))</f>
        <v/>
      </c>
      <c r="U83" s="10">
        <f>IF($C83="","",$S83-$T83)</f>
        <v/>
      </c>
      <c r="V83" s="11">
        <f>IF(OR($C83="",$I83=0),"",CEILING($T83/$I83,1))</f>
        <v/>
      </c>
      <c r="W83" s="6" t="n"/>
    </row>
    <row r="84">
      <c r="A84" t="inlineStr">
        <is>
          <t>W083</t>
        </is>
      </c>
      <c r="B84" s="6" t="n"/>
      <c r="C84" s="6" t="n"/>
      <c r="D84" s="6" t="n"/>
      <c r="E84" s="6" t="n"/>
      <c r="F84">
        <f>IF(E84="","",IMAGE(E84))</f>
        <v/>
      </c>
      <c r="G84" s="6" t="n"/>
      <c r="H84" s="7" t="n"/>
      <c r="I84" s="7" t="n"/>
      <c r="J84" s="6" t="n"/>
      <c r="K84" s="6" t="n"/>
      <c r="L84" s="6" t="n"/>
      <c r="M84" s="6" t="n"/>
      <c r="N84" s="6" t="n"/>
      <c r="O84" s="6" t="n"/>
      <c r="P84" s="8" t="n"/>
      <c r="Q84" s="7" t="n"/>
      <c r="R84" s="9" t="n"/>
      <c r="S84" s="10">
        <f>IF($C84="","",$I84*$R84)</f>
        <v/>
      </c>
      <c r="T84" s="10">
        <f>IF($C84="","",(IF($N84="Purchased",$H84,0)+$Q84))</f>
        <v/>
      </c>
      <c r="U84" s="10">
        <f>IF($C84="","",$S84-$T84)</f>
        <v/>
      </c>
      <c r="V84" s="11">
        <f>IF(OR($C84="",$I84=0),"",CEILING($T84/$I84,1))</f>
        <v/>
      </c>
      <c r="W84" s="6" t="n"/>
    </row>
    <row r="85">
      <c r="A85" t="inlineStr">
        <is>
          <t>W084</t>
        </is>
      </c>
      <c r="B85" s="6" t="n"/>
      <c r="C85" s="6" t="n"/>
      <c r="D85" s="6" t="n"/>
      <c r="E85" s="6" t="n"/>
      <c r="F85">
        <f>IF(E85="","",IMAGE(E85))</f>
        <v/>
      </c>
      <c r="G85" s="6" t="n"/>
      <c r="H85" s="7" t="n"/>
      <c r="I85" s="7" t="n"/>
      <c r="J85" s="6" t="n"/>
      <c r="K85" s="6" t="n"/>
      <c r="L85" s="6" t="n"/>
      <c r="M85" s="6" t="n"/>
      <c r="N85" s="6" t="n"/>
      <c r="O85" s="6" t="n"/>
      <c r="P85" s="8" t="n"/>
      <c r="Q85" s="7" t="n"/>
      <c r="R85" s="9" t="n"/>
      <c r="S85" s="10">
        <f>IF($C85="","",$I85*$R85)</f>
        <v/>
      </c>
      <c r="T85" s="10">
        <f>IF($C85="","",(IF($N85="Purchased",$H85,0)+$Q85))</f>
        <v/>
      </c>
      <c r="U85" s="10">
        <f>IF($C85="","",$S85-$T85)</f>
        <v/>
      </c>
      <c r="V85" s="11">
        <f>IF(OR($C85="",$I85=0),"",CEILING($T85/$I85,1))</f>
        <v/>
      </c>
      <c r="W85" s="6" t="n"/>
    </row>
    <row r="86">
      <c r="A86" t="inlineStr">
        <is>
          <t>W085</t>
        </is>
      </c>
      <c r="B86" s="6" t="n"/>
      <c r="C86" s="6" t="n"/>
      <c r="D86" s="6" t="n"/>
      <c r="E86" s="6" t="n"/>
      <c r="F86">
        <f>IF(E86="","",IMAGE(E86))</f>
        <v/>
      </c>
      <c r="G86" s="6" t="n"/>
      <c r="H86" s="7" t="n"/>
      <c r="I86" s="7" t="n"/>
      <c r="J86" s="6" t="n"/>
      <c r="K86" s="6" t="n"/>
      <c r="L86" s="6" t="n"/>
      <c r="M86" s="6" t="n"/>
      <c r="N86" s="6" t="n"/>
      <c r="O86" s="6" t="n"/>
      <c r="P86" s="8" t="n"/>
      <c r="Q86" s="7" t="n"/>
      <c r="R86" s="9" t="n"/>
      <c r="S86" s="10">
        <f>IF($C86="","",$I86*$R86)</f>
        <v/>
      </c>
      <c r="T86" s="10">
        <f>IF($C86="","",(IF($N86="Purchased",$H86,0)+$Q86))</f>
        <v/>
      </c>
      <c r="U86" s="10">
        <f>IF($C86="","",$S86-$T86)</f>
        <v/>
      </c>
      <c r="V86" s="11">
        <f>IF(OR($C86="",$I86=0),"",CEILING($T86/$I86,1))</f>
        <v/>
      </c>
      <c r="W86" s="6" t="n"/>
    </row>
    <row r="87">
      <c r="A87" t="inlineStr">
        <is>
          <t>W086</t>
        </is>
      </c>
      <c r="B87" s="6" t="n"/>
      <c r="C87" s="6" t="n"/>
      <c r="D87" s="6" t="n"/>
      <c r="E87" s="6" t="n"/>
      <c r="F87">
        <f>IF(E87="","",IMAGE(E87))</f>
        <v/>
      </c>
      <c r="G87" s="6" t="n"/>
      <c r="H87" s="7" t="n"/>
      <c r="I87" s="7" t="n"/>
      <c r="J87" s="6" t="n"/>
      <c r="K87" s="6" t="n"/>
      <c r="L87" s="6" t="n"/>
      <c r="M87" s="6" t="n"/>
      <c r="N87" s="6" t="n"/>
      <c r="O87" s="6" t="n"/>
      <c r="P87" s="8" t="n"/>
      <c r="Q87" s="7" t="n"/>
      <c r="R87" s="9" t="n"/>
      <c r="S87" s="10">
        <f>IF($C87="","",$I87*$R87)</f>
        <v/>
      </c>
      <c r="T87" s="10">
        <f>IF($C87="","",(IF($N87="Purchased",$H87,0)+$Q87))</f>
        <v/>
      </c>
      <c r="U87" s="10">
        <f>IF($C87="","",$S87-$T87)</f>
        <v/>
      </c>
      <c r="V87" s="11">
        <f>IF(OR($C87="",$I87=0),"",CEILING($T87/$I87,1))</f>
        <v/>
      </c>
      <c r="W87" s="6" t="n"/>
    </row>
    <row r="88">
      <c r="A88" t="inlineStr">
        <is>
          <t>W087</t>
        </is>
      </c>
      <c r="B88" s="6" t="n"/>
      <c r="C88" s="6" t="n"/>
      <c r="D88" s="6" t="n"/>
      <c r="E88" s="6" t="n"/>
      <c r="F88">
        <f>IF(E88="","",IMAGE(E88))</f>
        <v/>
      </c>
      <c r="G88" s="6" t="n"/>
      <c r="H88" s="7" t="n"/>
      <c r="I88" s="7" t="n"/>
      <c r="J88" s="6" t="n"/>
      <c r="K88" s="6" t="n"/>
      <c r="L88" s="6" t="n"/>
      <c r="M88" s="6" t="n"/>
      <c r="N88" s="6" t="n"/>
      <c r="O88" s="6" t="n"/>
      <c r="P88" s="8" t="n"/>
      <c r="Q88" s="7" t="n"/>
      <c r="R88" s="9" t="n"/>
      <c r="S88" s="10">
        <f>IF($C88="","",$I88*$R88)</f>
        <v/>
      </c>
      <c r="T88" s="10">
        <f>IF($C88="","",(IF($N88="Purchased",$H88,0)+$Q88))</f>
        <v/>
      </c>
      <c r="U88" s="10">
        <f>IF($C88="","",$S88-$T88)</f>
        <v/>
      </c>
      <c r="V88" s="11">
        <f>IF(OR($C88="",$I88=0),"",CEILING($T88/$I88,1))</f>
        <v/>
      </c>
      <c r="W88" s="6" t="n"/>
    </row>
    <row r="89">
      <c r="A89" t="inlineStr">
        <is>
          <t>W088</t>
        </is>
      </c>
      <c r="B89" s="6" t="n"/>
      <c r="C89" s="6" t="n"/>
      <c r="D89" s="6" t="n"/>
      <c r="E89" s="6" t="n"/>
      <c r="F89">
        <f>IF(E89="","",IMAGE(E89))</f>
        <v/>
      </c>
      <c r="G89" s="6" t="n"/>
      <c r="H89" s="7" t="n"/>
      <c r="I89" s="7" t="n"/>
      <c r="J89" s="6" t="n"/>
      <c r="K89" s="6" t="n"/>
      <c r="L89" s="6" t="n"/>
      <c r="M89" s="6" t="n"/>
      <c r="N89" s="6" t="n"/>
      <c r="O89" s="6" t="n"/>
      <c r="P89" s="8" t="n"/>
      <c r="Q89" s="7" t="n"/>
      <c r="R89" s="9" t="n"/>
      <c r="S89" s="10">
        <f>IF($C89="","",$I89*$R89)</f>
        <v/>
      </c>
      <c r="T89" s="10">
        <f>IF($C89="","",(IF($N89="Purchased",$H89,0)+$Q89))</f>
        <v/>
      </c>
      <c r="U89" s="10">
        <f>IF($C89="","",$S89-$T89)</f>
        <v/>
      </c>
      <c r="V89" s="11">
        <f>IF(OR($C89="",$I89=0),"",CEILING($T89/$I89,1))</f>
        <v/>
      </c>
      <c r="W89" s="6" t="n"/>
    </row>
    <row r="90">
      <c r="A90" t="inlineStr">
        <is>
          <t>W089</t>
        </is>
      </c>
      <c r="B90" s="6" t="n"/>
      <c r="C90" s="6" t="n"/>
      <c r="D90" s="6" t="n"/>
      <c r="E90" s="6" t="n"/>
      <c r="F90">
        <f>IF(E90="","",IMAGE(E90))</f>
        <v/>
      </c>
      <c r="G90" s="6" t="n"/>
      <c r="H90" s="7" t="n"/>
      <c r="I90" s="7" t="n"/>
      <c r="J90" s="6" t="n"/>
      <c r="K90" s="6" t="n"/>
      <c r="L90" s="6" t="n"/>
      <c r="M90" s="6" t="n"/>
      <c r="N90" s="6" t="n"/>
      <c r="O90" s="6" t="n"/>
      <c r="P90" s="8" t="n"/>
      <c r="Q90" s="7" t="n"/>
      <c r="R90" s="9" t="n"/>
      <c r="S90" s="10">
        <f>IF($C90="","",$I90*$R90)</f>
        <v/>
      </c>
      <c r="T90" s="10">
        <f>IF($C90="","",(IF($N90="Purchased",$H90,0)+$Q90))</f>
        <v/>
      </c>
      <c r="U90" s="10">
        <f>IF($C90="","",$S90-$T90)</f>
        <v/>
      </c>
      <c r="V90" s="11">
        <f>IF(OR($C90="",$I90=0),"",CEILING($T90/$I90,1))</f>
        <v/>
      </c>
      <c r="W90" s="6" t="n"/>
    </row>
    <row r="91">
      <c r="A91" t="inlineStr">
        <is>
          <t>W090</t>
        </is>
      </c>
      <c r="B91" s="6" t="n"/>
      <c r="C91" s="6" t="n"/>
      <c r="D91" s="6" t="n"/>
      <c r="E91" s="6" t="n"/>
      <c r="F91">
        <f>IF(E91="","",IMAGE(E91))</f>
        <v/>
      </c>
      <c r="G91" s="6" t="n"/>
      <c r="H91" s="7" t="n"/>
      <c r="I91" s="7" t="n"/>
      <c r="J91" s="6" t="n"/>
      <c r="K91" s="6" t="n"/>
      <c r="L91" s="6" t="n"/>
      <c r="M91" s="6" t="n"/>
      <c r="N91" s="6" t="n"/>
      <c r="O91" s="6" t="n"/>
      <c r="P91" s="8" t="n"/>
      <c r="Q91" s="7" t="n"/>
      <c r="R91" s="9" t="n"/>
      <c r="S91" s="10">
        <f>IF($C91="","",$I91*$R91)</f>
        <v/>
      </c>
      <c r="T91" s="10">
        <f>IF($C91="","",(IF($N91="Purchased",$H91,0)+$Q91))</f>
        <v/>
      </c>
      <c r="U91" s="10">
        <f>IF($C91="","",$S91-$T91)</f>
        <v/>
      </c>
      <c r="V91" s="11">
        <f>IF(OR($C91="",$I91=0),"",CEILING($T91/$I91,1))</f>
        <v/>
      </c>
      <c r="W91" s="6" t="n"/>
    </row>
    <row r="92">
      <c r="A92" t="inlineStr">
        <is>
          <t>W091</t>
        </is>
      </c>
      <c r="B92" s="6" t="n"/>
      <c r="C92" s="6" t="n"/>
      <c r="D92" s="6" t="n"/>
      <c r="E92" s="6" t="n"/>
      <c r="F92">
        <f>IF(E92="","",IMAGE(E92))</f>
        <v/>
      </c>
      <c r="G92" s="6" t="n"/>
      <c r="H92" s="7" t="n"/>
      <c r="I92" s="7" t="n"/>
      <c r="J92" s="6" t="n"/>
      <c r="K92" s="6" t="n"/>
      <c r="L92" s="6" t="n"/>
      <c r="M92" s="6" t="n"/>
      <c r="N92" s="6" t="n"/>
      <c r="O92" s="6" t="n"/>
      <c r="P92" s="8" t="n"/>
      <c r="Q92" s="7" t="n"/>
      <c r="R92" s="9" t="n"/>
      <c r="S92" s="10">
        <f>IF($C92="","",$I92*$R92)</f>
        <v/>
      </c>
      <c r="T92" s="10">
        <f>IF($C92="","",(IF($N92="Purchased",$H92,0)+$Q92))</f>
        <v/>
      </c>
      <c r="U92" s="10">
        <f>IF($C92="","",$S92-$T92)</f>
        <v/>
      </c>
      <c r="V92" s="11">
        <f>IF(OR($C92="",$I92=0),"",CEILING($T92/$I92,1))</f>
        <v/>
      </c>
      <c r="W92" s="6" t="n"/>
    </row>
    <row r="93">
      <c r="A93" t="inlineStr">
        <is>
          <t>W092</t>
        </is>
      </c>
      <c r="B93" s="6" t="n"/>
      <c r="C93" s="6" t="n"/>
      <c r="D93" s="6" t="n"/>
      <c r="E93" s="6" t="n"/>
      <c r="F93">
        <f>IF(E93="","",IMAGE(E93))</f>
        <v/>
      </c>
      <c r="G93" s="6" t="n"/>
      <c r="H93" s="7" t="n"/>
      <c r="I93" s="7" t="n"/>
      <c r="J93" s="6" t="n"/>
      <c r="K93" s="6" t="n"/>
      <c r="L93" s="6" t="n"/>
      <c r="M93" s="6" t="n"/>
      <c r="N93" s="6" t="n"/>
      <c r="O93" s="6" t="n"/>
      <c r="P93" s="8" t="n"/>
      <c r="Q93" s="7" t="n"/>
      <c r="R93" s="9" t="n"/>
      <c r="S93" s="10">
        <f>IF($C93="","",$I93*$R93)</f>
        <v/>
      </c>
      <c r="T93" s="10">
        <f>IF($C93="","",(IF($N93="Purchased",$H93,0)+$Q93))</f>
        <v/>
      </c>
      <c r="U93" s="10">
        <f>IF($C93="","",$S93-$T93)</f>
        <v/>
      </c>
      <c r="V93" s="11">
        <f>IF(OR($C93="",$I93=0),"",CEILING($T93/$I93,1))</f>
        <v/>
      </c>
      <c r="W93" s="6" t="n"/>
    </row>
    <row r="94">
      <c r="A94" t="inlineStr">
        <is>
          <t>W093</t>
        </is>
      </c>
      <c r="B94" s="6" t="n"/>
      <c r="C94" s="6" t="n"/>
      <c r="D94" s="6" t="n"/>
      <c r="E94" s="6" t="n"/>
      <c r="F94">
        <f>IF(E94="","",IMAGE(E94))</f>
        <v/>
      </c>
      <c r="G94" s="6" t="n"/>
      <c r="H94" s="7" t="n"/>
      <c r="I94" s="7" t="n"/>
      <c r="J94" s="6" t="n"/>
      <c r="K94" s="6" t="n"/>
      <c r="L94" s="6" t="n"/>
      <c r="M94" s="6" t="n"/>
      <c r="N94" s="6" t="n"/>
      <c r="O94" s="6" t="n"/>
      <c r="P94" s="8" t="n"/>
      <c r="Q94" s="7" t="n"/>
      <c r="R94" s="9" t="n"/>
      <c r="S94" s="10">
        <f>IF($C94="","",$I94*$R94)</f>
        <v/>
      </c>
      <c r="T94" s="10">
        <f>IF($C94="","",(IF($N94="Purchased",$H94,0)+$Q94))</f>
        <v/>
      </c>
      <c r="U94" s="10">
        <f>IF($C94="","",$S94-$T94)</f>
        <v/>
      </c>
      <c r="V94" s="11">
        <f>IF(OR($C94="",$I94=0),"",CEILING($T94/$I94,1))</f>
        <v/>
      </c>
      <c r="W94" s="6" t="n"/>
    </row>
    <row r="95">
      <c r="A95" t="inlineStr">
        <is>
          <t>W094</t>
        </is>
      </c>
      <c r="B95" s="6" t="n"/>
      <c r="C95" s="6" t="n"/>
      <c r="D95" s="6" t="n"/>
      <c r="E95" s="6" t="n"/>
      <c r="F95">
        <f>IF(E95="","",IMAGE(E95))</f>
        <v/>
      </c>
      <c r="G95" s="6" t="n"/>
      <c r="H95" s="7" t="n"/>
      <c r="I95" s="7" t="n"/>
      <c r="J95" s="6" t="n"/>
      <c r="K95" s="6" t="n"/>
      <c r="L95" s="6" t="n"/>
      <c r="M95" s="6" t="n"/>
      <c r="N95" s="6" t="n"/>
      <c r="O95" s="6" t="n"/>
      <c r="P95" s="8" t="n"/>
      <c r="Q95" s="7" t="n"/>
      <c r="R95" s="9" t="n"/>
      <c r="S95" s="10">
        <f>IF($C95="","",$I95*$R95)</f>
        <v/>
      </c>
      <c r="T95" s="10">
        <f>IF($C95="","",(IF($N95="Purchased",$H95,0)+$Q95))</f>
        <v/>
      </c>
      <c r="U95" s="10">
        <f>IF($C95="","",$S95-$T95)</f>
        <v/>
      </c>
      <c r="V95" s="11">
        <f>IF(OR($C95="",$I95=0),"",CEILING($T95/$I95,1))</f>
        <v/>
      </c>
      <c r="W95" s="6" t="n"/>
    </row>
    <row r="96">
      <c r="A96" t="inlineStr">
        <is>
          <t>W095</t>
        </is>
      </c>
      <c r="B96" s="6" t="n"/>
      <c r="C96" s="6" t="n"/>
      <c r="D96" s="6" t="n"/>
      <c r="E96" s="6" t="n"/>
      <c r="F96">
        <f>IF(E96="","",IMAGE(E96))</f>
        <v/>
      </c>
      <c r="G96" s="6" t="n"/>
      <c r="H96" s="7" t="n"/>
      <c r="I96" s="7" t="n"/>
      <c r="J96" s="6" t="n"/>
      <c r="K96" s="6" t="n"/>
      <c r="L96" s="6" t="n"/>
      <c r="M96" s="6" t="n"/>
      <c r="N96" s="6" t="n"/>
      <c r="O96" s="6" t="n"/>
      <c r="P96" s="8" t="n"/>
      <c r="Q96" s="7" t="n"/>
      <c r="R96" s="9" t="n"/>
      <c r="S96" s="10">
        <f>IF($C96="","",$I96*$R96)</f>
        <v/>
      </c>
      <c r="T96" s="10">
        <f>IF($C96="","",(IF($N96="Purchased",$H96,0)+$Q96))</f>
        <v/>
      </c>
      <c r="U96" s="10">
        <f>IF($C96="","",$S96-$T96)</f>
        <v/>
      </c>
      <c r="V96" s="11">
        <f>IF(OR($C96="",$I96=0),"",CEILING($T96/$I96,1))</f>
        <v/>
      </c>
      <c r="W96" s="6" t="n"/>
    </row>
    <row r="97">
      <c r="A97" t="inlineStr">
        <is>
          <t>W096</t>
        </is>
      </c>
      <c r="B97" s="6" t="n"/>
      <c r="C97" s="6" t="n"/>
      <c r="D97" s="6" t="n"/>
      <c r="E97" s="6" t="n"/>
      <c r="F97">
        <f>IF(E97="","",IMAGE(E97))</f>
        <v/>
      </c>
      <c r="G97" s="6" t="n"/>
      <c r="H97" s="7" t="n"/>
      <c r="I97" s="7" t="n"/>
      <c r="J97" s="6" t="n"/>
      <c r="K97" s="6" t="n"/>
      <c r="L97" s="6" t="n"/>
      <c r="M97" s="6" t="n"/>
      <c r="N97" s="6" t="n"/>
      <c r="O97" s="6" t="n"/>
      <c r="P97" s="8" t="n"/>
      <c r="Q97" s="7" t="n"/>
      <c r="R97" s="9" t="n"/>
      <c r="S97" s="10">
        <f>IF($C97="","",$I97*$R97)</f>
        <v/>
      </c>
      <c r="T97" s="10">
        <f>IF($C97="","",(IF($N97="Purchased",$H97,0)+$Q97))</f>
        <v/>
      </c>
      <c r="U97" s="10">
        <f>IF($C97="","",$S97-$T97)</f>
        <v/>
      </c>
      <c r="V97" s="11">
        <f>IF(OR($C97="",$I97=0),"",CEILING($T97/$I97,1))</f>
        <v/>
      </c>
      <c r="W97" s="6" t="n"/>
    </row>
    <row r="98">
      <c r="A98" t="inlineStr">
        <is>
          <t>W097</t>
        </is>
      </c>
      <c r="B98" s="6" t="n"/>
      <c r="C98" s="6" t="n"/>
      <c r="D98" s="6" t="n"/>
      <c r="E98" s="6" t="n"/>
      <c r="F98">
        <f>IF(E98="","",IMAGE(E98))</f>
        <v/>
      </c>
      <c r="G98" s="6" t="n"/>
      <c r="H98" s="7" t="n"/>
      <c r="I98" s="7" t="n"/>
      <c r="J98" s="6" t="n"/>
      <c r="K98" s="6" t="n"/>
      <c r="L98" s="6" t="n"/>
      <c r="M98" s="6" t="n"/>
      <c r="N98" s="6" t="n"/>
      <c r="O98" s="6" t="n"/>
      <c r="P98" s="8" t="n"/>
      <c r="Q98" s="7" t="n"/>
      <c r="R98" s="9" t="n"/>
      <c r="S98" s="10">
        <f>IF($C98="","",$I98*$R98)</f>
        <v/>
      </c>
      <c r="T98" s="10">
        <f>IF($C98="","",(IF($N98="Purchased",$H98,0)+$Q98))</f>
        <v/>
      </c>
      <c r="U98" s="10">
        <f>IF($C98="","",$S98-$T98)</f>
        <v/>
      </c>
      <c r="V98" s="11">
        <f>IF(OR($C98="",$I98=0),"",CEILING($T98/$I98,1))</f>
        <v/>
      </c>
      <c r="W98" s="6" t="n"/>
    </row>
    <row r="99">
      <c r="A99" t="inlineStr">
        <is>
          <t>W098</t>
        </is>
      </c>
      <c r="B99" s="6" t="n"/>
      <c r="C99" s="6" t="n"/>
      <c r="D99" s="6" t="n"/>
      <c r="E99" s="6" t="n"/>
      <c r="F99">
        <f>IF(E99="","",IMAGE(E99))</f>
        <v/>
      </c>
      <c r="G99" s="6" t="n"/>
      <c r="H99" s="7" t="n"/>
      <c r="I99" s="7" t="n"/>
      <c r="J99" s="6" t="n"/>
      <c r="K99" s="6" t="n"/>
      <c r="L99" s="6" t="n"/>
      <c r="M99" s="6" t="n"/>
      <c r="N99" s="6" t="n"/>
      <c r="O99" s="6" t="n"/>
      <c r="P99" s="8" t="n"/>
      <c r="Q99" s="7" t="n"/>
      <c r="R99" s="9" t="n"/>
      <c r="S99" s="10">
        <f>IF($C99="","",$I99*$R99)</f>
        <v/>
      </c>
      <c r="T99" s="10">
        <f>IF($C99="","",(IF($N99="Purchased",$H99,0)+$Q99))</f>
        <v/>
      </c>
      <c r="U99" s="10">
        <f>IF($C99="","",$S99-$T99)</f>
        <v/>
      </c>
      <c r="V99" s="11">
        <f>IF(OR($C99="",$I99=0),"",CEILING($T99/$I99,1))</f>
        <v/>
      </c>
      <c r="W99" s="6" t="n"/>
    </row>
    <row r="100">
      <c r="A100" t="inlineStr">
        <is>
          <t>W099</t>
        </is>
      </c>
      <c r="B100" s="6" t="n"/>
      <c r="C100" s="6" t="n"/>
      <c r="D100" s="6" t="n"/>
      <c r="E100" s="6" t="n"/>
      <c r="F100">
        <f>IF(E100="","",IMAGE(E100))</f>
        <v/>
      </c>
      <c r="G100" s="6" t="n"/>
      <c r="H100" s="7" t="n"/>
      <c r="I100" s="7" t="n"/>
      <c r="J100" s="6" t="n"/>
      <c r="K100" s="6" t="n"/>
      <c r="L100" s="6" t="n"/>
      <c r="M100" s="6" t="n"/>
      <c r="N100" s="6" t="n"/>
      <c r="O100" s="6" t="n"/>
      <c r="P100" s="8" t="n"/>
      <c r="Q100" s="7" t="n"/>
      <c r="R100" s="9" t="n"/>
      <c r="S100" s="10">
        <f>IF($C100="","",$I100*$R100)</f>
        <v/>
      </c>
      <c r="T100" s="10">
        <f>IF($C100="","",(IF($N100="Purchased",$H100,0)+$Q100))</f>
        <v/>
      </c>
      <c r="U100" s="10">
        <f>IF($C100="","",$S100-$T100)</f>
        <v/>
      </c>
      <c r="V100" s="11">
        <f>IF(OR($C100="",$I100=0),"",CEILING($T100/$I100,1))</f>
        <v/>
      </c>
      <c r="W100" s="6" t="n"/>
    </row>
    <row r="101">
      <c r="A101" t="inlineStr">
        <is>
          <t>W100</t>
        </is>
      </c>
      <c r="B101" s="6" t="n"/>
      <c r="C101" s="6" t="n"/>
      <c r="D101" s="6" t="n"/>
      <c r="E101" s="6" t="n"/>
      <c r="F101">
        <f>IF(E101="","",IMAGE(E101))</f>
        <v/>
      </c>
      <c r="G101" s="6" t="n"/>
      <c r="H101" s="7" t="n"/>
      <c r="I101" s="7" t="n"/>
      <c r="J101" s="6" t="n"/>
      <c r="K101" s="6" t="n"/>
      <c r="L101" s="6" t="n"/>
      <c r="M101" s="6" t="n"/>
      <c r="N101" s="6" t="n"/>
      <c r="O101" s="6" t="n"/>
      <c r="P101" s="8" t="n"/>
      <c r="Q101" s="7" t="n"/>
      <c r="R101" s="9" t="n"/>
      <c r="S101" s="10">
        <f>IF($C101="","",$I101*$R101)</f>
        <v/>
      </c>
      <c r="T101" s="10">
        <f>IF($C101="","",(IF($N101="Purchased",$H101,0)+$Q101))</f>
        <v/>
      </c>
      <c r="U101" s="10">
        <f>IF($C101="","",$S101-$T101)</f>
        <v/>
      </c>
      <c r="V101" s="11">
        <f>IF(OR($C101="",$I101=0),"",CEILING($T101/$I101,1))</f>
        <v/>
      </c>
      <c r="W101" s="6" t="n"/>
    </row>
    <row r="102">
      <c r="A102" t="inlineStr">
        <is>
          <t>W101</t>
        </is>
      </c>
      <c r="B102" s="6" t="n"/>
      <c r="C102" s="6" t="n"/>
      <c r="D102" s="6" t="n"/>
      <c r="E102" s="6" t="n"/>
      <c r="F102">
        <f>IF(E102="","",IMAGE(E102))</f>
        <v/>
      </c>
      <c r="G102" s="6" t="n"/>
      <c r="H102" s="7" t="n"/>
      <c r="I102" s="7" t="n"/>
      <c r="J102" s="6" t="n"/>
      <c r="K102" s="6" t="n"/>
      <c r="L102" s="6" t="n"/>
      <c r="M102" s="6" t="n"/>
      <c r="N102" s="6" t="n"/>
      <c r="O102" s="6" t="n"/>
      <c r="P102" s="8" t="n"/>
      <c r="Q102" s="7" t="n"/>
      <c r="R102" s="9" t="n"/>
      <c r="S102" s="10">
        <f>IF($C102="","",$I102*$R102)</f>
        <v/>
      </c>
      <c r="T102" s="10">
        <f>IF($C102="","",(IF($N102="Purchased",$H102,0)+$Q102))</f>
        <v/>
      </c>
      <c r="U102" s="10">
        <f>IF($C102="","",$S102-$T102)</f>
        <v/>
      </c>
      <c r="V102" s="11">
        <f>IF(OR($C102="",$I102=0),"",CEILING($T102/$I102,1))</f>
        <v/>
      </c>
      <c r="W102" s="6" t="n"/>
    </row>
    <row r="103">
      <c r="A103" t="inlineStr">
        <is>
          <t>W102</t>
        </is>
      </c>
      <c r="B103" s="6" t="n"/>
      <c r="C103" s="6" t="n"/>
      <c r="D103" s="6" t="n"/>
      <c r="E103" s="6" t="n"/>
      <c r="F103">
        <f>IF(E103="","",IMAGE(E103))</f>
        <v/>
      </c>
      <c r="G103" s="6" t="n"/>
      <c r="H103" s="7" t="n"/>
      <c r="I103" s="7" t="n"/>
      <c r="J103" s="6" t="n"/>
      <c r="K103" s="6" t="n"/>
      <c r="L103" s="6" t="n"/>
      <c r="M103" s="6" t="n"/>
      <c r="N103" s="6" t="n"/>
      <c r="O103" s="6" t="n"/>
      <c r="P103" s="8" t="n"/>
      <c r="Q103" s="7" t="n"/>
      <c r="R103" s="9" t="n"/>
      <c r="S103" s="10">
        <f>IF($C103="","",$I103*$R103)</f>
        <v/>
      </c>
      <c r="T103" s="10">
        <f>IF($C103="","",(IF($N103="Purchased",$H103,0)+$Q103))</f>
        <v/>
      </c>
      <c r="U103" s="10">
        <f>IF($C103="","",$S103-$T103)</f>
        <v/>
      </c>
      <c r="V103" s="11">
        <f>IF(OR($C103="",$I103=0),"",CEILING($T103/$I103,1))</f>
        <v/>
      </c>
      <c r="W103" s="6" t="n"/>
    </row>
    <row r="104">
      <c r="A104" t="inlineStr">
        <is>
          <t>W103</t>
        </is>
      </c>
      <c r="B104" s="6" t="n"/>
      <c r="C104" s="6" t="n"/>
      <c r="D104" s="6" t="n"/>
      <c r="E104" s="6" t="n"/>
      <c r="F104">
        <f>IF(E104="","",IMAGE(E104))</f>
        <v/>
      </c>
      <c r="G104" s="6" t="n"/>
      <c r="H104" s="7" t="n"/>
      <c r="I104" s="7" t="n"/>
      <c r="J104" s="6" t="n"/>
      <c r="K104" s="6" t="n"/>
      <c r="L104" s="6" t="n"/>
      <c r="M104" s="6" t="n"/>
      <c r="N104" s="6" t="n"/>
      <c r="O104" s="6" t="n"/>
      <c r="P104" s="8" t="n"/>
      <c r="Q104" s="7" t="n"/>
      <c r="R104" s="9" t="n"/>
      <c r="S104" s="10">
        <f>IF($C104="","",$I104*$R104)</f>
        <v/>
      </c>
      <c r="T104" s="10">
        <f>IF($C104="","",(IF($N104="Purchased",$H104,0)+$Q104))</f>
        <v/>
      </c>
      <c r="U104" s="10">
        <f>IF($C104="","",$S104-$T104)</f>
        <v/>
      </c>
      <c r="V104" s="11">
        <f>IF(OR($C104="",$I104=0),"",CEILING($T104/$I104,1))</f>
        <v/>
      </c>
      <c r="W104" s="6" t="n"/>
    </row>
    <row r="105">
      <c r="A105" t="inlineStr">
        <is>
          <t>W104</t>
        </is>
      </c>
      <c r="B105" s="6" t="n"/>
      <c r="C105" s="6" t="n"/>
      <c r="D105" s="6" t="n"/>
      <c r="E105" s="6" t="n"/>
      <c r="F105">
        <f>IF(E105="","",IMAGE(E105))</f>
        <v/>
      </c>
      <c r="G105" s="6" t="n"/>
      <c r="H105" s="7" t="n"/>
      <c r="I105" s="7" t="n"/>
      <c r="J105" s="6" t="n"/>
      <c r="K105" s="6" t="n"/>
      <c r="L105" s="6" t="n"/>
      <c r="M105" s="6" t="n"/>
      <c r="N105" s="6" t="n"/>
      <c r="O105" s="6" t="n"/>
      <c r="P105" s="8" t="n"/>
      <c r="Q105" s="7" t="n"/>
      <c r="R105" s="9" t="n"/>
      <c r="S105" s="10">
        <f>IF($C105="","",$I105*$R105)</f>
        <v/>
      </c>
      <c r="T105" s="10">
        <f>IF($C105="","",(IF($N105="Purchased",$H105,0)+$Q105))</f>
        <v/>
      </c>
      <c r="U105" s="10">
        <f>IF($C105="","",$S105-$T105)</f>
        <v/>
      </c>
      <c r="V105" s="11">
        <f>IF(OR($C105="",$I105=0),"",CEILING($T105/$I105,1))</f>
        <v/>
      </c>
      <c r="W105" s="6" t="n"/>
    </row>
    <row r="106">
      <c r="A106" t="inlineStr">
        <is>
          <t>W105</t>
        </is>
      </c>
      <c r="B106" s="6" t="n"/>
      <c r="C106" s="6" t="n"/>
      <c r="D106" s="6" t="n"/>
      <c r="E106" s="6" t="n"/>
      <c r="F106">
        <f>IF(E106="","",IMAGE(E106))</f>
        <v/>
      </c>
      <c r="G106" s="6" t="n"/>
      <c r="H106" s="7" t="n"/>
      <c r="I106" s="7" t="n"/>
      <c r="J106" s="6" t="n"/>
      <c r="K106" s="6" t="n"/>
      <c r="L106" s="6" t="n"/>
      <c r="M106" s="6" t="n"/>
      <c r="N106" s="6" t="n"/>
      <c r="O106" s="6" t="n"/>
      <c r="P106" s="8" t="n"/>
      <c r="Q106" s="7" t="n"/>
      <c r="R106" s="9" t="n"/>
      <c r="S106" s="10">
        <f>IF($C106="","",$I106*$R106)</f>
        <v/>
      </c>
      <c r="T106" s="10">
        <f>IF($C106="","",(IF($N106="Purchased",$H106,0)+$Q106))</f>
        <v/>
      </c>
      <c r="U106" s="10">
        <f>IF($C106="","",$S106-$T106)</f>
        <v/>
      </c>
      <c r="V106" s="11">
        <f>IF(OR($C106="",$I106=0),"",CEILING($T106/$I106,1))</f>
        <v/>
      </c>
      <c r="W106" s="6" t="n"/>
    </row>
    <row r="107">
      <c r="A107" t="inlineStr">
        <is>
          <t>W106</t>
        </is>
      </c>
      <c r="B107" s="6" t="n"/>
      <c r="C107" s="6" t="n"/>
      <c r="D107" s="6" t="n"/>
      <c r="E107" s="6" t="n"/>
      <c r="F107">
        <f>IF(E107="","",IMAGE(E107))</f>
        <v/>
      </c>
      <c r="G107" s="6" t="n"/>
      <c r="H107" s="7" t="n"/>
      <c r="I107" s="7" t="n"/>
      <c r="J107" s="6" t="n"/>
      <c r="K107" s="6" t="n"/>
      <c r="L107" s="6" t="n"/>
      <c r="M107" s="6" t="n"/>
      <c r="N107" s="6" t="n"/>
      <c r="O107" s="6" t="n"/>
      <c r="P107" s="8" t="n"/>
      <c r="Q107" s="7" t="n"/>
      <c r="R107" s="9" t="n"/>
      <c r="S107" s="10">
        <f>IF($C107="","",$I107*$R107)</f>
        <v/>
      </c>
      <c r="T107" s="10">
        <f>IF($C107="","",(IF($N107="Purchased",$H107,0)+$Q107))</f>
        <v/>
      </c>
      <c r="U107" s="10">
        <f>IF($C107="","",$S107-$T107)</f>
        <v/>
      </c>
      <c r="V107" s="11">
        <f>IF(OR($C107="",$I107=0),"",CEILING($T107/$I107,1))</f>
        <v/>
      </c>
      <c r="W107" s="6" t="n"/>
    </row>
    <row r="108">
      <c r="A108" t="inlineStr">
        <is>
          <t>W107</t>
        </is>
      </c>
      <c r="B108" s="6" t="n"/>
      <c r="C108" s="6" t="n"/>
      <c r="D108" s="6" t="n"/>
      <c r="E108" s="6" t="n"/>
      <c r="F108">
        <f>IF(E108="","",IMAGE(E108))</f>
        <v/>
      </c>
      <c r="G108" s="6" t="n"/>
      <c r="H108" s="7" t="n"/>
      <c r="I108" s="7" t="n"/>
      <c r="J108" s="6" t="n"/>
      <c r="K108" s="6" t="n"/>
      <c r="L108" s="6" t="n"/>
      <c r="M108" s="6" t="n"/>
      <c r="N108" s="6" t="n"/>
      <c r="O108" s="6" t="n"/>
      <c r="P108" s="8" t="n"/>
      <c r="Q108" s="7" t="n"/>
      <c r="R108" s="9" t="n"/>
      <c r="S108" s="10">
        <f>IF($C108="","",$I108*$R108)</f>
        <v/>
      </c>
      <c r="T108" s="10">
        <f>IF($C108="","",(IF($N108="Purchased",$H108,0)+$Q108))</f>
        <v/>
      </c>
      <c r="U108" s="10">
        <f>IF($C108="","",$S108-$T108)</f>
        <v/>
      </c>
      <c r="V108" s="11">
        <f>IF(OR($C108="",$I108=0),"",CEILING($T108/$I108,1))</f>
        <v/>
      </c>
      <c r="W108" s="6" t="n"/>
    </row>
    <row r="109">
      <c r="A109" t="inlineStr">
        <is>
          <t>W108</t>
        </is>
      </c>
      <c r="B109" s="6" t="n"/>
      <c r="C109" s="6" t="n"/>
      <c r="D109" s="6" t="n"/>
      <c r="E109" s="6" t="n"/>
      <c r="F109">
        <f>IF(E109="","",IMAGE(E109))</f>
        <v/>
      </c>
      <c r="G109" s="6" t="n"/>
      <c r="H109" s="7" t="n"/>
      <c r="I109" s="7" t="n"/>
      <c r="J109" s="6" t="n"/>
      <c r="K109" s="6" t="n"/>
      <c r="L109" s="6" t="n"/>
      <c r="M109" s="6" t="n"/>
      <c r="N109" s="6" t="n"/>
      <c r="O109" s="6" t="n"/>
      <c r="P109" s="8" t="n"/>
      <c r="Q109" s="7" t="n"/>
      <c r="R109" s="9" t="n"/>
      <c r="S109" s="10">
        <f>IF($C109="","",$I109*$R109)</f>
        <v/>
      </c>
      <c r="T109" s="10">
        <f>IF($C109="","",(IF($N109="Purchased",$H109,0)+$Q109))</f>
        <v/>
      </c>
      <c r="U109" s="10">
        <f>IF($C109="","",$S109-$T109)</f>
        <v/>
      </c>
      <c r="V109" s="11">
        <f>IF(OR($C109="",$I109=0),"",CEILING($T109/$I109,1))</f>
        <v/>
      </c>
      <c r="W109" s="6" t="n"/>
    </row>
    <row r="110">
      <c r="A110" t="inlineStr">
        <is>
          <t>W109</t>
        </is>
      </c>
      <c r="B110" s="6" t="n"/>
      <c r="C110" s="6" t="n"/>
      <c r="D110" s="6" t="n"/>
      <c r="E110" s="6" t="n"/>
      <c r="F110">
        <f>IF(E110="","",IMAGE(E110))</f>
        <v/>
      </c>
      <c r="G110" s="6" t="n"/>
      <c r="H110" s="7" t="n"/>
      <c r="I110" s="7" t="n"/>
      <c r="J110" s="6" t="n"/>
      <c r="K110" s="6" t="n"/>
      <c r="L110" s="6" t="n"/>
      <c r="M110" s="6" t="n"/>
      <c r="N110" s="6" t="n"/>
      <c r="O110" s="6" t="n"/>
      <c r="P110" s="8" t="n"/>
      <c r="Q110" s="7" t="n"/>
      <c r="R110" s="9" t="n"/>
      <c r="S110" s="10">
        <f>IF($C110="","",$I110*$R110)</f>
        <v/>
      </c>
      <c r="T110" s="10">
        <f>IF($C110="","",(IF($N110="Purchased",$H110,0)+$Q110))</f>
        <v/>
      </c>
      <c r="U110" s="10">
        <f>IF($C110="","",$S110-$T110)</f>
        <v/>
      </c>
      <c r="V110" s="11">
        <f>IF(OR($C110="",$I110=0),"",CEILING($T110/$I110,1))</f>
        <v/>
      </c>
      <c r="W110" s="6" t="n"/>
    </row>
    <row r="111">
      <c r="A111" t="inlineStr">
        <is>
          <t>W110</t>
        </is>
      </c>
      <c r="B111" s="6" t="n"/>
      <c r="C111" s="6" t="n"/>
      <c r="D111" s="6" t="n"/>
      <c r="E111" s="6" t="n"/>
      <c r="F111">
        <f>IF(E111="","",IMAGE(E111))</f>
        <v/>
      </c>
      <c r="G111" s="6" t="n"/>
      <c r="H111" s="7" t="n"/>
      <c r="I111" s="7" t="n"/>
      <c r="J111" s="6" t="n"/>
      <c r="K111" s="6" t="n"/>
      <c r="L111" s="6" t="n"/>
      <c r="M111" s="6" t="n"/>
      <c r="N111" s="6" t="n"/>
      <c r="O111" s="6" t="n"/>
      <c r="P111" s="8" t="n"/>
      <c r="Q111" s="7" t="n"/>
      <c r="R111" s="9" t="n"/>
      <c r="S111" s="10">
        <f>IF($C111="","",$I111*$R111)</f>
        <v/>
      </c>
      <c r="T111" s="10">
        <f>IF($C111="","",(IF($N111="Purchased",$H111,0)+$Q111))</f>
        <v/>
      </c>
      <c r="U111" s="10">
        <f>IF($C111="","",$S111-$T111)</f>
        <v/>
      </c>
      <c r="V111" s="11">
        <f>IF(OR($C111="",$I111=0),"",CEILING($T111/$I111,1))</f>
        <v/>
      </c>
      <c r="W111" s="6" t="n"/>
    </row>
    <row r="112">
      <c r="A112" t="inlineStr">
        <is>
          <t>W111</t>
        </is>
      </c>
      <c r="B112" s="6" t="n"/>
      <c r="C112" s="6" t="n"/>
      <c r="D112" s="6" t="n"/>
      <c r="E112" s="6" t="n"/>
      <c r="F112">
        <f>IF(E112="","",IMAGE(E112))</f>
        <v/>
      </c>
      <c r="G112" s="6" t="n"/>
      <c r="H112" s="7" t="n"/>
      <c r="I112" s="7" t="n"/>
      <c r="J112" s="6" t="n"/>
      <c r="K112" s="6" t="n"/>
      <c r="L112" s="6" t="n"/>
      <c r="M112" s="6" t="n"/>
      <c r="N112" s="6" t="n"/>
      <c r="O112" s="6" t="n"/>
      <c r="P112" s="8" t="n"/>
      <c r="Q112" s="7" t="n"/>
      <c r="R112" s="9" t="n"/>
      <c r="S112" s="10">
        <f>IF($C112="","",$I112*$R112)</f>
        <v/>
      </c>
      <c r="T112" s="10">
        <f>IF($C112="","",(IF($N112="Purchased",$H112,0)+$Q112))</f>
        <v/>
      </c>
      <c r="U112" s="10">
        <f>IF($C112="","",$S112-$T112)</f>
        <v/>
      </c>
      <c r="V112" s="11">
        <f>IF(OR($C112="",$I112=0),"",CEILING($T112/$I112,1))</f>
        <v/>
      </c>
      <c r="W112" s="6" t="n"/>
    </row>
    <row r="113">
      <c r="A113" t="inlineStr">
        <is>
          <t>W112</t>
        </is>
      </c>
      <c r="B113" s="6" t="n"/>
      <c r="C113" s="6" t="n"/>
      <c r="D113" s="6" t="n"/>
      <c r="E113" s="6" t="n"/>
      <c r="F113">
        <f>IF(E113="","",IMAGE(E113))</f>
        <v/>
      </c>
      <c r="G113" s="6" t="n"/>
      <c r="H113" s="7" t="n"/>
      <c r="I113" s="7" t="n"/>
      <c r="J113" s="6" t="n"/>
      <c r="K113" s="6" t="n"/>
      <c r="L113" s="6" t="n"/>
      <c r="M113" s="6" t="n"/>
      <c r="N113" s="6" t="n"/>
      <c r="O113" s="6" t="n"/>
      <c r="P113" s="8" t="n"/>
      <c r="Q113" s="7" t="n"/>
      <c r="R113" s="9" t="n"/>
      <c r="S113" s="10">
        <f>IF($C113="","",$I113*$R113)</f>
        <v/>
      </c>
      <c r="T113" s="10">
        <f>IF($C113="","",(IF($N113="Purchased",$H113,0)+$Q113))</f>
        <v/>
      </c>
      <c r="U113" s="10">
        <f>IF($C113="","",$S113-$T113)</f>
        <v/>
      </c>
      <c r="V113" s="11">
        <f>IF(OR($C113="",$I113=0),"",CEILING($T113/$I113,1))</f>
        <v/>
      </c>
      <c r="W113" s="6" t="n"/>
    </row>
    <row r="114">
      <c r="A114" t="inlineStr">
        <is>
          <t>W113</t>
        </is>
      </c>
      <c r="B114" s="6" t="n"/>
      <c r="C114" s="6" t="n"/>
      <c r="D114" s="6" t="n"/>
      <c r="E114" s="6" t="n"/>
      <c r="F114">
        <f>IF(E114="","",IMAGE(E114))</f>
        <v/>
      </c>
      <c r="G114" s="6" t="n"/>
      <c r="H114" s="7" t="n"/>
      <c r="I114" s="7" t="n"/>
      <c r="J114" s="6" t="n"/>
      <c r="K114" s="6" t="n"/>
      <c r="L114" s="6" t="n"/>
      <c r="M114" s="6" t="n"/>
      <c r="N114" s="6" t="n"/>
      <c r="O114" s="6" t="n"/>
      <c r="P114" s="8" t="n"/>
      <c r="Q114" s="7" t="n"/>
      <c r="R114" s="9" t="n"/>
      <c r="S114" s="10">
        <f>IF($C114="","",$I114*$R114)</f>
        <v/>
      </c>
      <c r="T114" s="10">
        <f>IF($C114="","",(IF($N114="Purchased",$H114,0)+$Q114))</f>
        <v/>
      </c>
      <c r="U114" s="10">
        <f>IF($C114="","",$S114-$T114)</f>
        <v/>
      </c>
      <c r="V114" s="11">
        <f>IF(OR($C114="",$I114=0),"",CEILING($T114/$I114,1))</f>
        <v/>
      </c>
      <c r="W114" s="6" t="n"/>
    </row>
    <row r="115">
      <c r="A115" t="inlineStr">
        <is>
          <t>W114</t>
        </is>
      </c>
      <c r="B115" s="6" t="n"/>
      <c r="C115" s="6" t="n"/>
      <c r="D115" s="6" t="n"/>
      <c r="E115" s="6" t="n"/>
      <c r="F115">
        <f>IF(E115="","",IMAGE(E115))</f>
        <v/>
      </c>
      <c r="G115" s="6" t="n"/>
      <c r="H115" s="7" t="n"/>
      <c r="I115" s="7" t="n"/>
      <c r="J115" s="6" t="n"/>
      <c r="K115" s="6" t="n"/>
      <c r="L115" s="6" t="n"/>
      <c r="M115" s="6" t="n"/>
      <c r="N115" s="6" t="n"/>
      <c r="O115" s="6" t="n"/>
      <c r="P115" s="8" t="n"/>
      <c r="Q115" s="7" t="n"/>
      <c r="R115" s="9" t="n"/>
      <c r="S115" s="10">
        <f>IF($C115="","",$I115*$R115)</f>
        <v/>
      </c>
      <c r="T115" s="10">
        <f>IF($C115="","",(IF($N115="Purchased",$H115,0)+$Q115))</f>
        <v/>
      </c>
      <c r="U115" s="10">
        <f>IF($C115="","",$S115-$T115)</f>
        <v/>
      </c>
      <c r="V115" s="11">
        <f>IF(OR($C115="",$I115=0),"",CEILING($T115/$I115,1))</f>
        <v/>
      </c>
      <c r="W115" s="6" t="n"/>
    </row>
    <row r="116">
      <c r="A116" t="inlineStr">
        <is>
          <t>W115</t>
        </is>
      </c>
      <c r="B116" s="6" t="n"/>
      <c r="C116" s="6" t="n"/>
      <c r="D116" s="6" t="n"/>
      <c r="E116" s="6" t="n"/>
      <c r="F116">
        <f>IF(E116="","",IMAGE(E116))</f>
        <v/>
      </c>
      <c r="G116" s="6" t="n"/>
      <c r="H116" s="7" t="n"/>
      <c r="I116" s="7" t="n"/>
      <c r="J116" s="6" t="n"/>
      <c r="K116" s="6" t="n"/>
      <c r="L116" s="6" t="n"/>
      <c r="M116" s="6" t="n"/>
      <c r="N116" s="6" t="n"/>
      <c r="O116" s="6" t="n"/>
      <c r="P116" s="8" t="n"/>
      <c r="Q116" s="7" t="n"/>
      <c r="R116" s="9" t="n"/>
      <c r="S116" s="10">
        <f>IF($C116="","",$I116*$R116)</f>
        <v/>
      </c>
      <c r="T116" s="10">
        <f>IF($C116="","",(IF($N116="Purchased",$H116,0)+$Q116))</f>
        <v/>
      </c>
      <c r="U116" s="10">
        <f>IF($C116="","",$S116-$T116)</f>
        <v/>
      </c>
      <c r="V116" s="11">
        <f>IF(OR($C116="",$I116=0),"",CEILING($T116/$I116,1))</f>
        <v/>
      </c>
      <c r="W116" s="6" t="n"/>
    </row>
    <row r="117">
      <c r="A117" t="inlineStr">
        <is>
          <t>W116</t>
        </is>
      </c>
      <c r="B117" s="6" t="n"/>
      <c r="C117" s="6" t="n"/>
      <c r="D117" s="6" t="n"/>
      <c r="E117" s="6" t="n"/>
      <c r="F117">
        <f>IF(E117="","",IMAGE(E117))</f>
        <v/>
      </c>
      <c r="G117" s="6" t="n"/>
      <c r="H117" s="7" t="n"/>
      <c r="I117" s="7" t="n"/>
      <c r="J117" s="6" t="n"/>
      <c r="K117" s="6" t="n"/>
      <c r="L117" s="6" t="n"/>
      <c r="M117" s="6" t="n"/>
      <c r="N117" s="6" t="n"/>
      <c r="O117" s="6" t="n"/>
      <c r="P117" s="8" t="n"/>
      <c r="Q117" s="7" t="n"/>
      <c r="R117" s="9" t="n"/>
      <c r="S117" s="10">
        <f>IF($C117="","",$I117*$R117)</f>
        <v/>
      </c>
      <c r="T117" s="10">
        <f>IF($C117="","",(IF($N117="Purchased",$H117,0)+$Q117))</f>
        <v/>
      </c>
      <c r="U117" s="10">
        <f>IF($C117="","",$S117-$T117)</f>
        <v/>
      </c>
      <c r="V117" s="11">
        <f>IF(OR($C117="",$I117=0),"",CEILING($T117/$I117,1))</f>
        <v/>
      </c>
      <c r="W117" s="6" t="n"/>
    </row>
    <row r="118">
      <c r="A118" t="inlineStr">
        <is>
          <t>W117</t>
        </is>
      </c>
      <c r="B118" s="6" t="n"/>
      <c r="C118" s="6" t="n"/>
      <c r="D118" s="6" t="n"/>
      <c r="E118" s="6" t="n"/>
      <c r="F118">
        <f>IF(E118="","",IMAGE(E118))</f>
        <v/>
      </c>
      <c r="G118" s="6" t="n"/>
      <c r="H118" s="7" t="n"/>
      <c r="I118" s="7" t="n"/>
      <c r="J118" s="6" t="n"/>
      <c r="K118" s="6" t="n"/>
      <c r="L118" s="6" t="n"/>
      <c r="M118" s="6" t="n"/>
      <c r="N118" s="6" t="n"/>
      <c r="O118" s="6" t="n"/>
      <c r="P118" s="8" t="n"/>
      <c r="Q118" s="7" t="n"/>
      <c r="R118" s="9" t="n"/>
      <c r="S118" s="10">
        <f>IF($C118="","",$I118*$R118)</f>
        <v/>
      </c>
      <c r="T118" s="10">
        <f>IF($C118="","",(IF($N118="Purchased",$H118,0)+$Q118))</f>
        <v/>
      </c>
      <c r="U118" s="10">
        <f>IF($C118="","",$S118-$T118)</f>
        <v/>
      </c>
      <c r="V118" s="11">
        <f>IF(OR($C118="",$I118=0),"",CEILING($T118/$I118,1))</f>
        <v/>
      </c>
      <c r="W118" s="6" t="n"/>
    </row>
    <row r="119">
      <c r="A119" t="inlineStr">
        <is>
          <t>W118</t>
        </is>
      </c>
      <c r="B119" s="6" t="n"/>
      <c r="C119" s="6" t="n"/>
      <c r="D119" s="6" t="n"/>
      <c r="E119" s="6" t="n"/>
      <c r="F119">
        <f>IF(E119="","",IMAGE(E119))</f>
        <v/>
      </c>
      <c r="G119" s="6" t="n"/>
      <c r="H119" s="7" t="n"/>
      <c r="I119" s="7" t="n"/>
      <c r="J119" s="6" t="n"/>
      <c r="K119" s="6" t="n"/>
      <c r="L119" s="6" t="n"/>
      <c r="M119" s="6" t="n"/>
      <c r="N119" s="6" t="n"/>
      <c r="O119" s="6" t="n"/>
      <c r="P119" s="8" t="n"/>
      <c r="Q119" s="7" t="n"/>
      <c r="R119" s="9" t="n"/>
      <c r="S119" s="10">
        <f>IF($C119="","",$I119*$R119)</f>
        <v/>
      </c>
      <c r="T119" s="10">
        <f>IF($C119="","",(IF($N119="Purchased",$H119,0)+$Q119))</f>
        <v/>
      </c>
      <c r="U119" s="10">
        <f>IF($C119="","",$S119-$T119)</f>
        <v/>
      </c>
      <c r="V119" s="11">
        <f>IF(OR($C119="",$I119=0),"",CEILING($T119/$I119,1))</f>
        <v/>
      </c>
      <c r="W119" s="6" t="n"/>
    </row>
    <row r="120">
      <c r="A120" t="inlineStr">
        <is>
          <t>W119</t>
        </is>
      </c>
      <c r="B120" s="6" t="n"/>
      <c r="C120" s="6" t="n"/>
      <c r="D120" s="6" t="n"/>
      <c r="E120" s="6" t="n"/>
      <c r="F120">
        <f>IF(E120="","",IMAGE(E120))</f>
        <v/>
      </c>
      <c r="G120" s="6" t="n"/>
      <c r="H120" s="7" t="n"/>
      <c r="I120" s="7" t="n"/>
      <c r="J120" s="6" t="n"/>
      <c r="K120" s="6" t="n"/>
      <c r="L120" s="6" t="n"/>
      <c r="M120" s="6" t="n"/>
      <c r="N120" s="6" t="n"/>
      <c r="O120" s="6" t="n"/>
      <c r="P120" s="8" t="n"/>
      <c r="Q120" s="7" t="n"/>
      <c r="R120" s="9" t="n"/>
      <c r="S120" s="10">
        <f>IF($C120="","",$I120*$R120)</f>
        <v/>
      </c>
      <c r="T120" s="10">
        <f>IF($C120="","",(IF($N120="Purchased",$H120,0)+$Q120))</f>
        <v/>
      </c>
      <c r="U120" s="10">
        <f>IF($C120="","",$S120-$T120)</f>
        <v/>
      </c>
      <c r="V120" s="11">
        <f>IF(OR($C120="",$I120=0),"",CEILING($T120/$I120,1))</f>
        <v/>
      </c>
      <c r="W120" s="6" t="n"/>
    </row>
    <row r="121">
      <c r="A121" t="inlineStr">
        <is>
          <t>W120</t>
        </is>
      </c>
      <c r="B121" s="6" t="n"/>
      <c r="C121" s="6" t="n"/>
      <c r="D121" s="6" t="n"/>
      <c r="E121" s="6" t="n"/>
      <c r="F121">
        <f>IF(E121="","",IMAGE(E121))</f>
        <v/>
      </c>
      <c r="G121" s="6" t="n"/>
      <c r="H121" s="7" t="n"/>
      <c r="I121" s="7" t="n"/>
      <c r="J121" s="6" t="n"/>
      <c r="K121" s="6" t="n"/>
      <c r="L121" s="6" t="n"/>
      <c r="M121" s="6" t="n"/>
      <c r="N121" s="6" t="n"/>
      <c r="O121" s="6" t="n"/>
      <c r="P121" s="8" t="n"/>
      <c r="Q121" s="7" t="n"/>
      <c r="R121" s="9" t="n"/>
      <c r="S121" s="10">
        <f>IF($C121="","",$I121*$R121)</f>
        <v/>
      </c>
      <c r="T121" s="10">
        <f>IF($C121="","",(IF($N121="Purchased",$H121,0)+$Q121))</f>
        <v/>
      </c>
      <c r="U121" s="10">
        <f>IF($C121="","",$S121-$T121)</f>
        <v/>
      </c>
      <c r="V121" s="11">
        <f>IF(OR($C121="",$I121=0),"",CEILING($T121/$I121,1))</f>
        <v/>
      </c>
      <c r="W121" s="6" t="n"/>
    </row>
    <row r="122">
      <c r="A122" t="inlineStr">
        <is>
          <t>W121</t>
        </is>
      </c>
      <c r="B122" s="6" t="n"/>
      <c r="C122" s="6" t="n"/>
      <c r="D122" s="6" t="n"/>
      <c r="E122" s="6" t="n"/>
      <c r="F122">
        <f>IF(E122="","",IMAGE(E122))</f>
        <v/>
      </c>
      <c r="G122" s="6" t="n"/>
      <c r="H122" s="7" t="n"/>
      <c r="I122" s="7" t="n"/>
      <c r="J122" s="6" t="n"/>
      <c r="K122" s="6" t="n"/>
      <c r="L122" s="6" t="n"/>
      <c r="M122" s="6" t="n"/>
      <c r="N122" s="6" t="n"/>
      <c r="O122" s="6" t="n"/>
      <c r="P122" s="8" t="n"/>
      <c r="Q122" s="7" t="n"/>
      <c r="R122" s="9" t="n"/>
      <c r="S122" s="10">
        <f>IF($C122="","",$I122*$R122)</f>
        <v/>
      </c>
      <c r="T122" s="10">
        <f>IF($C122="","",(IF($N122="Purchased",$H122,0)+$Q122))</f>
        <v/>
      </c>
      <c r="U122" s="10">
        <f>IF($C122="","",$S122-$T122)</f>
        <v/>
      </c>
      <c r="V122" s="11">
        <f>IF(OR($C122="",$I122=0),"",CEILING($T122/$I122,1))</f>
        <v/>
      </c>
      <c r="W122" s="6" t="n"/>
    </row>
    <row r="123">
      <c r="A123" t="inlineStr">
        <is>
          <t>W122</t>
        </is>
      </c>
      <c r="B123" s="6" t="n"/>
      <c r="C123" s="6" t="n"/>
      <c r="D123" s="6" t="n"/>
      <c r="E123" s="6" t="n"/>
      <c r="F123">
        <f>IF(E123="","",IMAGE(E123))</f>
        <v/>
      </c>
      <c r="G123" s="6" t="n"/>
      <c r="H123" s="7" t="n"/>
      <c r="I123" s="7" t="n"/>
      <c r="J123" s="6" t="n"/>
      <c r="K123" s="6" t="n"/>
      <c r="L123" s="6" t="n"/>
      <c r="M123" s="6" t="n"/>
      <c r="N123" s="6" t="n"/>
      <c r="O123" s="6" t="n"/>
      <c r="P123" s="8" t="n"/>
      <c r="Q123" s="7" t="n"/>
      <c r="R123" s="9" t="n"/>
      <c r="S123" s="10">
        <f>IF($C123="","",$I123*$R123)</f>
        <v/>
      </c>
      <c r="T123" s="10">
        <f>IF($C123="","",(IF($N123="Purchased",$H123,0)+$Q123))</f>
        <v/>
      </c>
      <c r="U123" s="10">
        <f>IF($C123="","",$S123-$T123)</f>
        <v/>
      </c>
      <c r="V123" s="11">
        <f>IF(OR($C123="",$I123=0),"",CEILING($T123/$I123,1))</f>
        <v/>
      </c>
      <c r="W123" s="6" t="n"/>
    </row>
    <row r="124">
      <c r="A124" t="inlineStr">
        <is>
          <t>W123</t>
        </is>
      </c>
      <c r="B124" s="6" t="n"/>
      <c r="C124" s="6" t="n"/>
      <c r="D124" s="6" t="n"/>
      <c r="E124" s="6" t="n"/>
      <c r="F124">
        <f>IF(E124="","",IMAGE(E124))</f>
        <v/>
      </c>
      <c r="G124" s="6" t="n"/>
      <c r="H124" s="7" t="n"/>
      <c r="I124" s="7" t="n"/>
      <c r="J124" s="6" t="n"/>
      <c r="K124" s="6" t="n"/>
      <c r="L124" s="6" t="n"/>
      <c r="M124" s="6" t="n"/>
      <c r="N124" s="6" t="n"/>
      <c r="O124" s="6" t="n"/>
      <c r="P124" s="8" t="n"/>
      <c r="Q124" s="7" t="n"/>
      <c r="R124" s="9" t="n"/>
      <c r="S124" s="10">
        <f>IF($C124="","",$I124*$R124)</f>
        <v/>
      </c>
      <c r="T124" s="10">
        <f>IF($C124="","",(IF($N124="Purchased",$H124,0)+$Q124))</f>
        <v/>
      </c>
      <c r="U124" s="10">
        <f>IF($C124="","",$S124-$T124)</f>
        <v/>
      </c>
      <c r="V124" s="11">
        <f>IF(OR($C124="",$I124=0),"",CEILING($T124/$I124,1))</f>
        <v/>
      </c>
      <c r="W124" s="6" t="n"/>
    </row>
    <row r="125">
      <c r="A125" t="inlineStr">
        <is>
          <t>W124</t>
        </is>
      </c>
      <c r="B125" s="6" t="n"/>
      <c r="C125" s="6" t="n"/>
      <c r="D125" s="6" t="n"/>
      <c r="E125" s="6" t="n"/>
      <c r="F125">
        <f>IF(E125="","",IMAGE(E125))</f>
        <v/>
      </c>
      <c r="G125" s="6" t="n"/>
      <c r="H125" s="7" t="n"/>
      <c r="I125" s="7" t="n"/>
      <c r="J125" s="6" t="n"/>
      <c r="K125" s="6" t="n"/>
      <c r="L125" s="6" t="n"/>
      <c r="M125" s="6" t="n"/>
      <c r="N125" s="6" t="n"/>
      <c r="O125" s="6" t="n"/>
      <c r="P125" s="8" t="n"/>
      <c r="Q125" s="7" t="n"/>
      <c r="R125" s="9" t="n"/>
      <c r="S125" s="10">
        <f>IF($C125="","",$I125*$R125)</f>
        <v/>
      </c>
      <c r="T125" s="10">
        <f>IF($C125="","",(IF($N125="Purchased",$H125,0)+$Q125))</f>
        <v/>
      </c>
      <c r="U125" s="10">
        <f>IF($C125="","",$S125-$T125)</f>
        <v/>
      </c>
      <c r="V125" s="11">
        <f>IF(OR($C125="",$I125=0),"",CEILING($T125/$I125,1))</f>
        <v/>
      </c>
      <c r="W125" s="6" t="n"/>
    </row>
    <row r="126">
      <c r="A126" t="inlineStr">
        <is>
          <t>W125</t>
        </is>
      </c>
      <c r="B126" s="6" t="n"/>
      <c r="C126" s="6" t="n"/>
      <c r="D126" s="6" t="n"/>
      <c r="E126" s="6" t="n"/>
      <c r="F126">
        <f>IF(E126="","",IMAGE(E126))</f>
        <v/>
      </c>
      <c r="G126" s="6" t="n"/>
      <c r="H126" s="7" t="n"/>
      <c r="I126" s="7" t="n"/>
      <c r="J126" s="6" t="n"/>
      <c r="K126" s="6" t="n"/>
      <c r="L126" s="6" t="n"/>
      <c r="M126" s="6" t="n"/>
      <c r="N126" s="6" t="n"/>
      <c r="O126" s="6" t="n"/>
      <c r="P126" s="8" t="n"/>
      <c r="Q126" s="7" t="n"/>
      <c r="R126" s="9" t="n"/>
      <c r="S126" s="10">
        <f>IF($C126="","",$I126*$R126)</f>
        <v/>
      </c>
      <c r="T126" s="10">
        <f>IF($C126="","",(IF($N126="Purchased",$H126,0)+$Q126))</f>
        <v/>
      </c>
      <c r="U126" s="10">
        <f>IF($C126="","",$S126-$T126)</f>
        <v/>
      </c>
      <c r="V126" s="11">
        <f>IF(OR($C126="",$I126=0),"",CEILING($T126/$I126,1))</f>
        <v/>
      </c>
      <c r="W126" s="6" t="n"/>
    </row>
    <row r="127">
      <c r="A127" t="inlineStr">
        <is>
          <t>W126</t>
        </is>
      </c>
      <c r="B127" s="6" t="n"/>
      <c r="C127" s="6" t="n"/>
      <c r="D127" s="6" t="n"/>
      <c r="E127" s="6" t="n"/>
      <c r="F127">
        <f>IF(E127="","",IMAGE(E127))</f>
        <v/>
      </c>
      <c r="G127" s="6" t="n"/>
      <c r="H127" s="7" t="n"/>
      <c r="I127" s="7" t="n"/>
      <c r="J127" s="6" t="n"/>
      <c r="K127" s="6" t="n"/>
      <c r="L127" s="6" t="n"/>
      <c r="M127" s="6" t="n"/>
      <c r="N127" s="6" t="n"/>
      <c r="O127" s="6" t="n"/>
      <c r="P127" s="8" t="n"/>
      <c r="Q127" s="7" t="n"/>
      <c r="R127" s="9" t="n"/>
      <c r="S127" s="10">
        <f>IF($C127="","",$I127*$R127)</f>
        <v/>
      </c>
      <c r="T127" s="10">
        <f>IF($C127="","",(IF($N127="Purchased",$H127,0)+$Q127))</f>
        <v/>
      </c>
      <c r="U127" s="10">
        <f>IF($C127="","",$S127-$T127)</f>
        <v/>
      </c>
      <c r="V127" s="11">
        <f>IF(OR($C127="",$I127=0),"",CEILING($T127/$I127,1))</f>
        <v/>
      </c>
      <c r="W127" s="6" t="n"/>
    </row>
    <row r="128">
      <c r="A128" t="inlineStr">
        <is>
          <t>W127</t>
        </is>
      </c>
      <c r="B128" s="6" t="n"/>
      <c r="C128" s="6" t="n"/>
      <c r="D128" s="6" t="n"/>
      <c r="E128" s="6" t="n"/>
      <c r="F128">
        <f>IF(E128="","",IMAGE(E128))</f>
        <v/>
      </c>
      <c r="G128" s="6" t="n"/>
      <c r="H128" s="7" t="n"/>
      <c r="I128" s="7" t="n"/>
      <c r="J128" s="6" t="n"/>
      <c r="K128" s="6" t="n"/>
      <c r="L128" s="6" t="n"/>
      <c r="M128" s="6" t="n"/>
      <c r="N128" s="6" t="n"/>
      <c r="O128" s="6" t="n"/>
      <c r="P128" s="8" t="n"/>
      <c r="Q128" s="7" t="n"/>
      <c r="R128" s="9" t="n"/>
      <c r="S128" s="10">
        <f>IF($C128="","",$I128*$R128)</f>
        <v/>
      </c>
      <c r="T128" s="10">
        <f>IF($C128="","",(IF($N128="Purchased",$H128,0)+$Q128))</f>
        <v/>
      </c>
      <c r="U128" s="10">
        <f>IF($C128="","",$S128-$T128)</f>
        <v/>
      </c>
      <c r="V128" s="11">
        <f>IF(OR($C128="",$I128=0),"",CEILING($T128/$I128,1))</f>
        <v/>
      </c>
      <c r="W128" s="6" t="n"/>
    </row>
    <row r="129">
      <c r="A129" t="inlineStr">
        <is>
          <t>W128</t>
        </is>
      </c>
      <c r="B129" s="6" t="n"/>
      <c r="C129" s="6" t="n"/>
      <c r="D129" s="6" t="n"/>
      <c r="E129" s="6" t="n"/>
      <c r="F129">
        <f>IF(E129="","",IMAGE(E129))</f>
        <v/>
      </c>
      <c r="G129" s="6" t="n"/>
      <c r="H129" s="7" t="n"/>
      <c r="I129" s="7" t="n"/>
      <c r="J129" s="6" t="n"/>
      <c r="K129" s="6" t="n"/>
      <c r="L129" s="6" t="n"/>
      <c r="M129" s="6" t="n"/>
      <c r="N129" s="6" t="n"/>
      <c r="O129" s="6" t="n"/>
      <c r="P129" s="8" t="n"/>
      <c r="Q129" s="7" t="n"/>
      <c r="R129" s="9" t="n"/>
      <c r="S129" s="10">
        <f>IF($C129="","",$I129*$R129)</f>
        <v/>
      </c>
      <c r="T129" s="10">
        <f>IF($C129="","",(IF($N129="Purchased",$H129,0)+$Q129))</f>
        <v/>
      </c>
      <c r="U129" s="10">
        <f>IF($C129="","",$S129-$T129)</f>
        <v/>
      </c>
      <c r="V129" s="11">
        <f>IF(OR($C129="",$I129=0),"",CEILING($T129/$I129,1))</f>
        <v/>
      </c>
      <c r="W129" s="6" t="n"/>
    </row>
    <row r="130">
      <c r="A130" t="inlineStr">
        <is>
          <t>W129</t>
        </is>
      </c>
      <c r="B130" s="6" t="n"/>
      <c r="C130" s="6" t="n"/>
      <c r="D130" s="6" t="n"/>
      <c r="E130" s="6" t="n"/>
      <c r="F130">
        <f>IF(E130="","",IMAGE(E130))</f>
        <v/>
      </c>
      <c r="G130" s="6" t="n"/>
      <c r="H130" s="7" t="n"/>
      <c r="I130" s="7" t="n"/>
      <c r="J130" s="6" t="n"/>
      <c r="K130" s="6" t="n"/>
      <c r="L130" s="6" t="n"/>
      <c r="M130" s="6" t="n"/>
      <c r="N130" s="6" t="n"/>
      <c r="O130" s="6" t="n"/>
      <c r="P130" s="8" t="n"/>
      <c r="Q130" s="7" t="n"/>
      <c r="R130" s="9" t="n"/>
      <c r="S130" s="10">
        <f>IF($C130="","",$I130*$R130)</f>
        <v/>
      </c>
      <c r="T130" s="10">
        <f>IF($C130="","",(IF($N130="Purchased",$H130,0)+$Q130))</f>
        <v/>
      </c>
      <c r="U130" s="10">
        <f>IF($C130="","",$S130-$T130)</f>
        <v/>
      </c>
      <c r="V130" s="11">
        <f>IF(OR($C130="",$I130=0),"",CEILING($T130/$I130,1))</f>
        <v/>
      </c>
      <c r="W130" s="6" t="n"/>
    </row>
    <row r="131">
      <c r="A131" t="inlineStr">
        <is>
          <t>W130</t>
        </is>
      </c>
      <c r="B131" s="6" t="n"/>
      <c r="C131" s="6" t="n"/>
      <c r="D131" s="6" t="n"/>
      <c r="E131" s="6" t="n"/>
      <c r="F131">
        <f>IF(E131="","",IMAGE(E131))</f>
        <v/>
      </c>
      <c r="G131" s="6" t="n"/>
      <c r="H131" s="7" t="n"/>
      <c r="I131" s="7" t="n"/>
      <c r="J131" s="6" t="n"/>
      <c r="K131" s="6" t="n"/>
      <c r="L131" s="6" t="n"/>
      <c r="M131" s="6" t="n"/>
      <c r="N131" s="6" t="n"/>
      <c r="O131" s="6" t="n"/>
      <c r="P131" s="8" t="n"/>
      <c r="Q131" s="7" t="n"/>
      <c r="R131" s="9" t="n"/>
      <c r="S131" s="10">
        <f>IF($C131="","",$I131*$R131)</f>
        <v/>
      </c>
      <c r="T131" s="10">
        <f>IF($C131="","",(IF($N131="Purchased",$H131,0)+$Q131))</f>
        <v/>
      </c>
      <c r="U131" s="10">
        <f>IF($C131="","",$S131-$T131)</f>
        <v/>
      </c>
      <c r="V131" s="11">
        <f>IF(OR($C131="",$I131=0),"",CEILING($T131/$I131,1))</f>
        <v/>
      </c>
      <c r="W131" s="6" t="n"/>
    </row>
    <row r="132">
      <c r="A132" t="inlineStr">
        <is>
          <t>W131</t>
        </is>
      </c>
      <c r="B132" s="6" t="n"/>
      <c r="C132" s="6" t="n"/>
      <c r="D132" s="6" t="n"/>
      <c r="E132" s="6" t="n"/>
      <c r="F132">
        <f>IF(E132="","",IMAGE(E132))</f>
        <v/>
      </c>
      <c r="G132" s="6" t="n"/>
      <c r="H132" s="7" t="n"/>
      <c r="I132" s="7" t="n"/>
      <c r="J132" s="6" t="n"/>
      <c r="K132" s="6" t="n"/>
      <c r="L132" s="6" t="n"/>
      <c r="M132" s="6" t="n"/>
      <c r="N132" s="6" t="n"/>
      <c r="O132" s="6" t="n"/>
      <c r="P132" s="8" t="n"/>
      <c r="Q132" s="7" t="n"/>
      <c r="R132" s="9" t="n"/>
      <c r="S132" s="10">
        <f>IF($C132="","",$I132*$R132)</f>
        <v/>
      </c>
      <c r="T132" s="10">
        <f>IF($C132="","",(IF($N132="Purchased",$H132,0)+$Q132))</f>
        <v/>
      </c>
      <c r="U132" s="10">
        <f>IF($C132="","",$S132-$T132)</f>
        <v/>
      </c>
      <c r="V132" s="11">
        <f>IF(OR($C132="",$I132=0),"",CEILING($T132/$I132,1))</f>
        <v/>
      </c>
      <c r="W132" s="6" t="n"/>
    </row>
    <row r="133">
      <c r="A133" t="inlineStr">
        <is>
          <t>W132</t>
        </is>
      </c>
      <c r="B133" s="6" t="n"/>
      <c r="C133" s="6" t="n"/>
      <c r="D133" s="6" t="n"/>
      <c r="E133" s="6" t="n"/>
      <c r="F133">
        <f>IF(E133="","",IMAGE(E133))</f>
        <v/>
      </c>
      <c r="G133" s="6" t="n"/>
      <c r="H133" s="7" t="n"/>
      <c r="I133" s="7" t="n"/>
      <c r="J133" s="6" t="n"/>
      <c r="K133" s="6" t="n"/>
      <c r="L133" s="6" t="n"/>
      <c r="M133" s="6" t="n"/>
      <c r="N133" s="6" t="n"/>
      <c r="O133" s="6" t="n"/>
      <c r="P133" s="8" t="n"/>
      <c r="Q133" s="7" t="n"/>
      <c r="R133" s="9" t="n"/>
      <c r="S133" s="10">
        <f>IF($C133="","",$I133*$R133)</f>
        <v/>
      </c>
      <c r="T133" s="10">
        <f>IF($C133="","",(IF($N133="Purchased",$H133,0)+$Q133))</f>
        <v/>
      </c>
      <c r="U133" s="10">
        <f>IF($C133="","",$S133-$T133)</f>
        <v/>
      </c>
      <c r="V133" s="11">
        <f>IF(OR($C133="",$I133=0),"",CEILING($T133/$I133,1))</f>
        <v/>
      </c>
      <c r="W133" s="6" t="n"/>
    </row>
    <row r="134">
      <c r="A134" t="inlineStr">
        <is>
          <t>W133</t>
        </is>
      </c>
      <c r="B134" s="6" t="n"/>
      <c r="C134" s="6" t="n"/>
      <c r="D134" s="6" t="n"/>
      <c r="E134" s="6" t="n"/>
      <c r="F134">
        <f>IF(E134="","",IMAGE(E134))</f>
        <v/>
      </c>
      <c r="G134" s="6" t="n"/>
      <c r="H134" s="7" t="n"/>
      <c r="I134" s="7" t="n"/>
      <c r="J134" s="6" t="n"/>
      <c r="K134" s="6" t="n"/>
      <c r="L134" s="6" t="n"/>
      <c r="M134" s="6" t="n"/>
      <c r="N134" s="6" t="n"/>
      <c r="O134" s="6" t="n"/>
      <c r="P134" s="8" t="n"/>
      <c r="Q134" s="7" t="n"/>
      <c r="R134" s="9" t="n"/>
      <c r="S134" s="10">
        <f>IF($C134="","",$I134*$R134)</f>
        <v/>
      </c>
      <c r="T134" s="10">
        <f>IF($C134="","",(IF($N134="Purchased",$H134,0)+$Q134))</f>
        <v/>
      </c>
      <c r="U134" s="10">
        <f>IF($C134="","",$S134-$T134)</f>
        <v/>
      </c>
      <c r="V134" s="11">
        <f>IF(OR($C134="",$I134=0),"",CEILING($T134/$I134,1))</f>
        <v/>
      </c>
      <c r="W134" s="6" t="n"/>
    </row>
    <row r="135">
      <c r="A135" t="inlineStr">
        <is>
          <t>W134</t>
        </is>
      </c>
      <c r="B135" s="6" t="n"/>
      <c r="C135" s="6" t="n"/>
      <c r="D135" s="6" t="n"/>
      <c r="E135" s="6" t="n"/>
      <c r="F135">
        <f>IF(E135="","",IMAGE(E135))</f>
        <v/>
      </c>
      <c r="G135" s="6" t="n"/>
      <c r="H135" s="7" t="n"/>
      <c r="I135" s="7" t="n"/>
      <c r="J135" s="6" t="n"/>
      <c r="K135" s="6" t="n"/>
      <c r="L135" s="6" t="n"/>
      <c r="M135" s="6" t="n"/>
      <c r="N135" s="6" t="n"/>
      <c r="O135" s="6" t="n"/>
      <c r="P135" s="8" t="n"/>
      <c r="Q135" s="7" t="n"/>
      <c r="R135" s="9" t="n"/>
      <c r="S135" s="10">
        <f>IF($C135="","",$I135*$R135)</f>
        <v/>
      </c>
      <c r="T135" s="10">
        <f>IF($C135="","",(IF($N135="Purchased",$H135,0)+$Q135))</f>
        <v/>
      </c>
      <c r="U135" s="10">
        <f>IF($C135="","",$S135-$T135)</f>
        <v/>
      </c>
      <c r="V135" s="11">
        <f>IF(OR($C135="",$I135=0),"",CEILING($T135/$I135,1))</f>
        <v/>
      </c>
      <c r="W135" s="6" t="n"/>
    </row>
    <row r="136">
      <c r="A136" t="inlineStr">
        <is>
          <t>W135</t>
        </is>
      </c>
      <c r="B136" s="6" t="n"/>
      <c r="C136" s="6" t="n"/>
      <c r="D136" s="6" t="n"/>
      <c r="E136" s="6" t="n"/>
      <c r="F136">
        <f>IF(E136="","",IMAGE(E136))</f>
        <v/>
      </c>
      <c r="G136" s="6" t="n"/>
      <c r="H136" s="7" t="n"/>
      <c r="I136" s="7" t="n"/>
      <c r="J136" s="6" t="n"/>
      <c r="K136" s="6" t="n"/>
      <c r="L136" s="6" t="n"/>
      <c r="M136" s="6" t="n"/>
      <c r="N136" s="6" t="n"/>
      <c r="O136" s="6" t="n"/>
      <c r="P136" s="8" t="n"/>
      <c r="Q136" s="7" t="n"/>
      <c r="R136" s="9" t="n"/>
      <c r="S136" s="10">
        <f>IF($C136="","",$I136*$R136)</f>
        <v/>
      </c>
      <c r="T136" s="10">
        <f>IF($C136="","",(IF($N136="Purchased",$H136,0)+$Q136))</f>
        <v/>
      </c>
      <c r="U136" s="10">
        <f>IF($C136="","",$S136-$T136)</f>
        <v/>
      </c>
      <c r="V136" s="11">
        <f>IF(OR($C136="",$I136=0),"",CEILING($T136/$I136,1))</f>
        <v/>
      </c>
      <c r="W136" s="6" t="n"/>
    </row>
    <row r="137">
      <c r="A137" t="inlineStr">
        <is>
          <t>W136</t>
        </is>
      </c>
      <c r="B137" s="6" t="n"/>
      <c r="C137" s="6" t="n"/>
      <c r="D137" s="6" t="n"/>
      <c r="E137" s="6" t="n"/>
      <c r="F137">
        <f>IF(E137="","",IMAGE(E137))</f>
        <v/>
      </c>
      <c r="G137" s="6" t="n"/>
      <c r="H137" s="7" t="n"/>
      <c r="I137" s="7" t="n"/>
      <c r="J137" s="6" t="n"/>
      <c r="K137" s="6" t="n"/>
      <c r="L137" s="6" t="n"/>
      <c r="M137" s="6" t="n"/>
      <c r="N137" s="6" t="n"/>
      <c r="O137" s="6" t="n"/>
      <c r="P137" s="8" t="n"/>
      <c r="Q137" s="7" t="n"/>
      <c r="R137" s="9" t="n"/>
      <c r="S137" s="10">
        <f>IF($C137="","",$I137*$R137)</f>
        <v/>
      </c>
      <c r="T137" s="10">
        <f>IF($C137="","",(IF($N137="Purchased",$H137,0)+$Q137))</f>
        <v/>
      </c>
      <c r="U137" s="10">
        <f>IF($C137="","",$S137-$T137)</f>
        <v/>
      </c>
      <c r="V137" s="11">
        <f>IF(OR($C137="",$I137=0),"",CEILING($T137/$I137,1))</f>
        <v/>
      </c>
      <c r="W137" s="6" t="n"/>
    </row>
    <row r="138">
      <c r="A138" t="inlineStr">
        <is>
          <t>W137</t>
        </is>
      </c>
      <c r="B138" s="6" t="n"/>
      <c r="C138" s="6" t="n"/>
      <c r="D138" s="6" t="n"/>
      <c r="E138" s="6" t="n"/>
      <c r="F138">
        <f>IF(E138="","",IMAGE(E138))</f>
        <v/>
      </c>
      <c r="G138" s="6" t="n"/>
      <c r="H138" s="7" t="n"/>
      <c r="I138" s="7" t="n"/>
      <c r="J138" s="6" t="n"/>
      <c r="K138" s="6" t="n"/>
      <c r="L138" s="6" t="n"/>
      <c r="M138" s="6" t="n"/>
      <c r="N138" s="6" t="n"/>
      <c r="O138" s="6" t="n"/>
      <c r="P138" s="8" t="n"/>
      <c r="Q138" s="7" t="n"/>
      <c r="R138" s="9" t="n"/>
      <c r="S138" s="10">
        <f>IF($C138="","",$I138*$R138)</f>
        <v/>
      </c>
      <c r="T138" s="10">
        <f>IF($C138="","",(IF($N138="Purchased",$H138,0)+$Q138))</f>
        <v/>
      </c>
      <c r="U138" s="10">
        <f>IF($C138="","",$S138-$T138)</f>
        <v/>
      </c>
      <c r="V138" s="11">
        <f>IF(OR($C138="",$I138=0),"",CEILING($T138/$I138,1))</f>
        <v/>
      </c>
      <c r="W138" s="6" t="n"/>
    </row>
    <row r="139">
      <c r="A139" t="inlineStr">
        <is>
          <t>W138</t>
        </is>
      </c>
      <c r="B139" s="6" t="n"/>
      <c r="C139" s="6" t="n"/>
      <c r="D139" s="6" t="n"/>
      <c r="E139" s="6" t="n"/>
      <c r="F139">
        <f>IF(E139="","",IMAGE(E139))</f>
        <v/>
      </c>
      <c r="G139" s="6" t="n"/>
      <c r="H139" s="7" t="n"/>
      <c r="I139" s="7" t="n"/>
      <c r="J139" s="6" t="n"/>
      <c r="K139" s="6" t="n"/>
      <c r="L139" s="6" t="n"/>
      <c r="M139" s="6" t="n"/>
      <c r="N139" s="6" t="n"/>
      <c r="O139" s="6" t="n"/>
      <c r="P139" s="8" t="n"/>
      <c r="Q139" s="7" t="n"/>
      <c r="R139" s="9" t="n"/>
      <c r="S139" s="10">
        <f>IF($C139="","",$I139*$R139)</f>
        <v/>
      </c>
      <c r="T139" s="10">
        <f>IF($C139="","",(IF($N139="Purchased",$H139,0)+$Q139))</f>
        <v/>
      </c>
      <c r="U139" s="10">
        <f>IF($C139="","",$S139-$T139)</f>
        <v/>
      </c>
      <c r="V139" s="11">
        <f>IF(OR($C139="",$I139=0),"",CEILING($T139/$I139,1))</f>
        <v/>
      </c>
      <c r="W139" s="6" t="n"/>
    </row>
    <row r="140">
      <c r="A140" t="inlineStr">
        <is>
          <t>W139</t>
        </is>
      </c>
      <c r="B140" s="6" t="n"/>
      <c r="C140" s="6" t="n"/>
      <c r="D140" s="6" t="n"/>
      <c r="E140" s="6" t="n"/>
      <c r="F140">
        <f>IF(E140="","",IMAGE(E140))</f>
        <v/>
      </c>
      <c r="G140" s="6" t="n"/>
      <c r="H140" s="7" t="n"/>
      <c r="I140" s="7" t="n"/>
      <c r="J140" s="6" t="n"/>
      <c r="K140" s="6" t="n"/>
      <c r="L140" s="6" t="n"/>
      <c r="M140" s="6" t="n"/>
      <c r="N140" s="6" t="n"/>
      <c r="O140" s="6" t="n"/>
      <c r="P140" s="8" t="n"/>
      <c r="Q140" s="7" t="n"/>
      <c r="R140" s="9" t="n"/>
      <c r="S140" s="10">
        <f>IF($C140="","",$I140*$R140)</f>
        <v/>
      </c>
      <c r="T140" s="10">
        <f>IF($C140="","",(IF($N140="Purchased",$H140,0)+$Q140))</f>
        <v/>
      </c>
      <c r="U140" s="10">
        <f>IF($C140="","",$S140-$T140)</f>
        <v/>
      </c>
      <c r="V140" s="11">
        <f>IF(OR($C140="",$I140=0),"",CEILING($T140/$I140,1))</f>
        <v/>
      </c>
      <c r="W140" s="6" t="n"/>
    </row>
    <row r="141">
      <c r="A141" t="inlineStr">
        <is>
          <t>W140</t>
        </is>
      </c>
      <c r="B141" s="6" t="n"/>
      <c r="C141" s="6" t="n"/>
      <c r="D141" s="6" t="n"/>
      <c r="E141" s="6" t="n"/>
      <c r="F141">
        <f>IF(E141="","",IMAGE(E141))</f>
        <v/>
      </c>
      <c r="G141" s="6" t="n"/>
      <c r="H141" s="7" t="n"/>
      <c r="I141" s="7" t="n"/>
      <c r="J141" s="6" t="n"/>
      <c r="K141" s="6" t="n"/>
      <c r="L141" s="6" t="n"/>
      <c r="M141" s="6" t="n"/>
      <c r="N141" s="6" t="n"/>
      <c r="O141" s="6" t="n"/>
      <c r="P141" s="8" t="n"/>
      <c r="Q141" s="7" t="n"/>
      <c r="R141" s="9" t="n"/>
      <c r="S141" s="10">
        <f>IF($C141="","",$I141*$R141)</f>
        <v/>
      </c>
      <c r="T141" s="10">
        <f>IF($C141="","",(IF($N141="Purchased",$H141,0)+$Q141))</f>
        <v/>
      </c>
      <c r="U141" s="10">
        <f>IF($C141="","",$S141-$T141)</f>
        <v/>
      </c>
      <c r="V141" s="11">
        <f>IF(OR($C141="",$I141=0),"",CEILING($T141/$I141,1))</f>
        <v/>
      </c>
      <c r="W141" s="6" t="n"/>
    </row>
    <row r="142">
      <c r="A142" t="inlineStr">
        <is>
          <t>W141</t>
        </is>
      </c>
      <c r="B142" s="6" t="n"/>
      <c r="C142" s="6" t="n"/>
      <c r="D142" s="6" t="n"/>
      <c r="E142" s="6" t="n"/>
      <c r="F142">
        <f>IF(E142="","",IMAGE(E142))</f>
        <v/>
      </c>
      <c r="G142" s="6" t="n"/>
      <c r="H142" s="7" t="n"/>
      <c r="I142" s="7" t="n"/>
      <c r="J142" s="6" t="n"/>
      <c r="K142" s="6" t="n"/>
      <c r="L142" s="6" t="n"/>
      <c r="M142" s="6" t="n"/>
      <c r="N142" s="6" t="n"/>
      <c r="O142" s="6" t="n"/>
      <c r="P142" s="8" t="n"/>
      <c r="Q142" s="7" t="n"/>
      <c r="R142" s="9" t="n"/>
      <c r="S142" s="10">
        <f>IF($C142="","",$I142*$R142)</f>
        <v/>
      </c>
      <c r="T142" s="10">
        <f>IF($C142="","",(IF($N142="Purchased",$H142,0)+$Q142))</f>
        <v/>
      </c>
      <c r="U142" s="10">
        <f>IF($C142="","",$S142-$T142)</f>
        <v/>
      </c>
      <c r="V142" s="11">
        <f>IF(OR($C142="",$I142=0),"",CEILING($T142/$I142,1))</f>
        <v/>
      </c>
      <c r="W142" s="6" t="n"/>
    </row>
    <row r="143">
      <c r="A143" t="inlineStr">
        <is>
          <t>W142</t>
        </is>
      </c>
      <c r="B143" s="6" t="n"/>
      <c r="C143" s="6" t="n"/>
      <c r="D143" s="6" t="n"/>
      <c r="E143" s="6" t="n"/>
      <c r="F143">
        <f>IF(E143="","",IMAGE(E143))</f>
        <v/>
      </c>
      <c r="G143" s="6" t="n"/>
      <c r="H143" s="7" t="n"/>
      <c r="I143" s="7" t="n"/>
      <c r="J143" s="6" t="n"/>
      <c r="K143" s="6" t="n"/>
      <c r="L143" s="6" t="n"/>
      <c r="M143" s="6" t="n"/>
      <c r="N143" s="6" t="n"/>
      <c r="O143" s="6" t="n"/>
      <c r="P143" s="8" t="n"/>
      <c r="Q143" s="7" t="n"/>
      <c r="R143" s="9" t="n"/>
      <c r="S143" s="10">
        <f>IF($C143="","",$I143*$R143)</f>
        <v/>
      </c>
      <c r="T143" s="10">
        <f>IF($C143="","",(IF($N143="Purchased",$H143,0)+$Q143))</f>
        <v/>
      </c>
      <c r="U143" s="10">
        <f>IF($C143="","",$S143-$T143)</f>
        <v/>
      </c>
      <c r="V143" s="11">
        <f>IF(OR($C143="",$I143=0),"",CEILING($T143/$I143,1))</f>
        <v/>
      </c>
      <c r="W143" s="6" t="n"/>
    </row>
    <row r="144">
      <c r="A144" t="inlineStr">
        <is>
          <t>W143</t>
        </is>
      </c>
      <c r="B144" s="6" t="n"/>
      <c r="C144" s="6" t="n"/>
      <c r="D144" s="6" t="n"/>
      <c r="E144" s="6" t="n"/>
      <c r="F144">
        <f>IF(E144="","",IMAGE(E144))</f>
        <v/>
      </c>
      <c r="G144" s="6" t="n"/>
      <c r="H144" s="7" t="n"/>
      <c r="I144" s="7" t="n"/>
      <c r="J144" s="6" t="n"/>
      <c r="K144" s="6" t="n"/>
      <c r="L144" s="6" t="n"/>
      <c r="M144" s="6" t="n"/>
      <c r="N144" s="6" t="n"/>
      <c r="O144" s="6" t="n"/>
      <c r="P144" s="8" t="n"/>
      <c r="Q144" s="7" t="n"/>
      <c r="R144" s="9" t="n"/>
      <c r="S144" s="10">
        <f>IF($C144="","",$I144*$R144)</f>
        <v/>
      </c>
      <c r="T144" s="10">
        <f>IF($C144="","",(IF($N144="Purchased",$H144,0)+$Q144))</f>
        <v/>
      </c>
      <c r="U144" s="10">
        <f>IF($C144="","",$S144-$T144)</f>
        <v/>
      </c>
      <c r="V144" s="11">
        <f>IF(OR($C144="",$I144=0),"",CEILING($T144/$I144,1))</f>
        <v/>
      </c>
      <c r="W144" s="6" t="n"/>
    </row>
    <row r="145">
      <c r="A145" t="inlineStr">
        <is>
          <t>W144</t>
        </is>
      </c>
      <c r="B145" s="6" t="n"/>
      <c r="C145" s="6" t="n"/>
      <c r="D145" s="6" t="n"/>
      <c r="E145" s="6" t="n"/>
      <c r="F145">
        <f>IF(E145="","",IMAGE(E145))</f>
        <v/>
      </c>
      <c r="G145" s="6" t="n"/>
      <c r="H145" s="7" t="n"/>
      <c r="I145" s="7" t="n"/>
      <c r="J145" s="6" t="n"/>
      <c r="K145" s="6" t="n"/>
      <c r="L145" s="6" t="n"/>
      <c r="M145" s="6" t="n"/>
      <c r="N145" s="6" t="n"/>
      <c r="O145" s="6" t="n"/>
      <c r="P145" s="8" t="n"/>
      <c r="Q145" s="7" t="n"/>
      <c r="R145" s="9" t="n"/>
      <c r="S145" s="10">
        <f>IF($C145="","",$I145*$R145)</f>
        <v/>
      </c>
      <c r="T145" s="10">
        <f>IF($C145="","",(IF($N145="Purchased",$H145,0)+$Q145))</f>
        <v/>
      </c>
      <c r="U145" s="10">
        <f>IF($C145="","",$S145-$T145)</f>
        <v/>
      </c>
      <c r="V145" s="11">
        <f>IF(OR($C145="",$I145=0),"",CEILING($T145/$I145,1))</f>
        <v/>
      </c>
      <c r="W145" s="6" t="n"/>
    </row>
    <row r="146">
      <c r="A146" t="inlineStr">
        <is>
          <t>W145</t>
        </is>
      </c>
      <c r="B146" s="6" t="n"/>
      <c r="C146" s="6" t="n"/>
      <c r="D146" s="6" t="n"/>
      <c r="E146" s="6" t="n"/>
      <c r="F146">
        <f>IF(E146="","",IMAGE(E146))</f>
        <v/>
      </c>
      <c r="G146" s="6" t="n"/>
      <c r="H146" s="7" t="n"/>
      <c r="I146" s="7" t="n"/>
      <c r="J146" s="6" t="n"/>
      <c r="K146" s="6" t="n"/>
      <c r="L146" s="6" t="n"/>
      <c r="M146" s="6" t="n"/>
      <c r="N146" s="6" t="n"/>
      <c r="O146" s="6" t="n"/>
      <c r="P146" s="8" t="n"/>
      <c r="Q146" s="7" t="n"/>
      <c r="R146" s="9" t="n"/>
      <c r="S146" s="10">
        <f>IF($C146="","",$I146*$R146)</f>
        <v/>
      </c>
      <c r="T146" s="10">
        <f>IF($C146="","",(IF($N146="Purchased",$H146,0)+$Q146))</f>
        <v/>
      </c>
      <c r="U146" s="10">
        <f>IF($C146="","",$S146-$T146)</f>
        <v/>
      </c>
      <c r="V146" s="11">
        <f>IF(OR($C146="",$I146=0),"",CEILING($T146/$I146,1))</f>
        <v/>
      </c>
      <c r="W146" s="6" t="n"/>
    </row>
    <row r="147">
      <c r="A147" t="inlineStr">
        <is>
          <t>W146</t>
        </is>
      </c>
      <c r="B147" s="6" t="n"/>
      <c r="C147" s="6" t="n"/>
      <c r="D147" s="6" t="n"/>
      <c r="E147" s="6" t="n"/>
      <c r="F147">
        <f>IF(E147="","",IMAGE(E147))</f>
        <v/>
      </c>
      <c r="G147" s="6" t="n"/>
      <c r="H147" s="7" t="n"/>
      <c r="I147" s="7" t="n"/>
      <c r="J147" s="6" t="n"/>
      <c r="K147" s="6" t="n"/>
      <c r="L147" s="6" t="n"/>
      <c r="M147" s="6" t="n"/>
      <c r="N147" s="6" t="n"/>
      <c r="O147" s="6" t="n"/>
      <c r="P147" s="8" t="n"/>
      <c r="Q147" s="7" t="n"/>
      <c r="R147" s="9" t="n"/>
      <c r="S147" s="10">
        <f>IF($C147="","",$I147*$R147)</f>
        <v/>
      </c>
      <c r="T147" s="10">
        <f>IF($C147="","",(IF($N147="Purchased",$H147,0)+$Q147))</f>
        <v/>
      </c>
      <c r="U147" s="10">
        <f>IF($C147="","",$S147-$T147)</f>
        <v/>
      </c>
      <c r="V147" s="11">
        <f>IF(OR($C147="",$I147=0),"",CEILING($T147/$I147,1))</f>
        <v/>
      </c>
      <c r="W147" s="6" t="n"/>
    </row>
    <row r="148">
      <c r="A148" t="inlineStr">
        <is>
          <t>W147</t>
        </is>
      </c>
      <c r="B148" s="6" t="n"/>
      <c r="C148" s="6" t="n"/>
      <c r="D148" s="6" t="n"/>
      <c r="E148" s="6" t="n"/>
      <c r="F148">
        <f>IF(E148="","",IMAGE(E148))</f>
        <v/>
      </c>
      <c r="G148" s="6" t="n"/>
      <c r="H148" s="7" t="n"/>
      <c r="I148" s="7" t="n"/>
      <c r="J148" s="6" t="n"/>
      <c r="K148" s="6" t="n"/>
      <c r="L148" s="6" t="n"/>
      <c r="M148" s="6" t="n"/>
      <c r="N148" s="6" t="n"/>
      <c r="O148" s="6" t="n"/>
      <c r="P148" s="8" t="n"/>
      <c r="Q148" s="7" t="n"/>
      <c r="R148" s="9" t="n"/>
      <c r="S148" s="10">
        <f>IF($C148="","",$I148*$R148)</f>
        <v/>
      </c>
      <c r="T148" s="10">
        <f>IF($C148="","",(IF($N148="Purchased",$H148,0)+$Q148))</f>
        <v/>
      </c>
      <c r="U148" s="10">
        <f>IF($C148="","",$S148-$T148)</f>
        <v/>
      </c>
      <c r="V148" s="11">
        <f>IF(OR($C148="",$I148=0),"",CEILING($T148/$I148,1))</f>
        <v/>
      </c>
      <c r="W148" s="6" t="n"/>
    </row>
    <row r="149">
      <c r="A149" t="inlineStr">
        <is>
          <t>W148</t>
        </is>
      </c>
      <c r="B149" s="6" t="n"/>
      <c r="C149" s="6" t="n"/>
      <c r="D149" s="6" t="n"/>
      <c r="E149" s="6" t="n"/>
      <c r="F149">
        <f>IF(E149="","",IMAGE(E149))</f>
        <v/>
      </c>
      <c r="G149" s="6" t="n"/>
      <c r="H149" s="7" t="n"/>
      <c r="I149" s="7" t="n"/>
      <c r="J149" s="6" t="n"/>
      <c r="K149" s="6" t="n"/>
      <c r="L149" s="6" t="n"/>
      <c r="M149" s="6" t="n"/>
      <c r="N149" s="6" t="n"/>
      <c r="O149" s="6" t="n"/>
      <c r="P149" s="8" t="n"/>
      <c r="Q149" s="7" t="n"/>
      <c r="R149" s="9" t="n"/>
      <c r="S149" s="10">
        <f>IF($C149="","",$I149*$R149)</f>
        <v/>
      </c>
      <c r="T149" s="10">
        <f>IF($C149="","",(IF($N149="Purchased",$H149,0)+$Q149))</f>
        <v/>
      </c>
      <c r="U149" s="10">
        <f>IF($C149="","",$S149-$T149)</f>
        <v/>
      </c>
      <c r="V149" s="11">
        <f>IF(OR($C149="",$I149=0),"",CEILING($T149/$I149,1))</f>
        <v/>
      </c>
      <c r="W149" s="6" t="n"/>
    </row>
    <row r="150">
      <c r="A150" t="inlineStr">
        <is>
          <t>W149</t>
        </is>
      </c>
      <c r="B150" s="6" t="n"/>
      <c r="C150" s="6" t="n"/>
      <c r="D150" s="6" t="n"/>
      <c r="E150" s="6" t="n"/>
      <c r="F150">
        <f>IF(E150="","",IMAGE(E150))</f>
        <v/>
      </c>
      <c r="G150" s="6" t="n"/>
      <c r="H150" s="7" t="n"/>
      <c r="I150" s="7" t="n"/>
      <c r="J150" s="6" t="n"/>
      <c r="K150" s="6" t="n"/>
      <c r="L150" s="6" t="n"/>
      <c r="M150" s="6" t="n"/>
      <c r="N150" s="6" t="n"/>
      <c r="O150" s="6" t="n"/>
      <c r="P150" s="8" t="n"/>
      <c r="Q150" s="7" t="n"/>
      <c r="R150" s="9" t="n"/>
      <c r="S150" s="10">
        <f>IF($C150="","",$I150*$R150)</f>
        <v/>
      </c>
      <c r="T150" s="10">
        <f>IF($C150="","",(IF($N150="Purchased",$H150,0)+$Q150))</f>
        <v/>
      </c>
      <c r="U150" s="10">
        <f>IF($C150="","",$S150-$T150)</f>
        <v/>
      </c>
      <c r="V150" s="11">
        <f>IF(OR($C150="",$I150=0),"",CEILING($T150/$I150,1))</f>
        <v/>
      </c>
      <c r="W150" s="6" t="n"/>
    </row>
    <row r="151">
      <c r="A151" t="inlineStr">
        <is>
          <t>W150</t>
        </is>
      </c>
      <c r="B151" s="6" t="n"/>
      <c r="C151" s="6" t="n"/>
      <c r="D151" s="6" t="n"/>
      <c r="E151" s="6" t="n"/>
      <c r="F151">
        <f>IF(E151="","",IMAGE(E151))</f>
        <v/>
      </c>
      <c r="G151" s="6" t="n"/>
      <c r="H151" s="7" t="n"/>
      <c r="I151" s="7" t="n"/>
      <c r="J151" s="6" t="n"/>
      <c r="K151" s="6" t="n"/>
      <c r="L151" s="6" t="n"/>
      <c r="M151" s="6" t="n"/>
      <c r="N151" s="6" t="n"/>
      <c r="O151" s="6" t="n"/>
      <c r="P151" s="8" t="n"/>
      <c r="Q151" s="7" t="n"/>
      <c r="R151" s="9" t="n"/>
      <c r="S151" s="10">
        <f>IF($C151="","",$I151*$R151)</f>
        <v/>
      </c>
      <c r="T151" s="10">
        <f>IF($C151="","",(IF($N151="Purchased",$H151,0)+$Q151))</f>
        <v/>
      </c>
      <c r="U151" s="10">
        <f>IF($C151="","",$S151-$T151)</f>
        <v/>
      </c>
      <c r="V151" s="11">
        <f>IF(OR($C151="",$I151=0),"",CEILING($T151/$I151,1))</f>
        <v/>
      </c>
      <c r="W151" s="6" t="n"/>
    </row>
    <row r="152">
      <c r="A152" t="inlineStr">
        <is>
          <t>W151</t>
        </is>
      </c>
      <c r="B152" s="6" t="n"/>
      <c r="C152" s="6" t="n"/>
      <c r="D152" s="6" t="n"/>
      <c r="E152" s="6" t="n"/>
      <c r="F152">
        <f>IF(E152="","",IMAGE(E152))</f>
        <v/>
      </c>
      <c r="G152" s="6" t="n"/>
      <c r="H152" s="7" t="n"/>
      <c r="I152" s="7" t="n"/>
      <c r="J152" s="6" t="n"/>
      <c r="K152" s="6" t="n"/>
      <c r="L152" s="6" t="n"/>
      <c r="M152" s="6" t="n"/>
      <c r="N152" s="6" t="n"/>
      <c r="O152" s="6" t="n"/>
      <c r="P152" s="8" t="n"/>
      <c r="Q152" s="7" t="n"/>
      <c r="R152" s="9" t="n"/>
      <c r="S152" s="10">
        <f>IF($C152="","",$I152*$R152)</f>
        <v/>
      </c>
      <c r="T152" s="10">
        <f>IF($C152="","",(IF($N152="Purchased",$H152,0)+$Q152))</f>
        <v/>
      </c>
      <c r="U152" s="10">
        <f>IF($C152="","",$S152-$T152)</f>
        <v/>
      </c>
      <c r="V152" s="11">
        <f>IF(OR($C152="",$I152=0),"",CEILING($T152/$I152,1))</f>
        <v/>
      </c>
      <c r="W152" s="6" t="n"/>
    </row>
    <row r="153">
      <c r="A153" t="inlineStr">
        <is>
          <t>W152</t>
        </is>
      </c>
      <c r="B153" s="6" t="n"/>
      <c r="C153" s="6" t="n"/>
      <c r="D153" s="6" t="n"/>
      <c r="E153" s="6" t="n"/>
      <c r="F153">
        <f>IF(E153="","",IMAGE(E153))</f>
        <v/>
      </c>
      <c r="G153" s="6" t="n"/>
      <c r="H153" s="7" t="n"/>
      <c r="I153" s="7" t="n"/>
      <c r="J153" s="6" t="n"/>
      <c r="K153" s="6" t="n"/>
      <c r="L153" s="6" t="n"/>
      <c r="M153" s="6" t="n"/>
      <c r="N153" s="6" t="n"/>
      <c r="O153" s="6" t="n"/>
      <c r="P153" s="8" t="n"/>
      <c r="Q153" s="7" t="n"/>
      <c r="R153" s="9" t="n"/>
      <c r="S153" s="10">
        <f>IF($C153="","",$I153*$R153)</f>
        <v/>
      </c>
      <c r="T153" s="10">
        <f>IF($C153="","",(IF($N153="Purchased",$H153,0)+$Q153))</f>
        <v/>
      </c>
      <c r="U153" s="10">
        <f>IF($C153="","",$S153-$T153)</f>
        <v/>
      </c>
      <c r="V153" s="11">
        <f>IF(OR($C153="",$I153=0),"",CEILING($T153/$I153,1))</f>
        <v/>
      </c>
      <c r="W153" s="6" t="n"/>
    </row>
    <row r="154">
      <c r="A154" t="inlineStr">
        <is>
          <t>W153</t>
        </is>
      </c>
      <c r="B154" s="6" t="n"/>
      <c r="C154" s="6" t="n"/>
      <c r="D154" s="6" t="n"/>
      <c r="E154" s="6" t="n"/>
      <c r="F154">
        <f>IF(E154="","",IMAGE(E154))</f>
        <v/>
      </c>
      <c r="G154" s="6" t="n"/>
      <c r="H154" s="7" t="n"/>
      <c r="I154" s="7" t="n"/>
      <c r="J154" s="6" t="n"/>
      <c r="K154" s="6" t="n"/>
      <c r="L154" s="6" t="n"/>
      <c r="M154" s="6" t="n"/>
      <c r="N154" s="6" t="n"/>
      <c r="O154" s="6" t="n"/>
      <c r="P154" s="8" t="n"/>
      <c r="Q154" s="7" t="n"/>
      <c r="R154" s="9" t="n"/>
      <c r="S154" s="10">
        <f>IF($C154="","",$I154*$R154)</f>
        <v/>
      </c>
      <c r="T154" s="10">
        <f>IF($C154="","",(IF($N154="Purchased",$H154,0)+$Q154))</f>
        <v/>
      </c>
      <c r="U154" s="10">
        <f>IF($C154="","",$S154-$T154)</f>
        <v/>
      </c>
      <c r="V154" s="11">
        <f>IF(OR($C154="",$I154=0),"",CEILING($T154/$I154,1))</f>
        <v/>
      </c>
      <c r="W154" s="6" t="n"/>
    </row>
    <row r="155">
      <c r="A155" t="inlineStr">
        <is>
          <t>W154</t>
        </is>
      </c>
      <c r="B155" s="6" t="n"/>
      <c r="C155" s="6" t="n"/>
      <c r="D155" s="6" t="n"/>
      <c r="E155" s="6" t="n"/>
      <c r="F155">
        <f>IF(E155="","",IMAGE(E155))</f>
        <v/>
      </c>
      <c r="G155" s="6" t="n"/>
      <c r="H155" s="7" t="n"/>
      <c r="I155" s="7" t="n"/>
      <c r="J155" s="6" t="n"/>
      <c r="K155" s="6" t="n"/>
      <c r="L155" s="6" t="n"/>
      <c r="M155" s="6" t="n"/>
      <c r="N155" s="6" t="n"/>
      <c r="O155" s="6" t="n"/>
      <c r="P155" s="8" t="n"/>
      <c r="Q155" s="7" t="n"/>
      <c r="R155" s="9" t="n"/>
      <c r="S155" s="10">
        <f>IF($C155="","",$I155*$R155)</f>
        <v/>
      </c>
      <c r="T155" s="10">
        <f>IF($C155="","",(IF($N155="Purchased",$H155,0)+$Q155))</f>
        <v/>
      </c>
      <c r="U155" s="10">
        <f>IF($C155="","",$S155-$T155)</f>
        <v/>
      </c>
      <c r="V155" s="11">
        <f>IF(OR($C155="",$I155=0),"",CEILING($T155/$I155,1))</f>
        <v/>
      </c>
      <c r="W155" s="6" t="n"/>
    </row>
    <row r="156">
      <c r="A156" t="inlineStr">
        <is>
          <t>W155</t>
        </is>
      </c>
      <c r="B156" s="6" t="n"/>
      <c r="C156" s="6" t="n"/>
      <c r="D156" s="6" t="n"/>
      <c r="E156" s="6" t="n"/>
      <c r="F156">
        <f>IF(E156="","",IMAGE(E156))</f>
        <v/>
      </c>
      <c r="G156" s="6" t="n"/>
      <c r="H156" s="7" t="n"/>
      <c r="I156" s="7" t="n"/>
      <c r="J156" s="6" t="n"/>
      <c r="K156" s="6" t="n"/>
      <c r="L156" s="6" t="n"/>
      <c r="M156" s="6" t="n"/>
      <c r="N156" s="6" t="n"/>
      <c r="O156" s="6" t="n"/>
      <c r="P156" s="8" t="n"/>
      <c r="Q156" s="7" t="n"/>
      <c r="R156" s="9" t="n"/>
      <c r="S156" s="10">
        <f>IF($C156="","",$I156*$R156)</f>
        <v/>
      </c>
      <c r="T156" s="10">
        <f>IF($C156="","",(IF($N156="Purchased",$H156,0)+$Q156))</f>
        <v/>
      </c>
      <c r="U156" s="10">
        <f>IF($C156="","",$S156-$T156)</f>
        <v/>
      </c>
      <c r="V156" s="11">
        <f>IF(OR($C156="",$I156=0),"",CEILING($T156/$I156,1))</f>
        <v/>
      </c>
      <c r="W156" s="6" t="n"/>
    </row>
    <row r="157">
      <c r="A157" t="inlineStr">
        <is>
          <t>W156</t>
        </is>
      </c>
      <c r="B157" s="6" t="n"/>
      <c r="C157" s="6" t="n"/>
      <c r="D157" s="6" t="n"/>
      <c r="E157" s="6" t="n"/>
      <c r="F157">
        <f>IF(E157="","",IMAGE(E157))</f>
        <v/>
      </c>
      <c r="G157" s="6" t="n"/>
      <c r="H157" s="7" t="n"/>
      <c r="I157" s="7" t="n"/>
      <c r="J157" s="6" t="n"/>
      <c r="K157" s="6" t="n"/>
      <c r="L157" s="6" t="n"/>
      <c r="M157" s="6" t="n"/>
      <c r="N157" s="6" t="n"/>
      <c r="O157" s="6" t="n"/>
      <c r="P157" s="8" t="n"/>
      <c r="Q157" s="7" t="n"/>
      <c r="R157" s="9" t="n"/>
      <c r="S157" s="10">
        <f>IF($C157="","",$I157*$R157)</f>
        <v/>
      </c>
      <c r="T157" s="10">
        <f>IF($C157="","",(IF($N157="Purchased",$H157,0)+$Q157))</f>
        <v/>
      </c>
      <c r="U157" s="10">
        <f>IF($C157="","",$S157-$T157)</f>
        <v/>
      </c>
      <c r="V157" s="11">
        <f>IF(OR($C157="",$I157=0),"",CEILING($T157/$I157,1))</f>
        <v/>
      </c>
      <c r="W157" s="6" t="n"/>
    </row>
    <row r="158">
      <c r="A158" t="inlineStr">
        <is>
          <t>W157</t>
        </is>
      </c>
      <c r="B158" s="6" t="n"/>
      <c r="C158" s="6" t="n"/>
      <c r="D158" s="6" t="n"/>
      <c r="E158" s="6" t="n"/>
      <c r="F158">
        <f>IF(E158="","",IMAGE(E158))</f>
        <v/>
      </c>
      <c r="G158" s="6" t="n"/>
      <c r="H158" s="7" t="n"/>
      <c r="I158" s="7" t="n"/>
      <c r="J158" s="6" t="n"/>
      <c r="K158" s="6" t="n"/>
      <c r="L158" s="6" t="n"/>
      <c r="M158" s="6" t="n"/>
      <c r="N158" s="6" t="n"/>
      <c r="O158" s="6" t="n"/>
      <c r="P158" s="8" t="n"/>
      <c r="Q158" s="7" t="n"/>
      <c r="R158" s="9" t="n"/>
      <c r="S158" s="10">
        <f>IF($C158="","",$I158*$R158)</f>
        <v/>
      </c>
      <c r="T158" s="10">
        <f>IF($C158="","",(IF($N158="Purchased",$H158,0)+$Q158))</f>
        <v/>
      </c>
      <c r="U158" s="10">
        <f>IF($C158="","",$S158-$T158)</f>
        <v/>
      </c>
      <c r="V158" s="11">
        <f>IF(OR($C158="",$I158=0),"",CEILING($T158/$I158,1))</f>
        <v/>
      </c>
      <c r="W158" s="6" t="n"/>
    </row>
    <row r="159">
      <c r="A159" t="inlineStr">
        <is>
          <t>W158</t>
        </is>
      </c>
      <c r="B159" s="6" t="n"/>
      <c r="C159" s="6" t="n"/>
      <c r="D159" s="6" t="n"/>
      <c r="E159" s="6" t="n"/>
      <c r="F159">
        <f>IF(E159="","",IMAGE(E159))</f>
        <v/>
      </c>
      <c r="G159" s="6" t="n"/>
      <c r="H159" s="7" t="n"/>
      <c r="I159" s="7" t="n"/>
      <c r="J159" s="6" t="n"/>
      <c r="K159" s="6" t="n"/>
      <c r="L159" s="6" t="n"/>
      <c r="M159" s="6" t="n"/>
      <c r="N159" s="6" t="n"/>
      <c r="O159" s="6" t="n"/>
      <c r="P159" s="8" t="n"/>
      <c r="Q159" s="7" t="n"/>
      <c r="R159" s="9" t="n"/>
      <c r="S159" s="10">
        <f>IF($C159="","",$I159*$R159)</f>
        <v/>
      </c>
      <c r="T159" s="10">
        <f>IF($C159="","",(IF($N159="Purchased",$H159,0)+$Q159))</f>
        <v/>
      </c>
      <c r="U159" s="10">
        <f>IF($C159="","",$S159-$T159)</f>
        <v/>
      </c>
      <c r="V159" s="11">
        <f>IF(OR($C159="",$I159=0),"",CEILING($T159/$I159,1))</f>
        <v/>
      </c>
      <c r="W159" s="6" t="n"/>
    </row>
    <row r="160">
      <c r="A160" t="inlineStr">
        <is>
          <t>W159</t>
        </is>
      </c>
      <c r="B160" s="6" t="n"/>
      <c r="C160" s="6" t="n"/>
      <c r="D160" s="6" t="n"/>
      <c r="E160" s="6" t="n"/>
      <c r="F160">
        <f>IF(E160="","",IMAGE(E160))</f>
        <v/>
      </c>
      <c r="G160" s="6" t="n"/>
      <c r="H160" s="7" t="n"/>
      <c r="I160" s="7" t="n"/>
      <c r="J160" s="6" t="n"/>
      <c r="K160" s="6" t="n"/>
      <c r="L160" s="6" t="n"/>
      <c r="M160" s="6" t="n"/>
      <c r="N160" s="6" t="n"/>
      <c r="O160" s="6" t="n"/>
      <c r="P160" s="8" t="n"/>
      <c r="Q160" s="7" t="n"/>
      <c r="R160" s="9" t="n"/>
      <c r="S160" s="10">
        <f>IF($C160="","",$I160*$R160)</f>
        <v/>
      </c>
      <c r="T160" s="10">
        <f>IF($C160="","",(IF($N160="Purchased",$H160,0)+$Q160))</f>
        <v/>
      </c>
      <c r="U160" s="10">
        <f>IF($C160="","",$S160-$T160)</f>
        <v/>
      </c>
      <c r="V160" s="11">
        <f>IF(OR($C160="",$I160=0),"",CEILING($T160/$I160,1))</f>
        <v/>
      </c>
      <c r="W160" s="6" t="n"/>
    </row>
    <row r="161">
      <c r="A161" t="inlineStr">
        <is>
          <t>W160</t>
        </is>
      </c>
      <c r="B161" s="6" t="n"/>
      <c r="C161" s="6" t="n"/>
      <c r="D161" s="6" t="n"/>
      <c r="E161" s="6" t="n"/>
      <c r="F161">
        <f>IF(E161="","",IMAGE(E161))</f>
        <v/>
      </c>
      <c r="G161" s="6" t="n"/>
      <c r="H161" s="7" t="n"/>
      <c r="I161" s="7" t="n"/>
      <c r="J161" s="6" t="n"/>
      <c r="K161" s="6" t="n"/>
      <c r="L161" s="6" t="n"/>
      <c r="M161" s="6" t="n"/>
      <c r="N161" s="6" t="n"/>
      <c r="O161" s="6" t="n"/>
      <c r="P161" s="8" t="n"/>
      <c r="Q161" s="7" t="n"/>
      <c r="R161" s="9" t="n"/>
      <c r="S161" s="10">
        <f>IF($C161="","",$I161*$R161)</f>
        <v/>
      </c>
      <c r="T161" s="10">
        <f>IF($C161="","",(IF($N161="Purchased",$H161,0)+$Q161))</f>
        <v/>
      </c>
      <c r="U161" s="10">
        <f>IF($C161="","",$S161-$T161)</f>
        <v/>
      </c>
      <c r="V161" s="11">
        <f>IF(OR($C161="",$I161=0),"",CEILING($T161/$I161,1))</f>
        <v/>
      </c>
      <c r="W161" s="6" t="n"/>
    </row>
    <row r="162">
      <c r="A162" t="inlineStr">
        <is>
          <t>W161</t>
        </is>
      </c>
      <c r="B162" s="6" t="n"/>
      <c r="C162" s="6" t="n"/>
      <c r="D162" s="6" t="n"/>
      <c r="E162" s="6" t="n"/>
      <c r="F162">
        <f>IF(E162="","",IMAGE(E162))</f>
        <v/>
      </c>
      <c r="G162" s="6" t="n"/>
      <c r="H162" s="7" t="n"/>
      <c r="I162" s="7" t="n"/>
      <c r="J162" s="6" t="n"/>
      <c r="K162" s="6" t="n"/>
      <c r="L162" s="6" t="n"/>
      <c r="M162" s="6" t="n"/>
      <c r="N162" s="6" t="n"/>
      <c r="O162" s="6" t="n"/>
      <c r="P162" s="8" t="n"/>
      <c r="Q162" s="7" t="n"/>
      <c r="R162" s="9" t="n"/>
      <c r="S162" s="10">
        <f>IF($C162="","",$I162*$R162)</f>
        <v/>
      </c>
      <c r="T162" s="10">
        <f>IF($C162="","",(IF($N162="Purchased",$H162,0)+$Q162))</f>
        <v/>
      </c>
      <c r="U162" s="10">
        <f>IF($C162="","",$S162-$T162)</f>
        <v/>
      </c>
      <c r="V162" s="11">
        <f>IF(OR($C162="",$I162=0),"",CEILING($T162/$I162,1))</f>
        <v/>
      </c>
      <c r="W162" s="6" t="n"/>
    </row>
    <row r="163">
      <c r="A163" t="inlineStr">
        <is>
          <t>W162</t>
        </is>
      </c>
      <c r="B163" s="6" t="n"/>
      <c r="C163" s="6" t="n"/>
      <c r="D163" s="6" t="n"/>
      <c r="E163" s="6" t="n"/>
      <c r="F163">
        <f>IF(E163="","",IMAGE(E163))</f>
        <v/>
      </c>
      <c r="G163" s="6" t="n"/>
      <c r="H163" s="7" t="n"/>
      <c r="I163" s="7" t="n"/>
      <c r="J163" s="6" t="n"/>
      <c r="K163" s="6" t="n"/>
      <c r="L163" s="6" t="n"/>
      <c r="M163" s="6" t="n"/>
      <c r="N163" s="6" t="n"/>
      <c r="O163" s="6" t="n"/>
      <c r="P163" s="8" t="n"/>
      <c r="Q163" s="7" t="n"/>
      <c r="R163" s="9" t="n"/>
      <c r="S163" s="10">
        <f>IF($C163="","",$I163*$R163)</f>
        <v/>
      </c>
      <c r="T163" s="10">
        <f>IF($C163="","",(IF($N163="Purchased",$H163,0)+$Q163))</f>
        <v/>
      </c>
      <c r="U163" s="10">
        <f>IF($C163="","",$S163-$T163)</f>
        <v/>
      </c>
      <c r="V163" s="11">
        <f>IF(OR($C163="",$I163=0),"",CEILING($T163/$I163,1))</f>
        <v/>
      </c>
      <c r="W163" s="6" t="n"/>
    </row>
    <row r="164">
      <c r="A164" t="inlineStr">
        <is>
          <t>W163</t>
        </is>
      </c>
      <c r="B164" s="6" t="n"/>
      <c r="C164" s="6" t="n"/>
      <c r="D164" s="6" t="n"/>
      <c r="E164" s="6" t="n"/>
      <c r="F164">
        <f>IF(E164="","",IMAGE(E164))</f>
        <v/>
      </c>
      <c r="G164" s="6" t="n"/>
      <c r="H164" s="7" t="n"/>
      <c r="I164" s="7" t="n"/>
      <c r="J164" s="6" t="n"/>
      <c r="K164" s="6" t="n"/>
      <c r="L164" s="6" t="n"/>
      <c r="M164" s="6" t="n"/>
      <c r="N164" s="6" t="n"/>
      <c r="O164" s="6" t="n"/>
      <c r="P164" s="8" t="n"/>
      <c r="Q164" s="7" t="n"/>
      <c r="R164" s="9" t="n"/>
      <c r="S164" s="10">
        <f>IF($C164="","",$I164*$R164)</f>
        <v/>
      </c>
      <c r="T164" s="10">
        <f>IF($C164="","",(IF($N164="Purchased",$H164,0)+$Q164))</f>
        <v/>
      </c>
      <c r="U164" s="10">
        <f>IF($C164="","",$S164-$T164)</f>
        <v/>
      </c>
      <c r="V164" s="11">
        <f>IF(OR($C164="",$I164=0),"",CEILING($T164/$I164,1))</f>
        <v/>
      </c>
      <c r="W164" s="6" t="n"/>
    </row>
    <row r="165">
      <c r="A165" t="inlineStr">
        <is>
          <t>W164</t>
        </is>
      </c>
      <c r="B165" s="6" t="n"/>
      <c r="C165" s="6" t="n"/>
      <c r="D165" s="6" t="n"/>
      <c r="E165" s="6" t="n"/>
      <c r="F165">
        <f>IF(E165="","",IMAGE(E165))</f>
        <v/>
      </c>
      <c r="G165" s="6" t="n"/>
      <c r="H165" s="7" t="n"/>
      <c r="I165" s="7" t="n"/>
      <c r="J165" s="6" t="n"/>
      <c r="K165" s="6" t="n"/>
      <c r="L165" s="6" t="n"/>
      <c r="M165" s="6" t="n"/>
      <c r="N165" s="6" t="n"/>
      <c r="O165" s="6" t="n"/>
      <c r="P165" s="8" t="n"/>
      <c r="Q165" s="7" t="n"/>
      <c r="R165" s="9" t="n"/>
      <c r="S165" s="10">
        <f>IF($C165="","",$I165*$R165)</f>
        <v/>
      </c>
      <c r="T165" s="10">
        <f>IF($C165="","",(IF($N165="Purchased",$H165,0)+$Q165))</f>
        <v/>
      </c>
      <c r="U165" s="10">
        <f>IF($C165="","",$S165-$T165)</f>
        <v/>
      </c>
      <c r="V165" s="11">
        <f>IF(OR($C165="",$I165=0),"",CEILING($T165/$I165,1))</f>
        <v/>
      </c>
      <c r="W165" s="6" t="n"/>
    </row>
    <row r="166">
      <c r="A166" t="inlineStr">
        <is>
          <t>W165</t>
        </is>
      </c>
      <c r="B166" s="6" t="n"/>
      <c r="C166" s="6" t="n"/>
      <c r="D166" s="6" t="n"/>
      <c r="E166" s="6" t="n"/>
      <c r="F166">
        <f>IF(E166="","",IMAGE(E166))</f>
        <v/>
      </c>
      <c r="G166" s="6" t="n"/>
      <c r="H166" s="7" t="n"/>
      <c r="I166" s="7" t="n"/>
      <c r="J166" s="6" t="n"/>
      <c r="K166" s="6" t="n"/>
      <c r="L166" s="6" t="n"/>
      <c r="M166" s="6" t="n"/>
      <c r="N166" s="6" t="n"/>
      <c r="O166" s="6" t="n"/>
      <c r="P166" s="8" t="n"/>
      <c r="Q166" s="7" t="n"/>
      <c r="R166" s="9" t="n"/>
      <c r="S166" s="10">
        <f>IF($C166="","",$I166*$R166)</f>
        <v/>
      </c>
      <c r="T166" s="10">
        <f>IF($C166="","",(IF($N166="Purchased",$H166,0)+$Q166))</f>
        <v/>
      </c>
      <c r="U166" s="10">
        <f>IF($C166="","",$S166-$T166)</f>
        <v/>
      </c>
      <c r="V166" s="11">
        <f>IF(OR($C166="",$I166=0),"",CEILING($T166/$I166,1))</f>
        <v/>
      </c>
      <c r="W166" s="6" t="n"/>
    </row>
    <row r="167">
      <c r="A167" t="inlineStr">
        <is>
          <t>W166</t>
        </is>
      </c>
      <c r="B167" s="6" t="n"/>
      <c r="C167" s="6" t="n"/>
      <c r="D167" s="6" t="n"/>
      <c r="E167" s="6" t="n"/>
      <c r="F167">
        <f>IF(E167="","",IMAGE(E167))</f>
        <v/>
      </c>
      <c r="G167" s="6" t="n"/>
      <c r="H167" s="7" t="n"/>
      <c r="I167" s="7" t="n"/>
      <c r="J167" s="6" t="n"/>
      <c r="K167" s="6" t="n"/>
      <c r="L167" s="6" t="n"/>
      <c r="M167" s="6" t="n"/>
      <c r="N167" s="6" t="n"/>
      <c r="O167" s="6" t="n"/>
      <c r="P167" s="8" t="n"/>
      <c r="Q167" s="7" t="n"/>
      <c r="R167" s="9" t="n"/>
      <c r="S167" s="10">
        <f>IF($C167="","",$I167*$R167)</f>
        <v/>
      </c>
      <c r="T167" s="10">
        <f>IF($C167="","",(IF($N167="Purchased",$H167,0)+$Q167))</f>
        <v/>
      </c>
      <c r="U167" s="10">
        <f>IF($C167="","",$S167-$T167)</f>
        <v/>
      </c>
      <c r="V167" s="11">
        <f>IF(OR($C167="",$I167=0),"",CEILING($T167/$I167,1))</f>
        <v/>
      </c>
      <c r="W167" s="6" t="n"/>
    </row>
    <row r="168">
      <c r="A168" t="inlineStr">
        <is>
          <t>W167</t>
        </is>
      </c>
      <c r="B168" s="6" t="n"/>
      <c r="C168" s="6" t="n"/>
      <c r="D168" s="6" t="n"/>
      <c r="E168" s="6" t="n"/>
      <c r="F168">
        <f>IF(E168="","",IMAGE(E168))</f>
        <v/>
      </c>
      <c r="G168" s="6" t="n"/>
      <c r="H168" s="7" t="n"/>
      <c r="I168" s="7" t="n"/>
      <c r="J168" s="6" t="n"/>
      <c r="K168" s="6" t="n"/>
      <c r="L168" s="6" t="n"/>
      <c r="M168" s="6" t="n"/>
      <c r="N168" s="6" t="n"/>
      <c r="O168" s="6" t="n"/>
      <c r="P168" s="8" t="n"/>
      <c r="Q168" s="7" t="n"/>
      <c r="R168" s="9" t="n"/>
      <c r="S168" s="10">
        <f>IF($C168="","",$I168*$R168)</f>
        <v/>
      </c>
      <c r="T168" s="10">
        <f>IF($C168="","",(IF($N168="Purchased",$H168,0)+$Q168))</f>
        <v/>
      </c>
      <c r="U168" s="10">
        <f>IF($C168="","",$S168-$T168)</f>
        <v/>
      </c>
      <c r="V168" s="11">
        <f>IF(OR($C168="",$I168=0),"",CEILING($T168/$I168,1))</f>
        <v/>
      </c>
      <c r="W168" s="6" t="n"/>
    </row>
    <row r="169">
      <c r="A169" t="inlineStr">
        <is>
          <t>W168</t>
        </is>
      </c>
      <c r="B169" s="6" t="n"/>
      <c r="C169" s="6" t="n"/>
      <c r="D169" s="6" t="n"/>
      <c r="E169" s="6" t="n"/>
      <c r="F169">
        <f>IF(E169="","",IMAGE(E169))</f>
        <v/>
      </c>
      <c r="G169" s="6" t="n"/>
      <c r="H169" s="7" t="n"/>
      <c r="I169" s="7" t="n"/>
      <c r="J169" s="6" t="n"/>
      <c r="K169" s="6" t="n"/>
      <c r="L169" s="6" t="n"/>
      <c r="M169" s="6" t="n"/>
      <c r="N169" s="6" t="n"/>
      <c r="O169" s="6" t="n"/>
      <c r="P169" s="8" t="n"/>
      <c r="Q169" s="7" t="n"/>
      <c r="R169" s="9" t="n"/>
      <c r="S169" s="10">
        <f>IF($C169="","",$I169*$R169)</f>
        <v/>
      </c>
      <c r="T169" s="10">
        <f>IF($C169="","",(IF($N169="Purchased",$H169,0)+$Q169))</f>
        <v/>
      </c>
      <c r="U169" s="10">
        <f>IF($C169="","",$S169-$T169)</f>
        <v/>
      </c>
      <c r="V169" s="11">
        <f>IF(OR($C169="",$I169=0),"",CEILING($T169/$I169,1))</f>
        <v/>
      </c>
      <c r="W169" s="6" t="n"/>
    </row>
    <row r="170">
      <c r="A170" t="inlineStr">
        <is>
          <t>W169</t>
        </is>
      </c>
      <c r="B170" s="6" t="n"/>
      <c r="C170" s="6" t="n"/>
      <c r="D170" s="6" t="n"/>
      <c r="E170" s="6" t="n"/>
      <c r="F170">
        <f>IF(E170="","",IMAGE(E170))</f>
        <v/>
      </c>
      <c r="G170" s="6" t="n"/>
      <c r="H170" s="7" t="n"/>
      <c r="I170" s="7" t="n"/>
      <c r="J170" s="6" t="n"/>
      <c r="K170" s="6" t="n"/>
      <c r="L170" s="6" t="n"/>
      <c r="M170" s="6" t="n"/>
      <c r="N170" s="6" t="n"/>
      <c r="O170" s="6" t="n"/>
      <c r="P170" s="8" t="n"/>
      <c r="Q170" s="7" t="n"/>
      <c r="R170" s="9" t="n"/>
      <c r="S170" s="10">
        <f>IF($C170="","",$I170*$R170)</f>
        <v/>
      </c>
      <c r="T170" s="10">
        <f>IF($C170="","",(IF($N170="Purchased",$H170,0)+$Q170))</f>
        <v/>
      </c>
      <c r="U170" s="10">
        <f>IF($C170="","",$S170-$T170)</f>
        <v/>
      </c>
      <c r="V170" s="11">
        <f>IF(OR($C170="",$I170=0),"",CEILING($T170/$I170,1))</f>
        <v/>
      </c>
      <c r="W170" s="6" t="n"/>
    </row>
    <row r="171">
      <c r="A171" t="inlineStr">
        <is>
          <t>W170</t>
        </is>
      </c>
      <c r="B171" s="6" t="n"/>
      <c r="C171" s="6" t="n"/>
      <c r="D171" s="6" t="n"/>
      <c r="E171" s="6" t="n"/>
      <c r="F171">
        <f>IF(E171="","",IMAGE(E171))</f>
        <v/>
      </c>
      <c r="G171" s="6" t="n"/>
      <c r="H171" s="7" t="n"/>
      <c r="I171" s="7" t="n"/>
      <c r="J171" s="6" t="n"/>
      <c r="K171" s="6" t="n"/>
      <c r="L171" s="6" t="n"/>
      <c r="M171" s="6" t="n"/>
      <c r="N171" s="6" t="n"/>
      <c r="O171" s="6" t="n"/>
      <c r="P171" s="8" t="n"/>
      <c r="Q171" s="7" t="n"/>
      <c r="R171" s="9" t="n"/>
      <c r="S171" s="10">
        <f>IF($C171="","",$I171*$R171)</f>
        <v/>
      </c>
      <c r="T171" s="10">
        <f>IF($C171="","",(IF($N171="Purchased",$H171,0)+$Q171))</f>
        <v/>
      </c>
      <c r="U171" s="10">
        <f>IF($C171="","",$S171-$T171)</f>
        <v/>
      </c>
      <c r="V171" s="11">
        <f>IF(OR($C171="",$I171=0),"",CEILING($T171/$I171,1))</f>
        <v/>
      </c>
      <c r="W171" s="6" t="n"/>
    </row>
    <row r="172">
      <c r="A172" t="inlineStr">
        <is>
          <t>W171</t>
        </is>
      </c>
      <c r="B172" s="6" t="n"/>
      <c r="C172" s="6" t="n"/>
      <c r="D172" s="6" t="n"/>
      <c r="E172" s="6" t="n"/>
      <c r="F172">
        <f>IF(E172="","",IMAGE(E172))</f>
        <v/>
      </c>
      <c r="G172" s="6" t="n"/>
      <c r="H172" s="7" t="n"/>
      <c r="I172" s="7" t="n"/>
      <c r="J172" s="6" t="n"/>
      <c r="K172" s="6" t="n"/>
      <c r="L172" s="6" t="n"/>
      <c r="M172" s="6" t="n"/>
      <c r="N172" s="6" t="n"/>
      <c r="O172" s="6" t="n"/>
      <c r="P172" s="8" t="n"/>
      <c r="Q172" s="7" t="n"/>
      <c r="R172" s="9" t="n"/>
      <c r="S172" s="10">
        <f>IF($C172="","",$I172*$R172)</f>
        <v/>
      </c>
      <c r="T172" s="10">
        <f>IF($C172="","",(IF($N172="Purchased",$H172,0)+$Q172))</f>
        <v/>
      </c>
      <c r="U172" s="10">
        <f>IF($C172="","",$S172-$T172)</f>
        <v/>
      </c>
      <c r="V172" s="11">
        <f>IF(OR($C172="",$I172=0),"",CEILING($T172/$I172,1))</f>
        <v/>
      </c>
      <c r="W172" s="6" t="n"/>
    </row>
    <row r="173">
      <c r="A173" t="inlineStr">
        <is>
          <t>W172</t>
        </is>
      </c>
      <c r="B173" s="6" t="n"/>
      <c r="C173" s="6" t="n"/>
      <c r="D173" s="6" t="n"/>
      <c r="E173" s="6" t="n"/>
      <c r="F173">
        <f>IF(E173="","",IMAGE(E173))</f>
        <v/>
      </c>
      <c r="G173" s="6" t="n"/>
      <c r="H173" s="7" t="n"/>
      <c r="I173" s="7" t="n"/>
      <c r="J173" s="6" t="n"/>
      <c r="K173" s="6" t="n"/>
      <c r="L173" s="6" t="n"/>
      <c r="M173" s="6" t="n"/>
      <c r="N173" s="6" t="n"/>
      <c r="O173" s="6" t="n"/>
      <c r="P173" s="8" t="n"/>
      <c r="Q173" s="7" t="n"/>
      <c r="R173" s="9" t="n"/>
      <c r="S173" s="10">
        <f>IF($C173="","",$I173*$R173)</f>
        <v/>
      </c>
      <c r="T173" s="10">
        <f>IF($C173="","",(IF($N173="Purchased",$H173,0)+$Q173))</f>
        <v/>
      </c>
      <c r="U173" s="10">
        <f>IF($C173="","",$S173-$T173)</f>
        <v/>
      </c>
      <c r="V173" s="11">
        <f>IF(OR($C173="",$I173=0),"",CEILING($T173/$I173,1))</f>
        <v/>
      </c>
      <c r="W173" s="6" t="n"/>
    </row>
    <row r="174">
      <c r="A174" t="inlineStr">
        <is>
          <t>W173</t>
        </is>
      </c>
      <c r="B174" s="6" t="n"/>
      <c r="C174" s="6" t="n"/>
      <c r="D174" s="6" t="n"/>
      <c r="E174" s="6" t="n"/>
      <c r="F174">
        <f>IF(E174="","",IMAGE(E174))</f>
        <v/>
      </c>
      <c r="G174" s="6" t="n"/>
      <c r="H174" s="7" t="n"/>
      <c r="I174" s="7" t="n"/>
      <c r="J174" s="6" t="n"/>
      <c r="K174" s="6" t="n"/>
      <c r="L174" s="6" t="n"/>
      <c r="M174" s="6" t="n"/>
      <c r="N174" s="6" t="n"/>
      <c r="O174" s="6" t="n"/>
      <c r="P174" s="8" t="n"/>
      <c r="Q174" s="7" t="n"/>
      <c r="R174" s="9" t="n"/>
      <c r="S174" s="10">
        <f>IF($C174="","",$I174*$R174)</f>
        <v/>
      </c>
      <c r="T174" s="10">
        <f>IF($C174="","",(IF($N174="Purchased",$H174,0)+$Q174))</f>
        <v/>
      </c>
      <c r="U174" s="10">
        <f>IF($C174="","",$S174-$T174)</f>
        <v/>
      </c>
      <c r="V174" s="11">
        <f>IF(OR($C174="",$I174=0),"",CEILING($T174/$I174,1))</f>
        <v/>
      </c>
      <c r="W174" s="6" t="n"/>
    </row>
    <row r="175">
      <c r="A175" t="inlineStr">
        <is>
          <t>W174</t>
        </is>
      </c>
      <c r="B175" s="6" t="n"/>
      <c r="C175" s="6" t="n"/>
      <c r="D175" s="6" t="n"/>
      <c r="E175" s="6" t="n"/>
      <c r="F175">
        <f>IF(E175="","",IMAGE(E175))</f>
        <v/>
      </c>
      <c r="G175" s="6" t="n"/>
      <c r="H175" s="7" t="n"/>
      <c r="I175" s="7" t="n"/>
      <c r="J175" s="6" t="n"/>
      <c r="K175" s="6" t="n"/>
      <c r="L175" s="6" t="n"/>
      <c r="M175" s="6" t="n"/>
      <c r="N175" s="6" t="n"/>
      <c r="O175" s="6" t="n"/>
      <c r="P175" s="8" t="n"/>
      <c r="Q175" s="7" t="n"/>
      <c r="R175" s="9" t="n"/>
      <c r="S175" s="10">
        <f>IF($C175="","",$I175*$R175)</f>
        <v/>
      </c>
      <c r="T175" s="10">
        <f>IF($C175="","",(IF($N175="Purchased",$H175,0)+$Q175))</f>
        <v/>
      </c>
      <c r="U175" s="10">
        <f>IF($C175="","",$S175-$T175)</f>
        <v/>
      </c>
      <c r="V175" s="11">
        <f>IF(OR($C175="",$I175=0),"",CEILING($T175/$I175,1))</f>
        <v/>
      </c>
      <c r="W175" s="6" t="n"/>
    </row>
    <row r="176">
      <c r="A176" t="inlineStr">
        <is>
          <t>W175</t>
        </is>
      </c>
      <c r="B176" s="6" t="n"/>
      <c r="C176" s="6" t="n"/>
      <c r="D176" s="6" t="n"/>
      <c r="E176" s="6" t="n"/>
      <c r="F176">
        <f>IF(E176="","",IMAGE(E176))</f>
        <v/>
      </c>
      <c r="G176" s="6" t="n"/>
      <c r="H176" s="7" t="n"/>
      <c r="I176" s="7" t="n"/>
      <c r="J176" s="6" t="n"/>
      <c r="K176" s="6" t="n"/>
      <c r="L176" s="6" t="n"/>
      <c r="M176" s="6" t="n"/>
      <c r="N176" s="6" t="n"/>
      <c r="O176" s="6" t="n"/>
      <c r="P176" s="8" t="n"/>
      <c r="Q176" s="7" t="n"/>
      <c r="R176" s="9" t="n"/>
      <c r="S176" s="10">
        <f>IF($C176="","",$I176*$R176)</f>
        <v/>
      </c>
      <c r="T176" s="10">
        <f>IF($C176="","",(IF($N176="Purchased",$H176,0)+$Q176))</f>
        <v/>
      </c>
      <c r="U176" s="10">
        <f>IF($C176="","",$S176-$T176)</f>
        <v/>
      </c>
      <c r="V176" s="11">
        <f>IF(OR($C176="",$I176=0),"",CEILING($T176/$I176,1))</f>
        <v/>
      </c>
      <c r="W176" s="6" t="n"/>
    </row>
    <row r="177">
      <c r="A177" t="inlineStr">
        <is>
          <t>W176</t>
        </is>
      </c>
      <c r="B177" s="6" t="n"/>
      <c r="C177" s="6" t="n"/>
      <c r="D177" s="6" t="n"/>
      <c r="E177" s="6" t="n"/>
      <c r="F177">
        <f>IF(E177="","",IMAGE(E177))</f>
        <v/>
      </c>
      <c r="G177" s="6" t="n"/>
      <c r="H177" s="7" t="n"/>
      <c r="I177" s="7" t="n"/>
      <c r="J177" s="6" t="n"/>
      <c r="K177" s="6" t="n"/>
      <c r="L177" s="6" t="n"/>
      <c r="M177" s="6" t="n"/>
      <c r="N177" s="6" t="n"/>
      <c r="O177" s="6" t="n"/>
      <c r="P177" s="8" t="n"/>
      <c r="Q177" s="7" t="n"/>
      <c r="R177" s="9" t="n"/>
      <c r="S177" s="10">
        <f>IF($C177="","",$I177*$R177)</f>
        <v/>
      </c>
      <c r="T177" s="10">
        <f>IF($C177="","",(IF($N177="Purchased",$H177,0)+$Q177))</f>
        <v/>
      </c>
      <c r="U177" s="10">
        <f>IF($C177="","",$S177-$T177)</f>
        <v/>
      </c>
      <c r="V177" s="11">
        <f>IF(OR($C177="",$I177=0),"",CEILING($T177/$I177,1))</f>
        <v/>
      </c>
      <c r="W177" s="6" t="n"/>
    </row>
    <row r="178">
      <c r="A178" t="inlineStr">
        <is>
          <t>W177</t>
        </is>
      </c>
      <c r="B178" s="6" t="n"/>
      <c r="C178" s="6" t="n"/>
      <c r="D178" s="6" t="n"/>
      <c r="E178" s="6" t="n"/>
      <c r="F178">
        <f>IF(E178="","",IMAGE(E178))</f>
        <v/>
      </c>
      <c r="G178" s="6" t="n"/>
      <c r="H178" s="7" t="n"/>
      <c r="I178" s="7" t="n"/>
      <c r="J178" s="6" t="n"/>
      <c r="K178" s="6" t="n"/>
      <c r="L178" s="6" t="n"/>
      <c r="M178" s="6" t="n"/>
      <c r="N178" s="6" t="n"/>
      <c r="O178" s="6" t="n"/>
      <c r="P178" s="8" t="n"/>
      <c r="Q178" s="7" t="n"/>
      <c r="R178" s="9" t="n"/>
      <c r="S178" s="10">
        <f>IF($C178="","",$I178*$R178)</f>
        <v/>
      </c>
      <c r="T178" s="10">
        <f>IF($C178="","",(IF($N178="Purchased",$H178,0)+$Q178))</f>
        <v/>
      </c>
      <c r="U178" s="10">
        <f>IF($C178="","",$S178-$T178)</f>
        <v/>
      </c>
      <c r="V178" s="11">
        <f>IF(OR($C178="",$I178=0),"",CEILING($T178/$I178,1))</f>
        <v/>
      </c>
      <c r="W178" s="6" t="n"/>
    </row>
    <row r="179">
      <c r="A179" t="inlineStr">
        <is>
          <t>W178</t>
        </is>
      </c>
      <c r="B179" s="6" t="n"/>
      <c r="C179" s="6" t="n"/>
      <c r="D179" s="6" t="n"/>
      <c r="E179" s="6" t="n"/>
      <c r="F179">
        <f>IF(E179="","",IMAGE(E179))</f>
        <v/>
      </c>
      <c r="G179" s="6" t="n"/>
      <c r="H179" s="7" t="n"/>
      <c r="I179" s="7" t="n"/>
      <c r="J179" s="6" t="n"/>
      <c r="K179" s="6" t="n"/>
      <c r="L179" s="6" t="n"/>
      <c r="M179" s="6" t="n"/>
      <c r="N179" s="6" t="n"/>
      <c r="O179" s="6" t="n"/>
      <c r="P179" s="8" t="n"/>
      <c r="Q179" s="7" t="n"/>
      <c r="R179" s="9" t="n"/>
      <c r="S179" s="10">
        <f>IF($C179="","",$I179*$R179)</f>
        <v/>
      </c>
      <c r="T179" s="10">
        <f>IF($C179="","",(IF($N179="Purchased",$H179,0)+$Q179))</f>
        <v/>
      </c>
      <c r="U179" s="10">
        <f>IF($C179="","",$S179-$T179)</f>
        <v/>
      </c>
      <c r="V179" s="11">
        <f>IF(OR($C179="",$I179=0),"",CEILING($T179/$I179,1))</f>
        <v/>
      </c>
      <c r="W179" s="6" t="n"/>
    </row>
    <row r="180">
      <c r="A180" t="inlineStr">
        <is>
          <t>W179</t>
        </is>
      </c>
      <c r="B180" s="6" t="n"/>
      <c r="C180" s="6" t="n"/>
      <c r="D180" s="6" t="n"/>
      <c r="E180" s="6" t="n"/>
      <c r="F180">
        <f>IF(E180="","",IMAGE(E180))</f>
        <v/>
      </c>
      <c r="G180" s="6" t="n"/>
      <c r="H180" s="7" t="n"/>
      <c r="I180" s="7" t="n"/>
      <c r="J180" s="6" t="n"/>
      <c r="K180" s="6" t="n"/>
      <c r="L180" s="6" t="n"/>
      <c r="M180" s="6" t="n"/>
      <c r="N180" s="6" t="n"/>
      <c r="O180" s="6" t="n"/>
      <c r="P180" s="8" t="n"/>
      <c r="Q180" s="7" t="n"/>
      <c r="R180" s="9" t="n"/>
      <c r="S180" s="10">
        <f>IF($C180="","",$I180*$R180)</f>
        <v/>
      </c>
      <c r="T180" s="10">
        <f>IF($C180="","",(IF($N180="Purchased",$H180,0)+$Q180))</f>
        <v/>
      </c>
      <c r="U180" s="10">
        <f>IF($C180="","",$S180-$T180)</f>
        <v/>
      </c>
      <c r="V180" s="11">
        <f>IF(OR($C180="",$I180=0),"",CEILING($T180/$I180,1))</f>
        <v/>
      </c>
      <c r="W180" s="6" t="n"/>
    </row>
    <row r="181">
      <c r="A181" t="inlineStr">
        <is>
          <t>W180</t>
        </is>
      </c>
      <c r="B181" s="6" t="n"/>
      <c r="C181" s="6" t="n"/>
      <c r="D181" s="6" t="n"/>
      <c r="E181" s="6" t="n"/>
      <c r="F181">
        <f>IF(E181="","",IMAGE(E181))</f>
        <v/>
      </c>
      <c r="G181" s="6" t="n"/>
      <c r="H181" s="7" t="n"/>
      <c r="I181" s="7" t="n"/>
      <c r="J181" s="6" t="n"/>
      <c r="K181" s="6" t="n"/>
      <c r="L181" s="6" t="n"/>
      <c r="M181" s="6" t="n"/>
      <c r="N181" s="6" t="n"/>
      <c r="O181" s="6" t="n"/>
      <c r="P181" s="8" t="n"/>
      <c r="Q181" s="7" t="n"/>
      <c r="R181" s="9" t="n"/>
      <c r="S181" s="10">
        <f>IF($C181="","",$I181*$R181)</f>
        <v/>
      </c>
      <c r="T181" s="10">
        <f>IF($C181="","",(IF($N181="Purchased",$H181,0)+$Q181))</f>
        <v/>
      </c>
      <c r="U181" s="10">
        <f>IF($C181="","",$S181-$T181)</f>
        <v/>
      </c>
      <c r="V181" s="11">
        <f>IF(OR($C181="",$I181=0),"",CEILING($T181/$I181,1))</f>
        <v/>
      </c>
      <c r="W181" s="6" t="n"/>
    </row>
    <row r="182">
      <c r="A182" t="inlineStr">
        <is>
          <t>W181</t>
        </is>
      </c>
      <c r="B182" s="6" t="n"/>
      <c r="C182" s="6" t="n"/>
      <c r="D182" s="6" t="n"/>
      <c r="E182" s="6" t="n"/>
      <c r="F182">
        <f>IF(E182="","",IMAGE(E182))</f>
        <v/>
      </c>
      <c r="G182" s="6" t="n"/>
      <c r="H182" s="7" t="n"/>
      <c r="I182" s="7" t="n"/>
      <c r="J182" s="6" t="n"/>
      <c r="K182" s="6" t="n"/>
      <c r="L182" s="6" t="n"/>
      <c r="M182" s="6" t="n"/>
      <c r="N182" s="6" t="n"/>
      <c r="O182" s="6" t="n"/>
      <c r="P182" s="8" t="n"/>
      <c r="Q182" s="7" t="n"/>
      <c r="R182" s="9" t="n"/>
      <c r="S182" s="10">
        <f>IF($C182="","",$I182*$R182)</f>
        <v/>
      </c>
      <c r="T182" s="10">
        <f>IF($C182="","",(IF($N182="Purchased",$H182,0)+$Q182))</f>
        <v/>
      </c>
      <c r="U182" s="10">
        <f>IF($C182="","",$S182-$T182)</f>
        <v/>
      </c>
      <c r="V182" s="11">
        <f>IF(OR($C182="",$I182=0),"",CEILING($T182/$I182,1))</f>
        <v/>
      </c>
      <c r="W182" s="6" t="n"/>
    </row>
    <row r="183">
      <c r="A183" t="inlineStr">
        <is>
          <t>W182</t>
        </is>
      </c>
      <c r="B183" s="6" t="n"/>
      <c r="C183" s="6" t="n"/>
      <c r="D183" s="6" t="n"/>
      <c r="E183" s="6" t="n"/>
      <c r="F183">
        <f>IF(E183="","",IMAGE(E183))</f>
        <v/>
      </c>
      <c r="G183" s="6" t="n"/>
      <c r="H183" s="7" t="n"/>
      <c r="I183" s="7" t="n"/>
      <c r="J183" s="6" t="n"/>
      <c r="K183" s="6" t="n"/>
      <c r="L183" s="6" t="n"/>
      <c r="M183" s="6" t="n"/>
      <c r="N183" s="6" t="n"/>
      <c r="O183" s="6" t="n"/>
      <c r="P183" s="8" t="n"/>
      <c r="Q183" s="7" t="n"/>
      <c r="R183" s="9" t="n"/>
      <c r="S183" s="10">
        <f>IF($C183="","",$I183*$R183)</f>
        <v/>
      </c>
      <c r="T183" s="10">
        <f>IF($C183="","",(IF($N183="Purchased",$H183,0)+$Q183))</f>
        <v/>
      </c>
      <c r="U183" s="10">
        <f>IF($C183="","",$S183-$T183)</f>
        <v/>
      </c>
      <c r="V183" s="11">
        <f>IF(OR($C183="",$I183=0),"",CEILING($T183/$I183,1))</f>
        <v/>
      </c>
      <c r="W183" s="6" t="n"/>
    </row>
    <row r="184">
      <c r="A184" t="inlineStr">
        <is>
          <t>W183</t>
        </is>
      </c>
      <c r="B184" s="6" t="n"/>
      <c r="C184" s="6" t="n"/>
      <c r="D184" s="6" t="n"/>
      <c r="E184" s="6" t="n"/>
      <c r="F184">
        <f>IF(E184="","",IMAGE(E184))</f>
        <v/>
      </c>
      <c r="G184" s="6" t="n"/>
      <c r="H184" s="7" t="n"/>
      <c r="I184" s="7" t="n"/>
      <c r="J184" s="6" t="n"/>
      <c r="K184" s="6" t="n"/>
      <c r="L184" s="6" t="n"/>
      <c r="M184" s="6" t="n"/>
      <c r="N184" s="6" t="n"/>
      <c r="O184" s="6" t="n"/>
      <c r="P184" s="8" t="n"/>
      <c r="Q184" s="7" t="n"/>
      <c r="R184" s="9" t="n"/>
      <c r="S184" s="10">
        <f>IF($C184="","",$I184*$R184)</f>
        <v/>
      </c>
      <c r="T184" s="10">
        <f>IF($C184="","",(IF($N184="Purchased",$H184,0)+$Q184))</f>
        <v/>
      </c>
      <c r="U184" s="10">
        <f>IF($C184="","",$S184-$T184)</f>
        <v/>
      </c>
      <c r="V184" s="11">
        <f>IF(OR($C184="",$I184=0),"",CEILING($T184/$I184,1))</f>
        <v/>
      </c>
      <c r="W184" s="6" t="n"/>
    </row>
    <row r="185">
      <c r="A185" t="inlineStr">
        <is>
          <t>W184</t>
        </is>
      </c>
      <c r="B185" s="6" t="n"/>
      <c r="C185" s="6" t="n"/>
      <c r="D185" s="6" t="n"/>
      <c r="E185" s="6" t="n"/>
      <c r="F185">
        <f>IF(E185="","",IMAGE(E185))</f>
        <v/>
      </c>
      <c r="G185" s="6" t="n"/>
      <c r="H185" s="7" t="n"/>
      <c r="I185" s="7" t="n"/>
      <c r="J185" s="6" t="n"/>
      <c r="K185" s="6" t="n"/>
      <c r="L185" s="6" t="n"/>
      <c r="M185" s="6" t="n"/>
      <c r="N185" s="6" t="n"/>
      <c r="O185" s="6" t="n"/>
      <c r="P185" s="8" t="n"/>
      <c r="Q185" s="7" t="n"/>
      <c r="R185" s="9" t="n"/>
      <c r="S185" s="10">
        <f>IF($C185="","",$I185*$R185)</f>
        <v/>
      </c>
      <c r="T185" s="10">
        <f>IF($C185="","",(IF($N185="Purchased",$H185,0)+$Q185))</f>
        <v/>
      </c>
      <c r="U185" s="10">
        <f>IF($C185="","",$S185-$T185)</f>
        <v/>
      </c>
      <c r="V185" s="11">
        <f>IF(OR($C185="",$I185=0),"",CEILING($T185/$I185,1))</f>
        <v/>
      </c>
      <c r="W185" s="6" t="n"/>
    </row>
    <row r="186">
      <c r="A186" t="inlineStr">
        <is>
          <t>W185</t>
        </is>
      </c>
      <c r="B186" s="6" t="n"/>
      <c r="C186" s="6" t="n"/>
      <c r="D186" s="6" t="n"/>
      <c r="E186" s="6" t="n"/>
      <c r="F186">
        <f>IF(E186="","",IMAGE(E186))</f>
        <v/>
      </c>
      <c r="G186" s="6" t="n"/>
      <c r="H186" s="7" t="n"/>
      <c r="I186" s="7" t="n"/>
      <c r="J186" s="6" t="n"/>
      <c r="K186" s="6" t="n"/>
      <c r="L186" s="6" t="n"/>
      <c r="M186" s="6" t="n"/>
      <c r="N186" s="6" t="n"/>
      <c r="O186" s="6" t="n"/>
      <c r="P186" s="8" t="n"/>
      <c r="Q186" s="7" t="n"/>
      <c r="R186" s="9" t="n"/>
      <c r="S186" s="10">
        <f>IF($C186="","",$I186*$R186)</f>
        <v/>
      </c>
      <c r="T186" s="10">
        <f>IF($C186="","",(IF($N186="Purchased",$H186,0)+$Q186))</f>
        <v/>
      </c>
      <c r="U186" s="10">
        <f>IF($C186="","",$S186-$T186)</f>
        <v/>
      </c>
      <c r="V186" s="11">
        <f>IF(OR($C186="",$I186=0),"",CEILING($T186/$I186,1))</f>
        <v/>
      </c>
      <c r="W186" s="6" t="n"/>
    </row>
    <row r="187">
      <c r="A187" t="inlineStr">
        <is>
          <t>W186</t>
        </is>
      </c>
      <c r="B187" s="6" t="n"/>
      <c r="C187" s="6" t="n"/>
      <c r="D187" s="6" t="n"/>
      <c r="E187" s="6" t="n"/>
      <c r="F187">
        <f>IF(E187="","",IMAGE(E187))</f>
        <v/>
      </c>
      <c r="G187" s="6" t="n"/>
      <c r="H187" s="7" t="n"/>
      <c r="I187" s="7" t="n"/>
      <c r="J187" s="6" t="n"/>
      <c r="K187" s="6" t="n"/>
      <c r="L187" s="6" t="n"/>
      <c r="M187" s="6" t="n"/>
      <c r="N187" s="6" t="n"/>
      <c r="O187" s="6" t="n"/>
      <c r="P187" s="8" t="n"/>
      <c r="Q187" s="7" t="n"/>
      <c r="R187" s="9" t="n"/>
      <c r="S187" s="10">
        <f>IF($C187="","",$I187*$R187)</f>
        <v/>
      </c>
      <c r="T187" s="10">
        <f>IF($C187="","",(IF($N187="Purchased",$H187,0)+$Q187))</f>
        <v/>
      </c>
      <c r="U187" s="10">
        <f>IF($C187="","",$S187-$T187)</f>
        <v/>
      </c>
      <c r="V187" s="11">
        <f>IF(OR($C187="",$I187=0),"",CEILING($T187/$I187,1))</f>
        <v/>
      </c>
      <c r="W187" s="6" t="n"/>
    </row>
    <row r="188">
      <c r="A188" t="inlineStr">
        <is>
          <t>W187</t>
        </is>
      </c>
      <c r="B188" s="6" t="n"/>
      <c r="C188" s="6" t="n"/>
      <c r="D188" s="6" t="n"/>
      <c r="E188" s="6" t="n"/>
      <c r="F188">
        <f>IF(E188="","",IMAGE(E188))</f>
        <v/>
      </c>
      <c r="G188" s="6" t="n"/>
      <c r="H188" s="7" t="n"/>
      <c r="I188" s="7" t="n"/>
      <c r="J188" s="6" t="n"/>
      <c r="K188" s="6" t="n"/>
      <c r="L188" s="6" t="n"/>
      <c r="M188" s="6" t="n"/>
      <c r="N188" s="6" t="n"/>
      <c r="O188" s="6" t="n"/>
      <c r="P188" s="8" t="n"/>
      <c r="Q188" s="7" t="n"/>
      <c r="R188" s="9" t="n"/>
      <c r="S188" s="10">
        <f>IF($C188="","",$I188*$R188)</f>
        <v/>
      </c>
      <c r="T188" s="10">
        <f>IF($C188="","",(IF($N188="Purchased",$H188,0)+$Q188))</f>
        <v/>
      </c>
      <c r="U188" s="10">
        <f>IF($C188="","",$S188-$T188)</f>
        <v/>
      </c>
      <c r="V188" s="11">
        <f>IF(OR($C188="",$I188=0),"",CEILING($T188/$I188,1))</f>
        <v/>
      </c>
      <c r="W188" s="6" t="n"/>
    </row>
    <row r="189">
      <c r="A189" t="inlineStr">
        <is>
          <t>W188</t>
        </is>
      </c>
      <c r="B189" s="6" t="n"/>
      <c r="C189" s="6" t="n"/>
      <c r="D189" s="6" t="n"/>
      <c r="E189" s="6" t="n"/>
      <c r="F189">
        <f>IF(E189="","",IMAGE(E189))</f>
        <v/>
      </c>
      <c r="G189" s="6" t="n"/>
      <c r="H189" s="7" t="n"/>
      <c r="I189" s="7" t="n"/>
      <c r="J189" s="6" t="n"/>
      <c r="K189" s="6" t="n"/>
      <c r="L189" s="6" t="n"/>
      <c r="M189" s="6" t="n"/>
      <c r="N189" s="6" t="n"/>
      <c r="O189" s="6" t="n"/>
      <c r="P189" s="8" t="n"/>
      <c r="Q189" s="7" t="n"/>
      <c r="R189" s="9" t="n"/>
      <c r="S189" s="10">
        <f>IF($C189="","",$I189*$R189)</f>
        <v/>
      </c>
      <c r="T189" s="10">
        <f>IF($C189="","",(IF($N189="Purchased",$H189,0)+$Q189))</f>
        <v/>
      </c>
      <c r="U189" s="10">
        <f>IF($C189="","",$S189-$T189)</f>
        <v/>
      </c>
      <c r="V189" s="11">
        <f>IF(OR($C189="",$I189=0),"",CEILING($T189/$I189,1))</f>
        <v/>
      </c>
      <c r="W189" s="6" t="n"/>
    </row>
    <row r="190">
      <c r="A190" t="inlineStr">
        <is>
          <t>W189</t>
        </is>
      </c>
      <c r="B190" s="6" t="n"/>
      <c r="C190" s="6" t="n"/>
      <c r="D190" s="6" t="n"/>
      <c r="E190" s="6" t="n"/>
      <c r="F190">
        <f>IF(E190="","",IMAGE(E190))</f>
        <v/>
      </c>
      <c r="G190" s="6" t="n"/>
      <c r="H190" s="7" t="n"/>
      <c r="I190" s="7" t="n"/>
      <c r="J190" s="6" t="n"/>
      <c r="K190" s="6" t="n"/>
      <c r="L190" s="6" t="n"/>
      <c r="M190" s="6" t="n"/>
      <c r="N190" s="6" t="n"/>
      <c r="O190" s="6" t="n"/>
      <c r="P190" s="8" t="n"/>
      <c r="Q190" s="7" t="n"/>
      <c r="R190" s="9" t="n"/>
      <c r="S190" s="10">
        <f>IF($C190="","",$I190*$R190)</f>
        <v/>
      </c>
      <c r="T190" s="10">
        <f>IF($C190="","",(IF($N190="Purchased",$H190,0)+$Q190))</f>
        <v/>
      </c>
      <c r="U190" s="10">
        <f>IF($C190="","",$S190-$T190)</f>
        <v/>
      </c>
      <c r="V190" s="11">
        <f>IF(OR($C190="",$I190=0),"",CEILING($T190/$I190,1))</f>
        <v/>
      </c>
      <c r="W190" s="6" t="n"/>
    </row>
    <row r="191">
      <c r="A191" t="inlineStr">
        <is>
          <t>W190</t>
        </is>
      </c>
      <c r="B191" s="6" t="n"/>
      <c r="C191" s="6" t="n"/>
      <c r="D191" s="6" t="n"/>
      <c r="E191" s="6" t="n"/>
      <c r="F191">
        <f>IF(E191="","",IMAGE(E191))</f>
        <v/>
      </c>
      <c r="G191" s="6" t="n"/>
      <c r="H191" s="7" t="n"/>
      <c r="I191" s="7" t="n"/>
      <c r="J191" s="6" t="n"/>
      <c r="K191" s="6" t="n"/>
      <c r="L191" s="6" t="n"/>
      <c r="M191" s="6" t="n"/>
      <c r="N191" s="6" t="n"/>
      <c r="O191" s="6" t="n"/>
      <c r="P191" s="8" t="n"/>
      <c r="Q191" s="7" t="n"/>
      <c r="R191" s="9" t="n"/>
      <c r="S191" s="10">
        <f>IF($C191="","",$I191*$R191)</f>
        <v/>
      </c>
      <c r="T191" s="10">
        <f>IF($C191="","",(IF($N191="Purchased",$H191,0)+$Q191))</f>
        <v/>
      </c>
      <c r="U191" s="10">
        <f>IF($C191="","",$S191-$T191)</f>
        <v/>
      </c>
      <c r="V191" s="11">
        <f>IF(OR($C191="",$I191=0),"",CEILING($T191/$I191,1))</f>
        <v/>
      </c>
      <c r="W191" s="6" t="n"/>
    </row>
    <row r="192">
      <c r="A192" t="inlineStr">
        <is>
          <t>W191</t>
        </is>
      </c>
      <c r="B192" s="6" t="n"/>
      <c r="C192" s="6" t="n"/>
      <c r="D192" s="6" t="n"/>
      <c r="E192" s="6" t="n"/>
      <c r="F192">
        <f>IF(E192="","",IMAGE(E192))</f>
        <v/>
      </c>
      <c r="G192" s="6" t="n"/>
      <c r="H192" s="7" t="n"/>
      <c r="I192" s="7" t="n"/>
      <c r="J192" s="6" t="n"/>
      <c r="K192" s="6" t="n"/>
      <c r="L192" s="6" t="n"/>
      <c r="M192" s="6" t="n"/>
      <c r="N192" s="6" t="n"/>
      <c r="O192" s="6" t="n"/>
      <c r="P192" s="8" t="n"/>
      <c r="Q192" s="7" t="n"/>
      <c r="R192" s="9" t="n"/>
      <c r="S192" s="10">
        <f>IF($C192="","",$I192*$R192)</f>
        <v/>
      </c>
      <c r="T192" s="10">
        <f>IF($C192="","",(IF($N192="Purchased",$H192,0)+$Q192))</f>
        <v/>
      </c>
      <c r="U192" s="10">
        <f>IF($C192="","",$S192-$T192)</f>
        <v/>
      </c>
      <c r="V192" s="11">
        <f>IF(OR($C192="",$I192=0),"",CEILING($T192/$I192,1))</f>
        <v/>
      </c>
      <c r="W192" s="6" t="n"/>
    </row>
    <row r="193">
      <c r="A193" t="inlineStr">
        <is>
          <t>W192</t>
        </is>
      </c>
      <c r="B193" s="6" t="n"/>
      <c r="C193" s="6" t="n"/>
      <c r="D193" s="6" t="n"/>
      <c r="E193" s="6" t="n"/>
      <c r="F193">
        <f>IF(E193="","",IMAGE(E193))</f>
        <v/>
      </c>
      <c r="G193" s="6" t="n"/>
      <c r="H193" s="7" t="n"/>
      <c r="I193" s="7" t="n"/>
      <c r="J193" s="6" t="n"/>
      <c r="K193" s="6" t="n"/>
      <c r="L193" s="6" t="n"/>
      <c r="M193" s="6" t="n"/>
      <c r="N193" s="6" t="n"/>
      <c r="O193" s="6" t="n"/>
      <c r="P193" s="8" t="n"/>
      <c r="Q193" s="7" t="n"/>
      <c r="R193" s="9" t="n"/>
      <c r="S193" s="10">
        <f>IF($C193="","",$I193*$R193)</f>
        <v/>
      </c>
      <c r="T193" s="10">
        <f>IF($C193="","",(IF($N193="Purchased",$H193,0)+$Q193))</f>
        <v/>
      </c>
      <c r="U193" s="10">
        <f>IF($C193="","",$S193-$T193)</f>
        <v/>
      </c>
      <c r="V193" s="11">
        <f>IF(OR($C193="",$I193=0),"",CEILING($T193/$I193,1))</f>
        <v/>
      </c>
      <c r="W193" s="6" t="n"/>
    </row>
    <row r="194">
      <c r="A194" t="inlineStr">
        <is>
          <t>W193</t>
        </is>
      </c>
      <c r="B194" s="6" t="n"/>
      <c r="C194" s="6" t="n"/>
      <c r="D194" s="6" t="n"/>
      <c r="E194" s="6" t="n"/>
      <c r="F194">
        <f>IF(E194="","",IMAGE(E194))</f>
        <v/>
      </c>
      <c r="G194" s="6" t="n"/>
      <c r="H194" s="7" t="n"/>
      <c r="I194" s="7" t="n"/>
      <c r="J194" s="6" t="n"/>
      <c r="K194" s="6" t="n"/>
      <c r="L194" s="6" t="n"/>
      <c r="M194" s="6" t="n"/>
      <c r="N194" s="6" t="n"/>
      <c r="O194" s="6" t="n"/>
      <c r="P194" s="8" t="n"/>
      <c r="Q194" s="7" t="n"/>
      <c r="R194" s="9" t="n"/>
      <c r="S194" s="10">
        <f>IF($C194="","",$I194*$R194)</f>
        <v/>
      </c>
      <c r="T194" s="10">
        <f>IF($C194="","",(IF($N194="Purchased",$H194,0)+$Q194))</f>
        <v/>
      </c>
      <c r="U194" s="10">
        <f>IF($C194="","",$S194-$T194)</f>
        <v/>
      </c>
      <c r="V194" s="11">
        <f>IF(OR($C194="",$I194=0),"",CEILING($T194/$I194,1))</f>
        <v/>
      </c>
      <c r="W194" s="6" t="n"/>
    </row>
    <row r="195">
      <c r="A195" t="inlineStr">
        <is>
          <t>W194</t>
        </is>
      </c>
      <c r="B195" s="6" t="n"/>
      <c r="C195" s="6" t="n"/>
      <c r="D195" s="6" t="n"/>
      <c r="E195" s="6" t="n"/>
      <c r="F195">
        <f>IF(E195="","",IMAGE(E195))</f>
        <v/>
      </c>
      <c r="G195" s="6" t="n"/>
      <c r="H195" s="7" t="n"/>
      <c r="I195" s="7" t="n"/>
      <c r="J195" s="6" t="n"/>
      <c r="K195" s="6" t="n"/>
      <c r="L195" s="6" t="n"/>
      <c r="M195" s="6" t="n"/>
      <c r="N195" s="6" t="n"/>
      <c r="O195" s="6" t="n"/>
      <c r="P195" s="8" t="n"/>
      <c r="Q195" s="7" t="n"/>
      <c r="R195" s="9" t="n"/>
      <c r="S195" s="10">
        <f>IF($C195="","",$I195*$R195)</f>
        <v/>
      </c>
      <c r="T195" s="10">
        <f>IF($C195="","",(IF($N195="Purchased",$H195,0)+$Q195))</f>
        <v/>
      </c>
      <c r="U195" s="10">
        <f>IF($C195="","",$S195-$T195)</f>
        <v/>
      </c>
      <c r="V195" s="11">
        <f>IF(OR($C195="",$I195=0),"",CEILING($T195/$I195,1))</f>
        <v/>
      </c>
      <c r="W195" s="6" t="n"/>
    </row>
    <row r="196">
      <c r="A196" t="inlineStr">
        <is>
          <t>W195</t>
        </is>
      </c>
      <c r="B196" s="6" t="n"/>
      <c r="C196" s="6" t="n"/>
      <c r="D196" s="6" t="n"/>
      <c r="E196" s="6" t="n"/>
      <c r="F196">
        <f>IF(E196="","",IMAGE(E196))</f>
        <v/>
      </c>
      <c r="G196" s="6" t="n"/>
      <c r="H196" s="7" t="n"/>
      <c r="I196" s="7" t="n"/>
      <c r="J196" s="6" t="n"/>
      <c r="K196" s="6" t="n"/>
      <c r="L196" s="6" t="n"/>
      <c r="M196" s="6" t="n"/>
      <c r="N196" s="6" t="n"/>
      <c r="O196" s="6" t="n"/>
      <c r="P196" s="8" t="n"/>
      <c r="Q196" s="7" t="n"/>
      <c r="R196" s="9" t="n"/>
      <c r="S196" s="10">
        <f>IF($C196="","",$I196*$R196)</f>
        <v/>
      </c>
      <c r="T196" s="10">
        <f>IF($C196="","",(IF($N196="Purchased",$H196,0)+$Q196))</f>
        <v/>
      </c>
      <c r="U196" s="10">
        <f>IF($C196="","",$S196-$T196)</f>
        <v/>
      </c>
      <c r="V196" s="11">
        <f>IF(OR($C196="",$I196=0),"",CEILING($T196/$I196,1))</f>
        <v/>
      </c>
      <c r="W196" s="6" t="n"/>
    </row>
    <row r="197">
      <c r="A197" t="inlineStr">
        <is>
          <t>W196</t>
        </is>
      </c>
      <c r="B197" s="6" t="n"/>
      <c r="C197" s="6" t="n"/>
      <c r="D197" s="6" t="n"/>
      <c r="E197" s="6" t="n"/>
      <c r="F197">
        <f>IF(E197="","",IMAGE(E197))</f>
        <v/>
      </c>
      <c r="G197" s="6" t="n"/>
      <c r="H197" s="7" t="n"/>
      <c r="I197" s="7" t="n"/>
      <c r="J197" s="6" t="n"/>
      <c r="K197" s="6" t="n"/>
      <c r="L197" s="6" t="n"/>
      <c r="M197" s="6" t="n"/>
      <c r="N197" s="6" t="n"/>
      <c r="O197" s="6" t="n"/>
      <c r="P197" s="8" t="n"/>
      <c r="Q197" s="7" t="n"/>
      <c r="R197" s="9" t="n"/>
      <c r="S197" s="10">
        <f>IF($C197="","",$I197*$R197)</f>
        <v/>
      </c>
      <c r="T197" s="10">
        <f>IF($C197="","",(IF($N197="Purchased",$H197,0)+$Q197))</f>
        <v/>
      </c>
      <c r="U197" s="10">
        <f>IF($C197="","",$S197-$T197)</f>
        <v/>
      </c>
      <c r="V197" s="11">
        <f>IF(OR($C197="",$I197=0),"",CEILING($T197/$I197,1))</f>
        <v/>
      </c>
      <c r="W197" s="6" t="n"/>
    </row>
    <row r="198">
      <c r="A198" t="inlineStr">
        <is>
          <t>W197</t>
        </is>
      </c>
      <c r="B198" s="6" t="n"/>
      <c r="C198" s="6" t="n"/>
      <c r="D198" s="6" t="n"/>
      <c r="E198" s="6" t="n"/>
      <c r="F198">
        <f>IF(E198="","",IMAGE(E198))</f>
        <v/>
      </c>
      <c r="G198" s="6" t="n"/>
      <c r="H198" s="7" t="n"/>
      <c r="I198" s="7" t="n"/>
      <c r="J198" s="6" t="n"/>
      <c r="K198" s="6" t="n"/>
      <c r="L198" s="6" t="n"/>
      <c r="M198" s="6" t="n"/>
      <c r="N198" s="6" t="n"/>
      <c r="O198" s="6" t="n"/>
      <c r="P198" s="8" t="n"/>
      <c r="Q198" s="7" t="n"/>
      <c r="R198" s="9" t="n"/>
      <c r="S198" s="10">
        <f>IF($C198="","",$I198*$R198)</f>
        <v/>
      </c>
      <c r="T198" s="10">
        <f>IF($C198="","",(IF($N198="Purchased",$H198,0)+$Q198))</f>
        <v/>
      </c>
      <c r="U198" s="10">
        <f>IF($C198="","",$S198-$T198)</f>
        <v/>
      </c>
      <c r="V198" s="11">
        <f>IF(OR($C198="",$I198=0),"",CEILING($T198/$I198,1))</f>
        <v/>
      </c>
      <c r="W198" s="6" t="n"/>
    </row>
    <row r="199">
      <c r="A199" t="inlineStr">
        <is>
          <t>W198</t>
        </is>
      </c>
      <c r="B199" s="6" t="n"/>
      <c r="C199" s="6" t="n"/>
      <c r="D199" s="6" t="n"/>
      <c r="E199" s="6" t="n"/>
      <c r="F199">
        <f>IF(E199="","",IMAGE(E199))</f>
        <v/>
      </c>
      <c r="G199" s="6" t="n"/>
      <c r="H199" s="7" t="n"/>
      <c r="I199" s="7" t="n"/>
      <c r="J199" s="6" t="n"/>
      <c r="K199" s="6" t="n"/>
      <c r="L199" s="6" t="n"/>
      <c r="M199" s="6" t="n"/>
      <c r="N199" s="6" t="n"/>
      <c r="O199" s="6" t="n"/>
      <c r="P199" s="8" t="n"/>
      <c r="Q199" s="7" t="n"/>
      <c r="R199" s="9" t="n"/>
      <c r="S199" s="10">
        <f>IF($C199="","",$I199*$R199)</f>
        <v/>
      </c>
      <c r="T199" s="10">
        <f>IF($C199="","",(IF($N199="Purchased",$H199,0)+$Q199))</f>
        <v/>
      </c>
      <c r="U199" s="10">
        <f>IF($C199="","",$S199-$T199)</f>
        <v/>
      </c>
      <c r="V199" s="11">
        <f>IF(OR($C199="",$I199=0),"",CEILING($T199/$I199,1))</f>
        <v/>
      </c>
      <c r="W199" s="6" t="n"/>
    </row>
    <row r="200">
      <c r="A200" t="inlineStr">
        <is>
          <t>W199</t>
        </is>
      </c>
      <c r="B200" s="6" t="n"/>
      <c r="C200" s="6" t="n"/>
      <c r="D200" s="6" t="n"/>
      <c r="E200" s="6" t="n"/>
      <c r="F200">
        <f>IF(E200="","",IMAGE(E200))</f>
        <v/>
      </c>
      <c r="G200" s="6" t="n"/>
      <c r="H200" s="7" t="n"/>
      <c r="I200" s="7" t="n"/>
      <c r="J200" s="6" t="n"/>
      <c r="K200" s="6" t="n"/>
      <c r="L200" s="6" t="n"/>
      <c r="M200" s="6" t="n"/>
      <c r="N200" s="6" t="n"/>
      <c r="O200" s="6" t="n"/>
      <c r="P200" s="8" t="n"/>
      <c r="Q200" s="7" t="n"/>
      <c r="R200" s="9" t="n"/>
      <c r="S200" s="10">
        <f>IF($C200="","",$I200*$R200)</f>
        <v/>
      </c>
      <c r="T200" s="10">
        <f>IF($C200="","",(IF($N200="Purchased",$H200,0)+$Q200))</f>
        <v/>
      </c>
      <c r="U200" s="10">
        <f>IF($C200="","",$S200-$T200)</f>
        <v/>
      </c>
      <c r="V200" s="11">
        <f>IF(OR($C200="",$I200=0),"",CEILING($T200/$I200,1))</f>
        <v/>
      </c>
      <c r="W200" s="6" t="n"/>
    </row>
    <row r="201">
      <c r="A201" t="inlineStr">
        <is>
          <t>W200</t>
        </is>
      </c>
      <c r="B201" s="6" t="n"/>
      <c r="C201" s="6" t="n"/>
      <c r="D201" s="6" t="n"/>
      <c r="E201" s="6" t="n"/>
      <c r="F201">
        <f>IF(E201="","",IMAGE(E201))</f>
        <v/>
      </c>
      <c r="G201" s="6" t="n"/>
      <c r="H201" s="7" t="n"/>
      <c r="I201" s="7" t="n"/>
      <c r="J201" s="6" t="n"/>
      <c r="K201" s="6" t="n"/>
      <c r="L201" s="6" t="n"/>
      <c r="M201" s="6" t="n"/>
      <c r="N201" s="6" t="n"/>
      <c r="O201" s="6" t="n"/>
      <c r="P201" s="8" t="n"/>
      <c r="Q201" s="7" t="n"/>
      <c r="R201" s="9" t="n"/>
      <c r="S201" s="10">
        <f>IF($C201="","",$I201*$R201)</f>
        <v/>
      </c>
      <c r="T201" s="10">
        <f>IF($C201="","",(IF($N201="Purchased",$H201,0)+$Q201))</f>
        <v/>
      </c>
      <c r="U201" s="10">
        <f>IF($C201="","",$S201-$T201)</f>
        <v/>
      </c>
      <c r="V201" s="11">
        <f>IF(OR($C201="",$I201=0),"",CEILING($T201/$I201,1))</f>
        <v/>
      </c>
      <c r="W201" s="6" t="n"/>
    </row>
    <row r="202">
      <c r="A202" t="inlineStr">
        <is>
          <t>W201</t>
        </is>
      </c>
      <c r="B202" s="6" t="n"/>
      <c r="C202" s="6" t="n"/>
      <c r="D202" s="6" t="n"/>
      <c r="E202" s="6" t="n"/>
      <c r="F202">
        <f>IF(E202="","",IMAGE(E202))</f>
        <v/>
      </c>
      <c r="G202" s="6" t="n"/>
      <c r="H202" s="7" t="n"/>
      <c r="I202" s="7" t="n"/>
      <c r="J202" s="6" t="n"/>
      <c r="K202" s="6" t="n"/>
      <c r="L202" s="6" t="n"/>
      <c r="M202" s="6" t="n"/>
      <c r="N202" s="6" t="n"/>
      <c r="O202" s="6" t="n"/>
      <c r="P202" s="8" t="n"/>
      <c r="Q202" s="7" t="n"/>
      <c r="R202" s="9" t="n"/>
      <c r="S202" s="10">
        <f>IF($C202="","",$I202*$R202)</f>
        <v/>
      </c>
      <c r="T202" s="10">
        <f>IF($C202="","",(IF($N202="Purchased",$H202,0)+$Q202))</f>
        <v/>
      </c>
      <c r="U202" s="10">
        <f>IF($C202="","",$S202-$T202)</f>
        <v/>
      </c>
      <c r="V202" s="11">
        <f>IF(OR($C202="",$I202=0),"",CEILING($T202/$I202,1))</f>
        <v/>
      </c>
      <c r="W202" s="6" t="n"/>
    </row>
    <row r="203">
      <c r="A203" t="inlineStr">
        <is>
          <t>W202</t>
        </is>
      </c>
      <c r="B203" s="6" t="n"/>
      <c r="C203" s="6" t="n"/>
      <c r="D203" s="6" t="n"/>
      <c r="E203" s="6" t="n"/>
      <c r="F203">
        <f>IF(E203="","",IMAGE(E203))</f>
        <v/>
      </c>
      <c r="G203" s="6" t="n"/>
      <c r="H203" s="7" t="n"/>
      <c r="I203" s="7" t="n"/>
      <c r="J203" s="6" t="n"/>
      <c r="K203" s="6" t="n"/>
      <c r="L203" s="6" t="n"/>
      <c r="M203" s="6" t="n"/>
      <c r="N203" s="6" t="n"/>
      <c r="O203" s="6" t="n"/>
      <c r="P203" s="8" t="n"/>
      <c r="Q203" s="7" t="n"/>
      <c r="R203" s="9" t="n"/>
      <c r="S203" s="10">
        <f>IF($C203="","",$I203*$R203)</f>
        <v/>
      </c>
      <c r="T203" s="10">
        <f>IF($C203="","",(IF($N203="Purchased",$H203,0)+$Q203))</f>
        <v/>
      </c>
      <c r="U203" s="10">
        <f>IF($C203="","",$S203-$T203)</f>
        <v/>
      </c>
      <c r="V203" s="11">
        <f>IF(OR($C203="",$I203=0),"",CEILING($T203/$I203,1))</f>
        <v/>
      </c>
      <c r="W203" s="6" t="n"/>
    </row>
    <row r="204">
      <c r="A204" t="inlineStr">
        <is>
          <t>W203</t>
        </is>
      </c>
      <c r="B204" s="6" t="n"/>
      <c r="C204" s="6" t="n"/>
      <c r="D204" s="6" t="n"/>
      <c r="E204" s="6" t="n"/>
      <c r="F204">
        <f>IF(E204="","",IMAGE(E204))</f>
        <v/>
      </c>
      <c r="G204" s="6" t="n"/>
      <c r="H204" s="7" t="n"/>
      <c r="I204" s="7" t="n"/>
      <c r="J204" s="6" t="n"/>
      <c r="K204" s="6" t="n"/>
      <c r="L204" s="6" t="n"/>
      <c r="M204" s="6" t="n"/>
      <c r="N204" s="6" t="n"/>
      <c r="O204" s="6" t="n"/>
      <c r="P204" s="8" t="n"/>
      <c r="Q204" s="7" t="n"/>
      <c r="R204" s="9" t="n"/>
      <c r="S204" s="10">
        <f>IF($C204="","",$I204*$R204)</f>
        <v/>
      </c>
      <c r="T204" s="10">
        <f>IF($C204="","",(IF($N204="Purchased",$H204,0)+$Q204))</f>
        <v/>
      </c>
      <c r="U204" s="10">
        <f>IF($C204="","",$S204-$T204)</f>
        <v/>
      </c>
      <c r="V204" s="11">
        <f>IF(OR($C204="",$I204=0),"",CEILING($T204/$I204,1))</f>
        <v/>
      </c>
      <c r="W204" s="6" t="n"/>
    </row>
    <row r="205">
      <c r="A205" t="inlineStr">
        <is>
          <t>W204</t>
        </is>
      </c>
      <c r="B205" s="6" t="n"/>
      <c r="C205" s="6" t="n"/>
      <c r="D205" s="6" t="n"/>
      <c r="E205" s="6" t="n"/>
      <c r="F205">
        <f>IF(E205="","",IMAGE(E205))</f>
        <v/>
      </c>
      <c r="G205" s="6" t="n"/>
      <c r="H205" s="7" t="n"/>
      <c r="I205" s="7" t="n"/>
      <c r="J205" s="6" t="n"/>
      <c r="K205" s="6" t="n"/>
      <c r="L205" s="6" t="n"/>
      <c r="M205" s="6" t="n"/>
      <c r="N205" s="6" t="n"/>
      <c r="O205" s="6" t="n"/>
      <c r="P205" s="8" t="n"/>
      <c r="Q205" s="7" t="n"/>
      <c r="R205" s="9" t="n"/>
      <c r="S205" s="10">
        <f>IF($C205="","",$I205*$R205)</f>
        <v/>
      </c>
      <c r="T205" s="10">
        <f>IF($C205="","",(IF($N205="Purchased",$H205,0)+$Q205))</f>
        <v/>
      </c>
      <c r="U205" s="10">
        <f>IF($C205="","",$S205-$T205)</f>
        <v/>
      </c>
      <c r="V205" s="11">
        <f>IF(OR($C205="",$I205=0),"",CEILING($T205/$I205,1))</f>
        <v/>
      </c>
      <c r="W205" s="6" t="n"/>
    </row>
    <row r="206">
      <c r="A206" t="inlineStr">
        <is>
          <t>W205</t>
        </is>
      </c>
      <c r="B206" s="6" t="n"/>
      <c r="C206" s="6" t="n"/>
      <c r="D206" s="6" t="n"/>
      <c r="E206" s="6" t="n"/>
      <c r="F206">
        <f>IF(E206="","",IMAGE(E206))</f>
        <v/>
      </c>
      <c r="G206" s="6" t="n"/>
      <c r="H206" s="7" t="n"/>
      <c r="I206" s="7" t="n"/>
      <c r="J206" s="6" t="n"/>
      <c r="K206" s="6" t="n"/>
      <c r="L206" s="6" t="n"/>
      <c r="M206" s="6" t="n"/>
      <c r="N206" s="6" t="n"/>
      <c r="O206" s="6" t="n"/>
      <c r="P206" s="8" t="n"/>
      <c r="Q206" s="7" t="n"/>
      <c r="R206" s="9" t="n"/>
      <c r="S206" s="10">
        <f>IF($C206="","",$I206*$R206)</f>
        <v/>
      </c>
      <c r="T206" s="10">
        <f>IF($C206="","",(IF($N206="Purchased",$H206,0)+$Q206))</f>
        <v/>
      </c>
      <c r="U206" s="10">
        <f>IF($C206="","",$S206-$T206)</f>
        <v/>
      </c>
      <c r="V206" s="11">
        <f>IF(OR($C206="",$I206=0),"",CEILING($T206/$I206,1))</f>
        <v/>
      </c>
      <c r="W206" s="6" t="n"/>
    </row>
    <row r="207">
      <c r="A207" t="inlineStr">
        <is>
          <t>W206</t>
        </is>
      </c>
      <c r="B207" s="6" t="n"/>
      <c r="C207" s="6" t="n"/>
      <c r="D207" s="6" t="n"/>
      <c r="E207" s="6" t="n"/>
      <c r="F207">
        <f>IF(E207="","",IMAGE(E207))</f>
        <v/>
      </c>
      <c r="G207" s="6" t="n"/>
      <c r="H207" s="7" t="n"/>
      <c r="I207" s="7" t="n"/>
      <c r="J207" s="6" t="n"/>
      <c r="K207" s="6" t="n"/>
      <c r="L207" s="6" t="n"/>
      <c r="M207" s="6" t="n"/>
      <c r="N207" s="6" t="n"/>
      <c r="O207" s="6" t="n"/>
      <c r="P207" s="8" t="n"/>
      <c r="Q207" s="7" t="n"/>
      <c r="R207" s="9" t="n"/>
      <c r="S207" s="10">
        <f>IF($C207="","",$I207*$R207)</f>
        <v/>
      </c>
      <c r="T207" s="10">
        <f>IF($C207="","",(IF($N207="Purchased",$H207,0)+$Q207))</f>
        <v/>
      </c>
      <c r="U207" s="10">
        <f>IF($C207="","",$S207-$T207)</f>
        <v/>
      </c>
      <c r="V207" s="11">
        <f>IF(OR($C207="",$I207=0),"",CEILING($T207/$I207,1))</f>
        <v/>
      </c>
      <c r="W207" s="6" t="n"/>
    </row>
    <row r="208">
      <c r="A208" t="inlineStr">
        <is>
          <t>W207</t>
        </is>
      </c>
      <c r="B208" s="6" t="n"/>
      <c r="C208" s="6" t="n"/>
      <c r="D208" s="6" t="n"/>
      <c r="E208" s="6" t="n"/>
      <c r="F208">
        <f>IF(E208="","",IMAGE(E208))</f>
        <v/>
      </c>
      <c r="G208" s="6" t="n"/>
      <c r="H208" s="7" t="n"/>
      <c r="I208" s="7" t="n"/>
      <c r="J208" s="6" t="n"/>
      <c r="K208" s="6" t="n"/>
      <c r="L208" s="6" t="n"/>
      <c r="M208" s="6" t="n"/>
      <c r="N208" s="6" t="n"/>
      <c r="O208" s="6" t="n"/>
      <c r="P208" s="8" t="n"/>
      <c r="Q208" s="7" t="n"/>
      <c r="R208" s="9" t="n"/>
      <c r="S208" s="10">
        <f>IF($C208="","",$I208*$R208)</f>
        <v/>
      </c>
      <c r="T208" s="10">
        <f>IF($C208="","",(IF($N208="Purchased",$H208,0)+$Q208))</f>
        <v/>
      </c>
      <c r="U208" s="10">
        <f>IF($C208="","",$S208-$T208)</f>
        <v/>
      </c>
      <c r="V208" s="11">
        <f>IF(OR($C208="",$I208=0),"",CEILING($T208/$I208,1))</f>
        <v/>
      </c>
      <c r="W208" s="6" t="n"/>
    </row>
    <row r="209">
      <c r="A209" t="inlineStr">
        <is>
          <t>W208</t>
        </is>
      </c>
      <c r="B209" s="6" t="n"/>
      <c r="C209" s="6" t="n"/>
      <c r="D209" s="6" t="n"/>
      <c r="E209" s="6" t="n"/>
      <c r="F209">
        <f>IF(E209="","",IMAGE(E209))</f>
        <v/>
      </c>
      <c r="G209" s="6" t="n"/>
      <c r="H209" s="7" t="n"/>
      <c r="I209" s="7" t="n"/>
      <c r="J209" s="6" t="n"/>
      <c r="K209" s="6" t="n"/>
      <c r="L209" s="6" t="n"/>
      <c r="M209" s="6" t="n"/>
      <c r="N209" s="6" t="n"/>
      <c r="O209" s="6" t="n"/>
      <c r="P209" s="8" t="n"/>
      <c r="Q209" s="7" t="n"/>
      <c r="R209" s="9" t="n"/>
      <c r="S209" s="10">
        <f>IF($C209="","",$I209*$R209)</f>
        <v/>
      </c>
      <c r="T209" s="10">
        <f>IF($C209="","",(IF($N209="Purchased",$H209,0)+$Q209))</f>
        <v/>
      </c>
      <c r="U209" s="10">
        <f>IF($C209="","",$S209-$T209)</f>
        <v/>
      </c>
      <c r="V209" s="11">
        <f>IF(OR($C209="",$I209=0),"",CEILING($T209/$I209,1))</f>
        <v/>
      </c>
      <c r="W209" s="6" t="n"/>
    </row>
    <row r="210">
      <c r="A210" t="inlineStr">
        <is>
          <t>W209</t>
        </is>
      </c>
      <c r="B210" s="6" t="n"/>
      <c r="C210" s="6" t="n"/>
      <c r="D210" s="6" t="n"/>
      <c r="E210" s="6" t="n"/>
      <c r="F210">
        <f>IF(E210="","",IMAGE(E210))</f>
        <v/>
      </c>
      <c r="G210" s="6" t="n"/>
      <c r="H210" s="7" t="n"/>
      <c r="I210" s="7" t="n"/>
      <c r="J210" s="6" t="n"/>
      <c r="K210" s="6" t="n"/>
      <c r="L210" s="6" t="n"/>
      <c r="M210" s="6" t="n"/>
      <c r="N210" s="6" t="n"/>
      <c r="O210" s="6" t="n"/>
      <c r="P210" s="8" t="n"/>
      <c r="Q210" s="7" t="n"/>
      <c r="R210" s="9" t="n"/>
      <c r="S210" s="10">
        <f>IF($C210="","",$I210*$R210)</f>
        <v/>
      </c>
      <c r="T210" s="10">
        <f>IF($C210="","",(IF($N210="Purchased",$H210,0)+$Q210))</f>
        <v/>
      </c>
      <c r="U210" s="10">
        <f>IF($C210="","",$S210-$T210)</f>
        <v/>
      </c>
      <c r="V210" s="11">
        <f>IF(OR($C210="",$I210=0),"",CEILING($T210/$I210,1))</f>
        <v/>
      </c>
      <c r="W210" s="6" t="n"/>
    </row>
    <row r="211">
      <c r="A211" t="inlineStr">
        <is>
          <t>W210</t>
        </is>
      </c>
      <c r="B211" s="6" t="n"/>
      <c r="C211" s="6" t="n"/>
      <c r="D211" s="6" t="n"/>
      <c r="E211" s="6" t="n"/>
      <c r="F211">
        <f>IF(E211="","",IMAGE(E211))</f>
        <v/>
      </c>
      <c r="G211" s="6" t="n"/>
      <c r="H211" s="7" t="n"/>
      <c r="I211" s="7" t="n"/>
      <c r="J211" s="6" t="n"/>
      <c r="K211" s="6" t="n"/>
      <c r="L211" s="6" t="n"/>
      <c r="M211" s="6" t="n"/>
      <c r="N211" s="6" t="n"/>
      <c r="O211" s="6" t="n"/>
      <c r="P211" s="8" t="n"/>
      <c r="Q211" s="7" t="n"/>
      <c r="R211" s="9" t="n"/>
      <c r="S211" s="10">
        <f>IF($C211="","",$I211*$R211)</f>
        <v/>
      </c>
      <c r="T211" s="10">
        <f>IF($C211="","",(IF($N211="Purchased",$H211,0)+$Q211))</f>
        <v/>
      </c>
      <c r="U211" s="10">
        <f>IF($C211="","",$S211-$T211)</f>
        <v/>
      </c>
      <c r="V211" s="11">
        <f>IF(OR($C211="",$I211=0),"",CEILING($T211/$I211,1))</f>
        <v/>
      </c>
      <c r="W211" s="6" t="n"/>
    </row>
    <row r="212">
      <c r="A212" t="inlineStr">
        <is>
          <t>W211</t>
        </is>
      </c>
      <c r="B212" s="6" t="n"/>
      <c r="C212" s="6" t="n"/>
      <c r="D212" s="6" t="n"/>
      <c r="E212" s="6" t="n"/>
      <c r="F212">
        <f>IF(E212="","",IMAGE(E212))</f>
        <v/>
      </c>
      <c r="G212" s="6" t="n"/>
      <c r="H212" s="7" t="n"/>
      <c r="I212" s="7" t="n"/>
      <c r="J212" s="6" t="n"/>
      <c r="K212" s="6" t="n"/>
      <c r="L212" s="6" t="n"/>
      <c r="M212" s="6" t="n"/>
      <c r="N212" s="6" t="n"/>
      <c r="O212" s="6" t="n"/>
      <c r="P212" s="8" t="n"/>
      <c r="Q212" s="7" t="n"/>
      <c r="R212" s="9" t="n"/>
      <c r="S212" s="10">
        <f>IF($C212="","",$I212*$R212)</f>
        <v/>
      </c>
      <c r="T212" s="10">
        <f>IF($C212="","",(IF($N212="Purchased",$H212,0)+$Q212))</f>
        <v/>
      </c>
      <c r="U212" s="10">
        <f>IF($C212="","",$S212-$T212)</f>
        <v/>
      </c>
      <c r="V212" s="11">
        <f>IF(OR($C212="",$I212=0),"",CEILING($T212/$I212,1))</f>
        <v/>
      </c>
      <c r="W212" s="6" t="n"/>
    </row>
    <row r="213">
      <c r="A213" t="inlineStr">
        <is>
          <t>W212</t>
        </is>
      </c>
      <c r="B213" s="6" t="n"/>
      <c r="C213" s="6" t="n"/>
      <c r="D213" s="6" t="n"/>
      <c r="E213" s="6" t="n"/>
      <c r="F213">
        <f>IF(E213="","",IMAGE(E213))</f>
        <v/>
      </c>
      <c r="G213" s="6" t="n"/>
      <c r="H213" s="7" t="n"/>
      <c r="I213" s="7" t="n"/>
      <c r="J213" s="6" t="n"/>
      <c r="K213" s="6" t="n"/>
      <c r="L213" s="6" t="n"/>
      <c r="M213" s="6" t="n"/>
      <c r="N213" s="6" t="n"/>
      <c r="O213" s="6" t="n"/>
      <c r="P213" s="8" t="n"/>
      <c r="Q213" s="7" t="n"/>
      <c r="R213" s="9" t="n"/>
      <c r="S213" s="10">
        <f>IF($C213="","",$I213*$R213)</f>
        <v/>
      </c>
      <c r="T213" s="10">
        <f>IF($C213="","",(IF($N213="Purchased",$H213,0)+$Q213))</f>
        <v/>
      </c>
      <c r="U213" s="10">
        <f>IF($C213="","",$S213-$T213)</f>
        <v/>
      </c>
      <c r="V213" s="11">
        <f>IF(OR($C213="",$I213=0),"",CEILING($T213/$I213,1))</f>
        <v/>
      </c>
      <c r="W213" s="6" t="n"/>
    </row>
    <row r="214">
      <c r="A214" t="inlineStr">
        <is>
          <t>W213</t>
        </is>
      </c>
      <c r="B214" s="6" t="n"/>
      <c r="C214" s="6" t="n"/>
      <c r="D214" s="6" t="n"/>
      <c r="E214" s="6" t="n"/>
      <c r="F214">
        <f>IF(E214="","",IMAGE(E214))</f>
        <v/>
      </c>
      <c r="G214" s="6" t="n"/>
      <c r="H214" s="7" t="n"/>
      <c r="I214" s="7" t="n"/>
      <c r="J214" s="6" t="n"/>
      <c r="K214" s="6" t="n"/>
      <c r="L214" s="6" t="n"/>
      <c r="M214" s="6" t="n"/>
      <c r="N214" s="6" t="n"/>
      <c r="O214" s="6" t="n"/>
      <c r="P214" s="8" t="n"/>
      <c r="Q214" s="7" t="n"/>
      <c r="R214" s="9" t="n"/>
      <c r="S214" s="10">
        <f>IF($C214="","",$I214*$R214)</f>
        <v/>
      </c>
      <c r="T214" s="10">
        <f>IF($C214="","",(IF($N214="Purchased",$H214,0)+$Q214))</f>
        <v/>
      </c>
      <c r="U214" s="10">
        <f>IF($C214="","",$S214-$T214)</f>
        <v/>
      </c>
      <c r="V214" s="11">
        <f>IF(OR($C214="",$I214=0),"",CEILING($T214/$I214,1))</f>
        <v/>
      </c>
      <c r="W214" s="6" t="n"/>
    </row>
    <row r="215">
      <c r="A215" t="inlineStr">
        <is>
          <t>W214</t>
        </is>
      </c>
      <c r="B215" s="6" t="n"/>
      <c r="C215" s="6" t="n"/>
      <c r="D215" s="6" t="n"/>
      <c r="E215" s="6" t="n"/>
      <c r="F215">
        <f>IF(E215="","",IMAGE(E215))</f>
        <v/>
      </c>
      <c r="G215" s="6" t="n"/>
      <c r="H215" s="7" t="n"/>
      <c r="I215" s="7" t="n"/>
      <c r="J215" s="6" t="n"/>
      <c r="K215" s="6" t="n"/>
      <c r="L215" s="6" t="n"/>
      <c r="M215" s="6" t="n"/>
      <c r="N215" s="6" t="n"/>
      <c r="O215" s="6" t="n"/>
      <c r="P215" s="8" t="n"/>
      <c r="Q215" s="7" t="n"/>
      <c r="R215" s="9" t="n"/>
      <c r="S215" s="10">
        <f>IF($C215="","",$I215*$R215)</f>
        <v/>
      </c>
      <c r="T215" s="10">
        <f>IF($C215="","",(IF($N215="Purchased",$H215,0)+$Q215))</f>
        <v/>
      </c>
      <c r="U215" s="10">
        <f>IF($C215="","",$S215-$T215)</f>
        <v/>
      </c>
      <c r="V215" s="11">
        <f>IF(OR($C215="",$I215=0),"",CEILING($T215/$I215,1))</f>
        <v/>
      </c>
      <c r="W215" s="6" t="n"/>
    </row>
    <row r="216">
      <c r="A216" t="inlineStr">
        <is>
          <t>W215</t>
        </is>
      </c>
      <c r="B216" s="6" t="n"/>
      <c r="C216" s="6" t="n"/>
      <c r="D216" s="6" t="n"/>
      <c r="E216" s="6" t="n"/>
      <c r="F216">
        <f>IF(E216="","",IMAGE(E216))</f>
        <v/>
      </c>
      <c r="G216" s="6" t="n"/>
      <c r="H216" s="7" t="n"/>
      <c r="I216" s="7" t="n"/>
      <c r="J216" s="6" t="n"/>
      <c r="K216" s="6" t="n"/>
      <c r="L216" s="6" t="n"/>
      <c r="M216" s="6" t="n"/>
      <c r="N216" s="6" t="n"/>
      <c r="O216" s="6" t="n"/>
      <c r="P216" s="8" t="n"/>
      <c r="Q216" s="7" t="n"/>
      <c r="R216" s="9" t="n"/>
      <c r="S216" s="10">
        <f>IF($C216="","",$I216*$R216)</f>
        <v/>
      </c>
      <c r="T216" s="10">
        <f>IF($C216="","",(IF($N216="Purchased",$H216,0)+$Q216))</f>
        <v/>
      </c>
      <c r="U216" s="10">
        <f>IF($C216="","",$S216-$T216)</f>
        <v/>
      </c>
      <c r="V216" s="11">
        <f>IF(OR($C216="",$I216=0),"",CEILING($T216/$I216,1))</f>
        <v/>
      </c>
      <c r="W216" s="6" t="n"/>
    </row>
    <row r="217">
      <c r="A217" t="inlineStr">
        <is>
          <t>W216</t>
        </is>
      </c>
      <c r="B217" s="6" t="n"/>
      <c r="C217" s="6" t="n"/>
      <c r="D217" s="6" t="n"/>
      <c r="E217" s="6" t="n"/>
      <c r="F217">
        <f>IF(E217="","",IMAGE(E217))</f>
        <v/>
      </c>
      <c r="G217" s="6" t="n"/>
      <c r="H217" s="7" t="n"/>
      <c r="I217" s="7" t="n"/>
      <c r="J217" s="6" t="n"/>
      <c r="K217" s="6" t="n"/>
      <c r="L217" s="6" t="n"/>
      <c r="M217" s="6" t="n"/>
      <c r="N217" s="6" t="n"/>
      <c r="O217" s="6" t="n"/>
      <c r="P217" s="8" t="n"/>
      <c r="Q217" s="7" t="n"/>
      <c r="R217" s="9" t="n"/>
      <c r="S217" s="10">
        <f>IF($C217="","",$I217*$R217)</f>
        <v/>
      </c>
      <c r="T217" s="10">
        <f>IF($C217="","",(IF($N217="Purchased",$H217,0)+$Q217))</f>
        <v/>
      </c>
      <c r="U217" s="10">
        <f>IF($C217="","",$S217-$T217)</f>
        <v/>
      </c>
      <c r="V217" s="11">
        <f>IF(OR($C217="",$I217=0),"",CEILING($T217/$I217,1))</f>
        <v/>
      </c>
      <c r="W217" s="6" t="n"/>
    </row>
    <row r="218">
      <c r="A218" t="inlineStr">
        <is>
          <t>W217</t>
        </is>
      </c>
      <c r="B218" s="6" t="n"/>
      <c r="C218" s="6" t="n"/>
      <c r="D218" s="6" t="n"/>
      <c r="E218" s="6" t="n"/>
      <c r="F218">
        <f>IF(E218="","",IMAGE(E218))</f>
        <v/>
      </c>
      <c r="G218" s="6" t="n"/>
      <c r="H218" s="7" t="n"/>
      <c r="I218" s="7" t="n"/>
      <c r="J218" s="6" t="n"/>
      <c r="K218" s="6" t="n"/>
      <c r="L218" s="6" t="n"/>
      <c r="M218" s="6" t="n"/>
      <c r="N218" s="6" t="n"/>
      <c r="O218" s="6" t="n"/>
      <c r="P218" s="8" t="n"/>
      <c r="Q218" s="7" t="n"/>
      <c r="R218" s="9" t="n"/>
      <c r="S218" s="10">
        <f>IF($C218="","",$I218*$R218)</f>
        <v/>
      </c>
      <c r="T218" s="10">
        <f>IF($C218="","",(IF($N218="Purchased",$H218,0)+$Q218))</f>
        <v/>
      </c>
      <c r="U218" s="10">
        <f>IF($C218="","",$S218-$T218)</f>
        <v/>
      </c>
      <c r="V218" s="11">
        <f>IF(OR($C218="",$I218=0),"",CEILING($T218/$I218,1))</f>
        <v/>
      </c>
      <c r="W218" s="6" t="n"/>
    </row>
    <row r="219">
      <c r="A219" t="inlineStr">
        <is>
          <t>W218</t>
        </is>
      </c>
      <c r="B219" s="6" t="n"/>
      <c r="C219" s="6" t="n"/>
      <c r="D219" s="6" t="n"/>
      <c r="E219" s="6" t="n"/>
      <c r="F219">
        <f>IF(E219="","",IMAGE(E219))</f>
        <v/>
      </c>
      <c r="G219" s="6" t="n"/>
      <c r="H219" s="7" t="n"/>
      <c r="I219" s="7" t="n"/>
      <c r="J219" s="6" t="n"/>
      <c r="K219" s="6" t="n"/>
      <c r="L219" s="6" t="n"/>
      <c r="M219" s="6" t="n"/>
      <c r="N219" s="6" t="n"/>
      <c r="O219" s="6" t="n"/>
      <c r="P219" s="8" t="n"/>
      <c r="Q219" s="7" t="n"/>
      <c r="R219" s="9" t="n"/>
      <c r="S219" s="10">
        <f>IF($C219="","",$I219*$R219)</f>
        <v/>
      </c>
      <c r="T219" s="10">
        <f>IF($C219="","",(IF($N219="Purchased",$H219,0)+$Q219))</f>
        <v/>
      </c>
      <c r="U219" s="10">
        <f>IF($C219="","",$S219-$T219)</f>
        <v/>
      </c>
      <c r="V219" s="11">
        <f>IF(OR($C219="",$I219=0),"",CEILING($T219/$I219,1))</f>
        <v/>
      </c>
      <c r="W219" s="6" t="n"/>
    </row>
    <row r="220">
      <c r="A220" t="inlineStr">
        <is>
          <t>W219</t>
        </is>
      </c>
      <c r="B220" s="6" t="n"/>
      <c r="C220" s="6" t="n"/>
      <c r="D220" s="6" t="n"/>
      <c r="E220" s="6" t="n"/>
      <c r="F220">
        <f>IF(E220="","",IMAGE(E220))</f>
        <v/>
      </c>
      <c r="G220" s="6" t="n"/>
      <c r="H220" s="7" t="n"/>
      <c r="I220" s="7" t="n"/>
      <c r="J220" s="6" t="n"/>
      <c r="K220" s="6" t="n"/>
      <c r="L220" s="6" t="n"/>
      <c r="M220" s="6" t="n"/>
      <c r="N220" s="6" t="n"/>
      <c r="O220" s="6" t="n"/>
      <c r="P220" s="8" t="n"/>
      <c r="Q220" s="7" t="n"/>
      <c r="R220" s="9" t="n"/>
      <c r="S220" s="10">
        <f>IF($C220="","",$I220*$R220)</f>
        <v/>
      </c>
      <c r="T220" s="10">
        <f>IF($C220="","",(IF($N220="Purchased",$H220,0)+$Q220))</f>
        <v/>
      </c>
      <c r="U220" s="10">
        <f>IF($C220="","",$S220-$T220)</f>
        <v/>
      </c>
      <c r="V220" s="11">
        <f>IF(OR($C220="",$I220=0),"",CEILING($T220/$I220,1))</f>
        <v/>
      </c>
      <c r="W220" s="6" t="n"/>
    </row>
    <row r="221">
      <c r="A221" t="inlineStr">
        <is>
          <t>W220</t>
        </is>
      </c>
      <c r="B221" s="6" t="n"/>
      <c r="C221" s="6" t="n"/>
      <c r="D221" s="6" t="n"/>
      <c r="E221" s="6" t="n"/>
      <c r="F221">
        <f>IF(E221="","",IMAGE(E221))</f>
        <v/>
      </c>
      <c r="G221" s="6" t="n"/>
      <c r="H221" s="7" t="n"/>
      <c r="I221" s="7" t="n"/>
      <c r="J221" s="6" t="n"/>
      <c r="K221" s="6" t="n"/>
      <c r="L221" s="6" t="n"/>
      <c r="M221" s="6" t="n"/>
      <c r="N221" s="6" t="n"/>
      <c r="O221" s="6" t="n"/>
      <c r="P221" s="8" t="n"/>
      <c r="Q221" s="7" t="n"/>
      <c r="R221" s="9" t="n"/>
      <c r="S221" s="10">
        <f>IF($C221="","",$I221*$R221)</f>
        <v/>
      </c>
      <c r="T221" s="10">
        <f>IF($C221="","",(IF($N221="Purchased",$H221,0)+$Q221))</f>
        <v/>
      </c>
      <c r="U221" s="10">
        <f>IF($C221="","",$S221-$T221)</f>
        <v/>
      </c>
      <c r="V221" s="11">
        <f>IF(OR($C221="",$I221=0),"",CEILING($T221/$I221,1))</f>
        <v/>
      </c>
      <c r="W221" s="6" t="n"/>
    </row>
    <row r="222">
      <c r="A222" t="inlineStr">
        <is>
          <t>W221</t>
        </is>
      </c>
      <c r="B222" s="6" t="n"/>
      <c r="C222" s="6" t="n"/>
      <c r="D222" s="6" t="n"/>
      <c r="E222" s="6" t="n"/>
      <c r="F222">
        <f>IF(E222="","",IMAGE(E222))</f>
        <v/>
      </c>
      <c r="G222" s="6" t="n"/>
      <c r="H222" s="7" t="n"/>
      <c r="I222" s="7" t="n"/>
      <c r="J222" s="6" t="n"/>
      <c r="K222" s="6" t="n"/>
      <c r="L222" s="6" t="n"/>
      <c r="M222" s="6" t="n"/>
      <c r="N222" s="6" t="n"/>
      <c r="O222" s="6" t="n"/>
      <c r="P222" s="8" t="n"/>
      <c r="Q222" s="7" t="n"/>
      <c r="R222" s="9" t="n"/>
      <c r="S222" s="10">
        <f>IF($C222="","",$I222*$R222)</f>
        <v/>
      </c>
      <c r="T222" s="10">
        <f>IF($C222="","",(IF($N222="Purchased",$H222,0)+$Q222))</f>
        <v/>
      </c>
      <c r="U222" s="10">
        <f>IF($C222="","",$S222-$T222)</f>
        <v/>
      </c>
      <c r="V222" s="11">
        <f>IF(OR($C222="",$I222=0),"",CEILING($T222/$I222,1))</f>
        <v/>
      </c>
      <c r="W222" s="6" t="n"/>
    </row>
    <row r="223">
      <c r="A223" t="inlineStr">
        <is>
          <t>W222</t>
        </is>
      </c>
      <c r="B223" s="6" t="n"/>
      <c r="C223" s="6" t="n"/>
      <c r="D223" s="6" t="n"/>
      <c r="E223" s="6" t="n"/>
      <c r="F223">
        <f>IF(E223="","",IMAGE(E223))</f>
        <v/>
      </c>
      <c r="G223" s="6" t="n"/>
      <c r="H223" s="7" t="n"/>
      <c r="I223" s="7" t="n"/>
      <c r="J223" s="6" t="n"/>
      <c r="K223" s="6" t="n"/>
      <c r="L223" s="6" t="n"/>
      <c r="M223" s="6" t="n"/>
      <c r="N223" s="6" t="n"/>
      <c r="O223" s="6" t="n"/>
      <c r="P223" s="8" t="n"/>
      <c r="Q223" s="7" t="n"/>
      <c r="R223" s="9" t="n"/>
      <c r="S223" s="10">
        <f>IF($C223="","",$I223*$R223)</f>
        <v/>
      </c>
      <c r="T223" s="10">
        <f>IF($C223="","",(IF($N223="Purchased",$H223,0)+$Q223))</f>
        <v/>
      </c>
      <c r="U223" s="10">
        <f>IF($C223="","",$S223-$T223)</f>
        <v/>
      </c>
      <c r="V223" s="11">
        <f>IF(OR($C223="",$I223=0),"",CEILING($T223/$I223,1))</f>
        <v/>
      </c>
      <c r="W223" s="6" t="n"/>
    </row>
    <row r="224">
      <c r="A224" t="inlineStr">
        <is>
          <t>W223</t>
        </is>
      </c>
      <c r="B224" s="6" t="n"/>
      <c r="C224" s="6" t="n"/>
      <c r="D224" s="6" t="n"/>
      <c r="E224" s="6" t="n"/>
      <c r="F224">
        <f>IF(E224="","",IMAGE(E224))</f>
        <v/>
      </c>
      <c r="G224" s="6" t="n"/>
      <c r="H224" s="7" t="n"/>
      <c r="I224" s="7" t="n"/>
      <c r="J224" s="6" t="n"/>
      <c r="K224" s="6" t="n"/>
      <c r="L224" s="6" t="n"/>
      <c r="M224" s="6" t="n"/>
      <c r="N224" s="6" t="n"/>
      <c r="O224" s="6" t="n"/>
      <c r="P224" s="8" t="n"/>
      <c r="Q224" s="7" t="n"/>
      <c r="R224" s="9" t="n"/>
      <c r="S224" s="10">
        <f>IF($C224="","",$I224*$R224)</f>
        <v/>
      </c>
      <c r="T224" s="10">
        <f>IF($C224="","",(IF($N224="Purchased",$H224,0)+$Q224))</f>
        <v/>
      </c>
      <c r="U224" s="10">
        <f>IF($C224="","",$S224-$T224)</f>
        <v/>
      </c>
      <c r="V224" s="11">
        <f>IF(OR($C224="",$I224=0),"",CEILING($T224/$I224,1))</f>
        <v/>
      </c>
      <c r="W224" s="6" t="n"/>
    </row>
    <row r="225">
      <c r="A225" t="inlineStr">
        <is>
          <t>W224</t>
        </is>
      </c>
      <c r="B225" s="6" t="n"/>
      <c r="C225" s="6" t="n"/>
      <c r="D225" s="6" t="n"/>
      <c r="E225" s="6" t="n"/>
      <c r="F225">
        <f>IF(E225="","",IMAGE(E225))</f>
        <v/>
      </c>
      <c r="G225" s="6" t="n"/>
      <c r="H225" s="7" t="n"/>
      <c r="I225" s="7" t="n"/>
      <c r="J225" s="6" t="n"/>
      <c r="K225" s="6" t="n"/>
      <c r="L225" s="6" t="n"/>
      <c r="M225" s="6" t="n"/>
      <c r="N225" s="6" t="n"/>
      <c r="O225" s="6" t="n"/>
      <c r="P225" s="8" t="n"/>
      <c r="Q225" s="7" t="n"/>
      <c r="R225" s="9" t="n"/>
      <c r="S225" s="10">
        <f>IF($C225="","",$I225*$R225)</f>
        <v/>
      </c>
      <c r="T225" s="10">
        <f>IF($C225="","",(IF($N225="Purchased",$H225,0)+$Q225))</f>
        <v/>
      </c>
      <c r="U225" s="10">
        <f>IF($C225="","",$S225-$T225)</f>
        <v/>
      </c>
      <c r="V225" s="11">
        <f>IF(OR($C225="",$I225=0),"",CEILING($T225/$I225,1))</f>
        <v/>
      </c>
      <c r="W225" s="6" t="n"/>
    </row>
    <row r="226">
      <c r="A226" t="inlineStr">
        <is>
          <t>W225</t>
        </is>
      </c>
      <c r="B226" s="6" t="n"/>
      <c r="C226" s="6" t="n"/>
      <c r="D226" s="6" t="n"/>
      <c r="E226" s="6" t="n"/>
      <c r="F226">
        <f>IF(E226="","",IMAGE(E226))</f>
        <v/>
      </c>
      <c r="G226" s="6" t="n"/>
      <c r="H226" s="7" t="n"/>
      <c r="I226" s="7" t="n"/>
      <c r="J226" s="6" t="n"/>
      <c r="K226" s="6" t="n"/>
      <c r="L226" s="6" t="n"/>
      <c r="M226" s="6" t="n"/>
      <c r="N226" s="6" t="n"/>
      <c r="O226" s="6" t="n"/>
      <c r="P226" s="8" t="n"/>
      <c r="Q226" s="7" t="n"/>
      <c r="R226" s="9" t="n"/>
      <c r="S226" s="10">
        <f>IF($C226="","",$I226*$R226)</f>
        <v/>
      </c>
      <c r="T226" s="10">
        <f>IF($C226="","",(IF($N226="Purchased",$H226,0)+$Q226))</f>
        <v/>
      </c>
      <c r="U226" s="10">
        <f>IF($C226="","",$S226-$T226)</f>
        <v/>
      </c>
      <c r="V226" s="11">
        <f>IF(OR($C226="",$I226=0),"",CEILING($T226/$I226,1))</f>
        <v/>
      </c>
      <c r="W226" s="6" t="n"/>
    </row>
    <row r="227">
      <c r="A227" t="inlineStr">
        <is>
          <t>W226</t>
        </is>
      </c>
      <c r="B227" s="6" t="n"/>
      <c r="C227" s="6" t="n"/>
      <c r="D227" s="6" t="n"/>
      <c r="E227" s="6" t="n"/>
      <c r="F227">
        <f>IF(E227="","",IMAGE(E227))</f>
        <v/>
      </c>
      <c r="G227" s="6" t="n"/>
      <c r="H227" s="7" t="n"/>
      <c r="I227" s="7" t="n"/>
      <c r="J227" s="6" t="n"/>
      <c r="K227" s="6" t="n"/>
      <c r="L227" s="6" t="n"/>
      <c r="M227" s="6" t="n"/>
      <c r="N227" s="6" t="n"/>
      <c r="O227" s="6" t="n"/>
      <c r="P227" s="8" t="n"/>
      <c r="Q227" s="7" t="n"/>
      <c r="R227" s="9" t="n"/>
      <c r="S227" s="10">
        <f>IF($C227="","",$I227*$R227)</f>
        <v/>
      </c>
      <c r="T227" s="10">
        <f>IF($C227="","",(IF($N227="Purchased",$H227,0)+$Q227))</f>
        <v/>
      </c>
      <c r="U227" s="10">
        <f>IF($C227="","",$S227-$T227)</f>
        <v/>
      </c>
      <c r="V227" s="11">
        <f>IF(OR($C227="",$I227=0),"",CEILING($T227/$I227,1))</f>
        <v/>
      </c>
      <c r="W227" s="6" t="n"/>
    </row>
    <row r="228">
      <c r="A228" t="inlineStr">
        <is>
          <t>W227</t>
        </is>
      </c>
      <c r="B228" s="6" t="n"/>
      <c r="C228" s="6" t="n"/>
      <c r="D228" s="6" t="n"/>
      <c r="E228" s="6" t="n"/>
      <c r="F228">
        <f>IF(E228="","",IMAGE(E228))</f>
        <v/>
      </c>
      <c r="G228" s="6" t="n"/>
      <c r="H228" s="7" t="n"/>
      <c r="I228" s="7" t="n"/>
      <c r="J228" s="6" t="n"/>
      <c r="K228" s="6" t="n"/>
      <c r="L228" s="6" t="n"/>
      <c r="M228" s="6" t="n"/>
      <c r="N228" s="6" t="n"/>
      <c r="O228" s="6" t="n"/>
      <c r="P228" s="8" t="n"/>
      <c r="Q228" s="7" t="n"/>
      <c r="R228" s="9" t="n"/>
      <c r="S228" s="10">
        <f>IF($C228="","",$I228*$R228)</f>
        <v/>
      </c>
      <c r="T228" s="10">
        <f>IF($C228="","",(IF($N228="Purchased",$H228,0)+$Q228))</f>
        <v/>
      </c>
      <c r="U228" s="10">
        <f>IF($C228="","",$S228-$T228)</f>
        <v/>
      </c>
      <c r="V228" s="11">
        <f>IF(OR($C228="",$I228=0),"",CEILING($T228/$I228,1))</f>
        <v/>
      </c>
      <c r="W228" s="6" t="n"/>
    </row>
    <row r="229">
      <c r="A229" t="inlineStr">
        <is>
          <t>W228</t>
        </is>
      </c>
      <c r="B229" s="6" t="n"/>
      <c r="C229" s="6" t="n"/>
      <c r="D229" s="6" t="n"/>
      <c r="E229" s="6" t="n"/>
      <c r="F229">
        <f>IF(E229="","",IMAGE(E229))</f>
        <v/>
      </c>
      <c r="G229" s="6" t="n"/>
      <c r="H229" s="7" t="n"/>
      <c r="I229" s="7" t="n"/>
      <c r="J229" s="6" t="n"/>
      <c r="K229" s="6" t="n"/>
      <c r="L229" s="6" t="n"/>
      <c r="M229" s="6" t="n"/>
      <c r="N229" s="6" t="n"/>
      <c r="O229" s="6" t="n"/>
      <c r="P229" s="8" t="n"/>
      <c r="Q229" s="7" t="n"/>
      <c r="R229" s="9" t="n"/>
      <c r="S229" s="10">
        <f>IF($C229="","",$I229*$R229)</f>
        <v/>
      </c>
      <c r="T229" s="10">
        <f>IF($C229="","",(IF($N229="Purchased",$H229,0)+$Q229))</f>
        <v/>
      </c>
      <c r="U229" s="10">
        <f>IF($C229="","",$S229-$T229)</f>
        <v/>
      </c>
      <c r="V229" s="11">
        <f>IF(OR($C229="",$I229=0),"",CEILING($T229/$I229,1))</f>
        <v/>
      </c>
      <c r="W229" s="6" t="n"/>
    </row>
    <row r="230">
      <c r="A230" t="inlineStr">
        <is>
          <t>W229</t>
        </is>
      </c>
      <c r="B230" s="6" t="n"/>
      <c r="C230" s="6" t="n"/>
      <c r="D230" s="6" t="n"/>
      <c r="E230" s="6" t="n"/>
      <c r="F230">
        <f>IF(E230="","",IMAGE(E230))</f>
        <v/>
      </c>
      <c r="G230" s="6" t="n"/>
      <c r="H230" s="7" t="n"/>
      <c r="I230" s="7" t="n"/>
      <c r="J230" s="6" t="n"/>
      <c r="K230" s="6" t="n"/>
      <c r="L230" s="6" t="n"/>
      <c r="M230" s="6" t="n"/>
      <c r="N230" s="6" t="n"/>
      <c r="O230" s="6" t="n"/>
      <c r="P230" s="8" t="n"/>
      <c r="Q230" s="7" t="n"/>
      <c r="R230" s="9" t="n"/>
      <c r="S230" s="10">
        <f>IF($C230="","",$I230*$R230)</f>
        <v/>
      </c>
      <c r="T230" s="10">
        <f>IF($C230="","",(IF($N230="Purchased",$H230,0)+$Q230))</f>
        <v/>
      </c>
      <c r="U230" s="10">
        <f>IF($C230="","",$S230-$T230)</f>
        <v/>
      </c>
      <c r="V230" s="11">
        <f>IF(OR($C230="",$I230=0),"",CEILING($T230/$I230,1))</f>
        <v/>
      </c>
      <c r="W230" s="6" t="n"/>
    </row>
    <row r="231">
      <c r="A231" t="inlineStr">
        <is>
          <t>W230</t>
        </is>
      </c>
      <c r="B231" s="6" t="n"/>
      <c r="C231" s="6" t="n"/>
      <c r="D231" s="6" t="n"/>
      <c r="E231" s="6" t="n"/>
      <c r="F231">
        <f>IF(E231="","",IMAGE(E231))</f>
        <v/>
      </c>
      <c r="G231" s="6" t="n"/>
      <c r="H231" s="7" t="n"/>
      <c r="I231" s="7" t="n"/>
      <c r="J231" s="6" t="n"/>
      <c r="K231" s="6" t="n"/>
      <c r="L231" s="6" t="n"/>
      <c r="M231" s="6" t="n"/>
      <c r="N231" s="6" t="n"/>
      <c r="O231" s="6" t="n"/>
      <c r="P231" s="8" t="n"/>
      <c r="Q231" s="7" t="n"/>
      <c r="R231" s="9" t="n"/>
      <c r="S231" s="10">
        <f>IF($C231="","",$I231*$R231)</f>
        <v/>
      </c>
      <c r="T231" s="10">
        <f>IF($C231="","",(IF($N231="Purchased",$H231,0)+$Q231))</f>
        <v/>
      </c>
      <c r="U231" s="10">
        <f>IF($C231="","",$S231-$T231)</f>
        <v/>
      </c>
      <c r="V231" s="11">
        <f>IF(OR($C231="",$I231=0),"",CEILING($T231/$I231,1))</f>
        <v/>
      </c>
      <c r="W231" s="6" t="n"/>
    </row>
    <row r="232">
      <c r="A232" t="inlineStr">
        <is>
          <t>W231</t>
        </is>
      </c>
      <c r="B232" s="6" t="n"/>
      <c r="C232" s="6" t="n"/>
      <c r="D232" s="6" t="n"/>
      <c r="E232" s="6" t="n"/>
      <c r="F232">
        <f>IF(E232="","",IMAGE(E232))</f>
        <v/>
      </c>
      <c r="G232" s="6" t="n"/>
      <c r="H232" s="7" t="n"/>
      <c r="I232" s="7" t="n"/>
      <c r="J232" s="6" t="n"/>
      <c r="K232" s="6" t="n"/>
      <c r="L232" s="6" t="n"/>
      <c r="M232" s="6" t="n"/>
      <c r="N232" s="6" t="n"/>
      <c r="O232" s="6" t="n"/>
      <c r="P232" s="8" t="n"/>
      <c r="Q232" s="7" t="n"/>
      <c r="R232" s="9" t="n"/>
      <c r="S232" s="10">
        <f>IF($C232="","",$I232*$R232)</f>
        <v/>
      </c>
      <c r="T232" s="10">
        <f>IF($C232="","",(IF($N232="Purchased",$H232,0)+$Q232))</f>
        <v/>
      </c>
      <c r="U232" s="10">
        <f>IF($C232="","",$S232-$T232)</f>
        <v/>
      </c>
      <c r="V232" s="11">
        <f>IF(OR($C232="",$I232=0),"",CEILING($T232/$I232,1))</f>
        <v/>
      </c>
      <c r="W232" s="6" t="n"/>
    </row>
    <row r="233">
      <c r="A233" t="inlineStr">
        <is>
          <t>W232</t>
        </is>
      </c>
      <c r="B233" s="6" t="n"/>
      <c r="C233" s="6" t="n"/>
      <c r="D233" s="6" t="n"/>
      <c r="E233" s="6" t="n"/>
      <c r="F233">
        <f>IF(E233="","",IMAGE(E233))</f>
        <v/>
      </c>
      <c r="G233" s="6" t="n"/>
      <c r="H233" s="7" t="n"/>
      <c r="I233" s="7" t="n"/>
      <c r="J233" s="6" t="n"/>
      <c r="K233" s="6" t="n"/>
      <c r="L233" s="6" t="n"/>
      <c r="M233" s="6" t="n"/>
      <c r="N233" s="6" t="n"/>
      <c r="O233" s="6" t="n"/>
      <c r="P233" s="8" t="n"/>
      <c r="Q233" s="7" t="n"/>
      <c r="R233" s="9" t="n"/>
      <c r="S233" s="10">
        <f>IF($C233="","",$I233*$R233)</f>
        <v/>
      </c>
      <c r="T233" s="10">
        <f>IF($C233="","",(IF($N233="Purchased",$H233,0)+$Q233))</f>
        <v/>
      </c>
      <c r="U233" s="10">
        <f>IF($C233="","",$S233-$T233)</f>
        <v/>
      </c>
      <c r="V233" s="11">
        <f>IF(OR($C233="",$I233=0),"",CEILING($T233/$I233,1))</f>
        <v/>
      </c>
      <c r="W233" s="6" t="n"/>
    </row>
    <row r="234">
      <c r="A234" t="inlineStr">
        <is>
          <t>W233</t>
        </is>
      </c>
      <c r="B234" s="6" t="n"/>
      <c r="C234" s="6" t="n"/>
      <c r="D234" s="6" t="n"/>
      <c r="E234" s="6" t="n"/>
      <c r="F234">
        <f>IF(E234="","",IMAGE(E234))</f>
        <v/>
      </c>
      <c r="G234" s="6" t="n"/>
      <c r="H234" s="7" t="n"/>
      <c r="I234" s="7" t="n"/>
      <c r="J234" s="6" t="n"/>
      <c r="K234" s="6" t="n"/>
      <c r="L234" s="6" t="n"/>
      <c r="M234" s="6" t="n"/>
      <c r="N234" s="6" t="n"/>
      <c r="O234" s="6" t="n"/>
      <c r="P234" s="8" t="n"/>
      <c r="Q234" s="7" t="n"/>
      <c r="R234" s="9" t="n"/>
      <c r="S234" s="10">
        <f>IF($C234="","",$I234*$R234)</f>
        <v/>
      </c>
      <c r="T234" s="10">
        <f>IF($C234="","",(IF($N234="Purchased",$H234,0)+$Q234))</f>
        <v/>
      </c>
      <c r="U234" s="10">
        <f>IF($C234="","",$S234-$T234)</f>
        <v/>
      </c>
      <c r="V234" s="11">
        <f>IF(OR($C234="",$I234=0),"",CEILING($T234/$I234,1))</f>
        <v/>
      </c>
      <c r="W234" s="6" t="n"/>
    </row>
    <row r="235">
      <c r="A235" t="inlineStr">
        <is>
          <t>W234</t>
        </is>
      </c>
      <c r="B235" s="6" t="n"/>
      <c r="C235" s="6" t="n"/>
      <c r="D235" s="6" t="n"/>
      <c r="E235" s="6" t="n"/>
      <c r="F235">
        <f>IF(E235="","",IMAGE(E235))</f>
        <v/>
      </c>
      <c r="G235" s="6" t="n"/>
      <c r="H235" s="7" t="n"/>
      <c r="I235" s="7" t="n"/>
      <c r="J235" s="6" t="n"/>
      <c r="K235" s="6" t="n"/>
      <c r="L235" s="6" t="n"/>
      <c r="M235" s="6" t="n"/>
      <c r="N235" s="6" t="n"/>
      <c r="O235" s="6" t="n"/>
      <c r="P235" s="8" t="n"/>
      <c r="Q235" s="7" t="n"/>
      <c r="R235" s="9" t="n"/>
      <c r="S235" s="10">
        <f>IF($C235="","",$I235*$R235)</f>
        <v/>
      </c>
      <c r="T235" s="10">
        <f>IF($C235="","",(IF($N235="Purchased",$H235,0)+$Q235))</f>
        <v/>
      </c>
      <c r="U235" s="10">
        <f>IF($C235="","",$S235-$T235)</f>
        <v/>
      </c>
      <c r="V235" s="11">
        <f>IF(OR($C235="",$I235=0),"",CEILING($T235/$I235,1))</f>
        <v/>
      </c>
      <c r="W235" s="6" t="n"/>
    </row>
    <row r="236">
      <c r="A236" t="inlineStr">
        <is>
          <t>W235</t>
        </is>
      </c>
      <c r="B236" s="6" t="n"/>
      <c r="C236" s="6" t="n"/>
      <c r="D236" s="6" t="n"/>
      <c r="E236" s="6" t="n"/>
      <c r="F236">
        <f>IF(E236="","",IMAGE(E236))</f>
        <v/>
      </c>
      <c r="G236" s="6" t="n"/>
      <c r="H236" s="7" t="n"/>
      <c r="I236" s="7" t="n"/>
      <c r="J236" s="6" t="n"/>
      <c r="K236" s="6" t="n"/>
      <c r="L236" s="6" t="n"/>
      <c r="M236" s="6" t="n"/>
      <c r="N236" s="6" t="n"/>
      <c r="O236" s="6" t="n"/>
      <c r="P236" s="8" t="n"/>
      <c r="Q236" s="7" t="n"/>
      <c r="R236" s="9" t="n"/>
      <c r="S236" s="10">
        <f>IF($C236="","",$I236*$R236)</f>
        <v/>
      </c>
      <c r="T236" s="10">
        <f>IF($C236="","",(IF($N236="Purchased",$H236,0)+$Q236))</f>
        <v/>
      </c>
      <c r="U236" s="10">
        <f>IF($C236="","",$S236-$T236)</f>
        <v/>
      </c>
      <c r="V236" s="11">
        <f>IF(OR($C236="",$I236=0),"",CEILING($T236/$I236,1))</f>
        <v/>
      </c>
      <c r="W236" s="6" t="n"/>
    </row>
    <row r="237">
      <c r="A237" t="inlineStr">
        <is>
          <t>W236</t>
        </is>
      </c>
      <c r="B237" s="6" t="n"/>
      <c r="C237" s="6" t="n"/>
      <c r="D237" s="6" t="n"/>
      <c r="E237" s="6" t="n"/>
      <c r="F237">
        <f>IF(E237="","",IMAGE(E237))</f>
        <v/>
      </c>
      <c r="G237" s="6" t="n"/>
      <c r="H237" s="7" t="n"/>
      <c r="I237" s="7" t="n"/>
      <c r="J237" s="6" t="n"/>
      <c r="K237" s="6" t="n"/>
      <c r="L237" s="6" t="n"/>
      <c r="M237" s="6" t="n"/>
      <c r="N237" s="6" t="n"/>
      <c r="O237" s="6" t="n"/>
      <c r="P237" s="8" t="n"/>
      <c r="Q237" s="7" t="n"/>
      <c r="R237" s="9" t="n"/>
      <c r="S237" s="10">
        <f>IF($C237="","",$I237*$R237)</f>
        <v/>
      </c>
      <c r="T237" s="10">
        <f>IF($C237="","",(IF($N237="Purchased",$H237,0)+$Q237))</f>
        <v/>
      </c>
      <c r="U237" s="10">
        <f>IF($C237="","",$S237-$T237)</f>
        <v/>
      </c>
      <c r="V237" s="11">
        <f>IF(OR($C237="",$I237=0),"",CEILING($T237/$I237,1))</f>
        <v/>
      </c>
      <c r="W237" s="6" t="n"/>
    </row>
    <row r="238">
      <c r="A238" t="inlineStr">
        <is>
          <t>W237</t>
        </is>
      </c>
      <c r="B238" s="6" t="n"/>
      <c r="C238" s="6" t="n"/>
      <c r="D238" s="6" t="n"/>
      <c r="E238" s="6" t="n"/>
      <c r="F238">
        <f>IF(E238="","",IMAGE(E238))</f>
        <v/>
      </c>
      <c r="G238" s="6" t="n"/>
      <c r="H238" s="7" t="n"/>
      <c r="I238" s="7" t="n"/>
      <c r="J238" s="6" t="n"/>
      <c r="K238" s="6" t="n"/>
      <c r="L238" s="6" t="n"/>
      <c r="M238" s="6" t="n"/>
      <c r="N238" s="6" t="n"/>
      <c r="O238" s="6" t="n"/>
      <c r="P238" s="8" t="n"/>
      <c r="Q238" s="7" t="n"/>
      <c r="R238" s="9" t="n"/>
      <c r="S238" s="10">
        <f>IF($C238="","",$I238*$R238)</f>
        <v/>
      </c>
      <c r="T238" s="10">
        <f>IF($C238="","",(IF($N238="Purchased",$H238,0)+$Q238))</f>
        <v/>
      </c>
      <c r="U238" s="10">
        <f>IF($C238="","",$S238-$T238)</f>
        <v/>
      </c>
      <c r="V238" s="11">
        <f>IF(OR($C238="",$I238=0),"",CEILING($T238/$I238,1))</f>
        <v/>
      </c>
      <c r="W238" s="6" t="n"/>
    </row>
    <row r="239">
      <c r="A239" t="inlineStr">
        <is>
          <t>W238</t>
        </is>
      </c>
      <c r="B239" s="6" t="n"/>
      <c r="C239" s="6" t="n"/>
      <c r="D239" s="6" t="n"/>
      <c r="E239" s="6" t="n"/>
      <c r="F239">
        <f>IF(E239="","",IMAGE(E239))</f>
        <v/>
      </c>
      <c r="G239" s="6" t="n"/>
      <c r="H239" s="7" t="n"/>
      <c r="I239" s="7" t="n"/>
      <c r="J239" s="6" t="n"/>
      <c r="K239" s="6" t="n"/>
      <c r="L239" s="6" t="n"/>
      <c r="M239" s="6" t="n"/>
      <c r="N239" s="6" t="n"/>
      <c r="O239" s="6" t="n"/>
      <c r="P239" s="8" t="n"/>
      <c r="Q239" s="7" t="n"/>
      <c r="R239" s="9" t="n"/>
      <c r="S239" s="10">
        <f>IF($C239="","",$I239*$R239)</f>
        <v/>
      </c>
      <c r="T239" s="10">
        <f>IF($C239="","",(IF($N239="Purchased",$H239,0)+$Q239))</f>
        <v/>
      </c>
      <c r="U239" s="10">
        <f>IF($C239="","",$S239-$T239)</f>
        <v/>
      </c>
      <c r="V239" s="11">
        <f>IF(OR($C239="",$I239=0),"",CEILING($T239/$I239,1))</f>
        <v/>
      </c>
      <c r="W239" s="6" t="n"/>
    </row>
    <row r="240">
      <c r="A240" t="inlineStr">
        <is>
          <t>W239</t>
        </is>
      </c>
      <c r="B240" s="6" t="n"/>
      <c r="C240" s="6" t="n"/>
      <c r="D240" s="6" t="n"/>
      <c r="E240" s="6" t="n"/>
      <c r="F240">
        <f>IF(E240="","",IMAGE(E240))</f>
        <v/>
      </c>
      <c r="G240" s="6" t="n"/>
      <c r="H240" s="7" t="n"/>
      <c r="I240" s="7" t="n"/>
      <c r="J240" s="6" t="n"/>
      <c r="K240" s="6" t="n"/>
      <c r="L240" s="6" t="n"/>
      <c r="M240" s="6" t="n"/>
      <c r="N240" s="6" t="n"/>
      <c r="O240" s="6" t="n"/>
      <c r="P240" s="8" t="n"/>
      <c r="Q240" s="7" t="n"/>
      <c r="R240" s="9" t="n"/>
      <c r="S240" s="10">
        <f>IF($C240="","",$I240*$R240)</f>
        <v/>
      </c>
      <c r="T240" s="10">
        <f>IF($C240="","",(IF($N240="Purchased",$H240,0)+$Q240))</f>
        <v/>
      </c>
      <c r="U240" s="10">
        <f>IF($C240="","",$S240-$T240)</f>
        <v/>
      </c>
      <c r="V240" s="11">
        <f>IF(OR($C240="",$I240=0),"",CEILING($T240/$I240,1))</f>
        <v/>
      </c>
      <c r="W240" s="6" t="n"/>
    </row>
    <row r="241">
      <c r="A241" t="inlineStr">
        <is>
          <t>W240</t>
        </is>
      </c>
      <c r="B241" s="6" t="n"/>
      <c r="C241" s="6" t="n"/>
      <c r="D241" s="6" t="n"/>
      <c r="E241" s="6" t="n"/>
      <c r="F241">
        <f>IF(E241="","",IMAGE(E241))</f>
        <v/>
      </c>
      <c r="G241" s="6" t="n"/>
      <c r="H241" s="7" t="n"/>
      <c r="I241" s="7" t="n"/>
      <c r="J241" s="6" t="n"/>
      <c r="K241" s="6" t="n"/>
      <c r="L241" s="6" t="n"/>
      <c r="M241" s="6" t="n"/>
      <c r="N241" s="6" t="n"/>
      <c r="O241" s="6" t="n"/>
      <c r="P241" s="8" t="n"/>
      <c r="Q241" s="7" t="n"/>
      <c r="R241" s="9" t="n"/>
      <c r="S241" s="10">
        <f>IF($C241="","",$I241*$R241)</f>
        <v/>
      </c>
      <c r="T241" s="10">
        <f>IF($C241="","",(IF($N241="Purchased",$H241,0)+$Q241))</f>
        <v/>
      </c>
      <c r="U241" s="10">
        <f>IF($C241="","",$S241-$T241)</f>
        <v/>
      </c>
      <c r="V241" s="11">
        <f>IF(OR($C241="",$I241=0),"",CEILING($T241/$I241,1))</f>
        <v/>
      </c>
      <c r="W241" s="6" t="n"/>
    </row>
    <row r="242">
      <c r="A242" t="inlineStr">
        <is>
          <t>W241</t>
        </is>
      </c>
      <c r="B242" s="6" t="n"/>
      <c r="C242" s="6" t="n"/>
      <c r="D242" s="6" t="n"/>
      <c r="E242" s="6" t="n"/>
      <c r="F242">
        <f>IF(E242="","",IMAGE(E242))</f>
        <v/>
      </c>
      <c r="G242" s="6" t="n"/>
      <c r="H242" s="7" t="n"/>
      <c r="I242" s="7" t="n"/>
      <c r="J242" s="6" t="n"/>
      <c r="K242" s="6" t="n"/>
      <c r="L242" s="6" t="n"/>
      <c r="M242" s="6" t="n"/>
      <c r="N242" s="6" t="n"/>
      <c r="O242" s="6" t="n"/>
      <c r="P242" s="8" t="n"/>
      <c r="Q242" s="7" t="n"/>
      <c r="R242" s="9" t="n"/>
      <c r="S242" s="10">
        <f>IF($C242="","",$I242*$R242)</f>
        <v/>
      </c>
      <c r="T242" s="10">
        <f>IF($C242="","",(IF($N242="Purchased",$H242,0)+$Q242))</f>
        <v/>
      </c>
      <c r="U242" s="10">
        <f>IF($C242="","",$S242-$T242)</f>
        <v/>
      </c>
      <c r="V242" s="11">
        <f>IF(OR($C242="",$I242=0),"",CEILING($T242/$I242,1))</f>
        <v/>
      </c>
      <c r="W242" s="6" t="n"/>
    </row>
    <row r="243">
      <c r="A243" t="inlineStr">
        <is>
          <t>W242</t>
        </is>
      </c>
      <c r="B243" s="6" t="n"/>
      <c r="C243" s="6" t="n"/>
      <c r="D243" s="6" t="n"/>
      <c r="E243" s="6" t="n"/>
      <c r="F243">
        <f>IF(E243="","",IMAGE(E243))</f>
        <v/>
      </c>
      <c r="G243" s="6" t="n"/>
      <c r="H243" s="7" t="n"/>
      <c r="I243" s="7" t="n"/>
      <c r="J243" s="6" t="n"/>
      <c r="K243" s="6" t="n"/>
      <c r="L243" s="6" t="n"/>
      <c r="M243" s="6" t="n"/>
      <c r="N243" s="6" t="n"/>
      <c r="O243" s="6" t="n"/>
      <c r="P243" s="8" t="n"/>
      <c r="Q243" s="7" t="n"/>
      <c r="R243" s="9" t="n"/>
      <c r="S243" s="10">
        <f>IF($C243="","",$I243*$R243)</f>
        <v/>
      </c>
      <c r="T243" s="10">
        <f>IF($C243="","",(IF($N243="Purchased",$H243,0)+$Q243))</f>
        <v/>
      </c>
      <c r="U243" s="10">
        <f>IF($C243="","",$S243-$T243)</f>
        <v/>
      </c>
      <c r="V243" s="11">
        <f>IF(OR($C243="",$I243=0),"",CEILING($T243/$I243,1))</f>
        <v/>
      </c>
      <c r="W243" s="6" t="n"/>
    </row>
    <row r="244">
      <c r="A244" t="inlineStr">
        <is>
          <t>W243</t>
        </is>
      </c>
      <c r="B244" s="6" t="n"/>
      <c r="C244" s="6" t="n"/>
      <c r="D244" s="6" t="n"/>
      <c r="E244" s="6" t="n"/>
      <c r="F244">
        <f>IF(E244="","",IMAGE(E244))</f>
        <v/>
      </c>
      <c r="G244" s="6" t="n"/>
      <c r="H244" s="7" t="n"/>
      <c r="I244" s="7" t="n"/>
      <c r="J244" s="6" t="n"/>
      <c r="K244" s="6" t="n"/>
      <c r="L244" s="6" t="n"/>
      <c r="M244" s="6" t="n"/>
      <c r="N244" s="6" t="n"/>
      <c r="O244" s="6" t="n"/>
      <c r="P244" s="8" t="n"/>
      <c r="Q244" s="7" t="n"/>
      <c r="R244" s="9" t="n"/>
      <c r="S244" s="10">
        <f>IF($C244="","",$I244*$R244)</f>
        <v/>
      </c>
      <c r="T244" s="10">
        <f>IF($C244="","",(IF($N244="Purchased",$H244,0)+$Q244))</f>
        <v/>
      </c>
      <c r="U244" s="10">
        <f>IF($C244="","",$S244-$T244)</f>
        <v/>
      </c>
      <c r="V244" s="11">
        <f>IF(OR($C244="",$I244=0),"",CEILING($T244/$I244,1))</f>
        <v/>
      </c>
      <c r="W244" s="6" t="n"/>
    </row>
    <row r="245">
      <c r="A245" t="inlineStr">
        <is>
          <t>W244</t>
        </is>
      </c>
      <c r="B245" s="6" t="n"/>
      <c r="C245" s="6" t="n"/>
      <c r="D245" s="6" t="n"/>
      <c r="E245" s="6" t="n"/>
      <c r="F245">
        <f>IF(E245="","",IMAGE(E245))</f>
        <v/>
      </c>
      <c r="G245" s="6" t="n"/>
      <c r="H245" s="7" t="n"/>
      <c r="I245" s="7" t="n"/>
      <c r="J245" s="6" t="n"/>
      <c r="K245" s="6" t="n"/>
      <c r="L245" s="6" t="n"/>
      <c r="M245" s="6" t="n"/>
      <c r="N245" s="6" t="n"/>
      <c r="O245" s="6" t="n"/>
      <c r="P245" s="8" t="n"/>
      <c r="Q245" s="7" t="n"/>
      <c r="R245" s="9" t="n"/>
      <c r="S245" s="10">
        <f>IF($C245="","",$I245*$R245)</f>
        <v/>
      </c>
      <c r="T245" s="10">
        <f>IF($C245="","",(IF($N245="Purchased",$H245,0)+$Q245))</f>
        <v/>
      </c>
      <c r="U245" s="10">
        <f>IF($C245="","",$S245-$T245)</f>
        <v/>
      </c>
      <c r="V245" s="11">
        <f>IF(OR($C245="",$I245=0),"",CEILING($T245/$I245,1))</f>
        <v/>
      </c>
      <c r="W245" s="6" t="n"/>
    </row>
    <row r="246">
      <c r="A246" t="inlineStr">
        <is>
          <t>W245</t>
        </is>
      </c>
      <c r="B246" s="6" t="n"/>
      <c r="C246" s="6" t="n"/>
      <c r="D246" s="6" t="n"/>
      <c r="E246" s="6" t="n"/>
      <c r="F246">
        <f>IF(E246="","",IMAGE(E246))</f>
        <v/>
      </c>
      <c r="G246" s="6" t="n"/>
      <c r="H246" s="7" t="n"/>
      <c r="I246" s="7" t="n"/>
      <c r="J246" s="6" t="n"/>
      <c r="K246" s="6" t="n"/>
      <c r="L246" s="6" t="n"/>
      <c r="M246" s="6" t="n"/>
      <c r="N246" s="6" t="n"/>
      <c r="O246" s="6" t="n"/>
      <c r="P246" s="8" t="n"/>
      <c r="Q246" s="7" t="n"/>
      <c r="R246" s="9" t="n"/>
      <c r="S246" s="10">
        <f>IF($C246="","",$I246*$R246)</f>
        <v/>
      </c>
      <c r="T246" s="10">
        <f>IF($C246="","",(IF($N246="Purchased",$H246,0)+$Q246))</f>
        <v/>
      </c>
      <c r="U246" s="10">
        <f>IF($C246="","",$S246-$T246)</f>
        <v/>
      </c>
      <c r="V246" s="11">
        <f>IF(OR($C246="",$I246=0),"",CEILING($T246/$I246,1))</f>
        <v/>
      </c>
      <c r="W246" s="6" t="n"/>
    </row>
    <row r="247">
      <c r="A247" t="inlineStr">
        <is>
          <t>W246</t>
        </is>
      </c>
      <c r="B247" s="6" t="n"/>
      <c r="C247" s="6" t="n"/>
      <c r="D247" s="6" t="n"/>
      <c r="E247" s="6" t="n"/>
      <c r="F247">
        <f>IF(E247="","",IMAGE(E247))</f>
        <v/>
      </c>
      <c r="G247" s="6" t="n"/>
      <c r="H247" s="7" t="n"/>
      <c r="I247" s="7" t="n"/>
      <c r="J247" s="6" t="n"/>
      <c r="K247" s="6" t="n"/>
      <c r="L247" s="6" t="n"/>
      <c r="M247" s="6" t="n"/>
      <c r="N247" s="6" t="n"/>
      <c r="O247" s="6" t="n"/>
      <c r="P247" s="8" t="n"/>
      <c r="Q247" s="7" t="n"/>
      <c r="R247" s="9" t="n"/>
      <c r="S247" s="10">
        <f>IF($C247="","",$I247*$R247)</f>
        <v/>
      </c>
      <c r="T247" s="10">
        <f>IF($C247="","",(IF($N247="Purchased",$H247,0)+$Q247))</f>
        <v/>
      </c>
      <c r="U247" s="10">
        <f>IF($C247="","",$S247-$T247)</f>
        <v/>
      </c>
      <c r="V247" s="11">
        <f>IF(OR($C247="",$I247=0),"",CEILING($T247/$I247,1))</f>
        <v/>
      </c>
      <c r="W247" s="6" t="n"/>
    </row>
    <row r="248">
      <c r="A248" t="inlineStr">
        <is>
          <t>W247</t>
        </is>
      </c>
      <c r="B248" s="6" t="n"/>
      <c r="C248" s="6" t="n"/>
      <c r="D248" s="6" t="n"/>
      <c r="E248" s="6" t="n"/>
      <c r="F248">
        <f>IF(E248="","",IMAGE(E248))</f>
        <v/>
      </c>
      <c r="G248" s="6" t="n"/>
      <c r="H248" s="7" t="n"/>
      <c r="I248" s="7" t="n"/>
      <c r="J248" s="6" t="n"/>
      <c r="K248" s="6" t="n"/>
      <c r="L248" s="6" t="n"/>
      <c r="M248" s="6" t="n"/>
      <c r="N248" s="6" t="n"/>
      <c r="O248" s="6" t="n"/>
      <c r="P248" s="8" t="n"/>
      <c r="Q248" s="7" t="n"/>
      <c r="R248" s="9" t="n"/>
      <c r="S248" s="10">
        <f>IF($C248="","",$I248*$R248)</f>
        <v/>
      </c>
      <c r="T248" s="10">
        <f>IF($C248="","",(IF($N248="Purchased",$H248,0)+$Q248))</f>
        <v/>
      </c>
      <c r="U248" s="10">
        <f>IF($C248="","",$S248-$T248)</f>
        <v/>
      </c>
      <c r="V248" s="11">
        <f>IF(OR($C248="",$I248=0),"",CEILING($T248/$I248,1))</f>
        <v/>
      </c>
      <c r="W248" s="6" t="n"/>
    </row>
    <row r="249">
      <c r="A249" t="inlineStr">
        <is>
          <t>W248</t>
        </is>
      </c>
      <c r="B249" s="6" t="n"/>
      <c r="C249" s="6" t="n"/>
      <c r="D249" s="6" t="n"/>
      <c r="E249" s="6" t="n"/>
      <c r="F249">
        <f>IF(E249="","",IMAGE(E249))</f>
        <v/>
      </c>
      <c r="G249" s="6" t="n"/>
      <c r="H249" s="7" t="n"/>
      <c r="I249" s="7" t="n"/>
      <c r="J249" s="6" t="n"/>
      <c r="K249" s="6" t="n"/>
      <c r="L249" s="6" t="n"/>
      <c r="M249" s="6" t="n"/>
      <c r="N249" s="6" t="n"/>
      <c r="O249" s="6" t="n"/>
      <c r="P249" s="8" t="n"/>
      <c r="Q249" s="7" t="n"/>
      <c r="R249" s="9" t="n"/>
      <c r="S249" s="10">
        <f>IF($C249="","",$I249*$R249)</f>
        <v/>
      </c>
      <c r="T249" s="10">
        <f>IF($C249="","",(IF($N249="Purchased",$H249,0)+$Q249))</f>
        <v/>
      </c>
      <c r="U249" s="10">
        <f>IF($C249="","",$S249-$T249)</f>
        <v/>
      </c>
      <c r="V249" s="11">
        <f>IF(OR($C249="",$I249=0),"",CEILING($T249/$I249,1))</f>
        <v/>
      </c>
      <c r="W249" s="6" t="n"/>
    </row>
    <row r="250">
      <c r="A250" t="inlineStr">
        <is>
          <t>W249</t>
        </is>
      </c>
      <c r="B250" s="6" t="n"/>
      <c r="C250" s="6" t="n"/>
      <c r="D250" s="6" t="n"/>
      <c r="E250" s="6" t="n"/>
      <c r="F250">
        <f>IF(E250="","",IMAGE(E250))</f>
        <v/>
      </c>
      <c r="G250" s="6" t="n"/>
      <c r="H250" s="7" t="n"/>
      <c r="I250" s="7" t="n"/>
      <c r="J250" s="6" t="n"/>
      <c r="K250" s="6" t="n"/>
      <c r="L250" s="6" t="n"/>
      <c r="M250" s="6" t="n"/>
      <c r="N250" s="6" t="n"/>
      <c r="O250" s="6" t="n"/>
      <c r="P250" s="8" t="n"/>
      <c r="Q250" s="7" t="n"/>
      <c r="R250" s="9" t="n"/>
      <c r="S250" s="10">
        <f>IF($C250="","",$I250*$R250)</f>
        <v/>
      </c>
      <c r="T250" s="10">
        <f>IF($C250="","",(IF($N250="Purchased",$H250,0)+$Q250))</f>
        <v/>
      </c>
      <c r="U250" s="10">
        <f>IF($C250="","",$S250-$T250)</f>
        <v/>
      </c>
      <c r="V250" s="11">
        <f>IF(OR($C250="",$I250=0),"",CEILING($T250/$I250,1))</f>
        <v/>
      </c>
      <c r="W250" s="6" t="n"/>
    </row>
    <row r="251">
      <c r="A251" t="inlineStr">
        <is>
          <t>W250</t>
        </is>
      </c>
      <c r="B251" s="6" t="n"/>
      <c r="C251" s="6" t="n"/>
      <c r="D251" s="6" t="n"/>
      <c r="E251" s="6" t="n"/>
      <c r="F251">
        <f>IF(E251="","",IMAGE(E251))</f>
        <v/>
      </c>
      <c r="G251" s="6" t="n"/>
      <c r="H251" s="7" t="n"/>
      <c r="I251" s="7" t="n"/>
      <c r="J251" s="6" t="n"/>
      <c r="K251" s="6" t="n"/>
      <c r="L251" s="6" t="n"/>
      <c r="M251" s="6" t="n"/>
      <c r="N251" s="6" t="n"/>
      <c r="O251" s="6" t="n"/>
      <c r="P251" s="8" t="n"/>
      <c r="Q251" s="7" t="n"/>
      <c r="R251" s="9" t="n"/>
      <c r="S251" s="10">
        <f>IF($C251="","",$I251*$R251)</f>
        <v/>
      </c>
      <c r="T251" s="10">
        <f>IF($C251="","",(IF($N251="Purchased",$H251,0)+$Q251))</f>
        <v/>
      </c>
      <c r="U251" s="10">
        <f>IF($C251="","",$S251-$T251)</f>
        <v/>
      </c>
      <c r="V251" s="11">
        <f>IF(OR($C251="",$I251=0),"",CEILING($T251/$I251,1))</f>
        <v/>
      </c>
      <c r="W251" s="6" t="n"/>
    </row>
    <row r="252">
      <c r="A252" t="inlineStr">
        <is>
          <t>W251</t>
        </is>
      </c>
      <c r="B252" s="6" t="n"/>
      <c r="C252" s="6" t="n"/>
      <c r="D252" s="6" t="n"/>
      <c r="E252" s="6" t="n"/>
      <c r="F252">
        <f>IF(E252="","",IMAGE(E252))</f>
        <v/>
      </c>
      <c r="G252" s="6" t="n"/>
      <c r="H252" s="7" t="n"/>
      <c r="I252" s="7" t="n"/>
      <c r="J252" s="6" t="n"/>
      <c r="K252" s="6" t="n"/>
      <c r="L252" s="6" t="n"/>
      <c r="M252" s="6" t="n"/>
      <c r="N252" s="6" t="n"/>
      <c r="O252" s="6" t="n"/>
      <c r="P252" s="8" t="n"/>
      <c r="Q252" s="7" t="n"/>
      <c r="R252" s="9" t="n"/>
      <c r="S252" s="10">
        <f>IF($C252="","",$I252*$R252)</f>
        <v/>
      </c>
      <c r="T252" s="10">
        <f>IF($C252="","",(IF($N252="Purchased",$H252,0)+$Q252))</f>
        <v/>
      </c>
      <c r="U252" s="10">
        <f>IF($C252="","",$S252-$T252)</f>
        <v/>
      </c>
      <c r="V252" s="11">
        <f>IF(OR($C252="",$I252=0),"",CEILING($T252/$I252,1))</f>
        <v/>
      </c>
      <c r="W252" s="6" t="n"/>
    </row>
    <row r="253">
      <c r="A253" t="inlineStr">
        <is>
          <t>W252</t>
        </is>
      </c>
      <c r="B253" s="6" t="n"/>
      <c r="C253" s="6" t="n"/>
      <c r="D253" s="6" t="n"/>
      <c r="E253" s="6" t="n"/>
      <c r="F253">
        <f>IF(E253="","",IMAGE(E253))</f>
        <v/>
      </c>
      <c r="G253" s="6" t="n"/>
      <c r="H253" s="7" t="n"/>
      <c r="I253" s="7" t="n"/>
      <c r="J253" s="6" t="n"/>
      <c r="K253" s="6" t="n"/>
      <c r="L253" s="6" t="n"/>
      <c r="M253" s="6" t="n"/>
      <c r="N253" s="6" t="n"/>
      <c r="O253" s="6" t="n"/>
      <c r="P253" s="8" t="n"/>
      <c r="Q253" s="7" t="n"/>
      <c r="R253" s="9" t="n"/>
      <c r="S253" s="10">
        <f>IF($C253="","",$I253*$R253)</f>
        <v/>
      </c>
      <c r="T253" s="10">
        <f>IF($C253="","",(IF($N253="Purchased",$H253,0)+$Q253))</f>
        <v/>
      </c>
      <c r="U253" s="10">
        <f>IF($C253="","",$S253-$T253)</f>
        <v/>
      </c>
      <c r="V253" s="11">
        <f>IF(OR($C253="",$I253=0),"",CEILING($T253/$I253,1))</f>
        <v/>
      </c>
      <c r="W253" s="6" t="n"/>
    </row>
    <row r="254">
      <c r="A254" t="inlineStr">
        <is>
          <t>W253</t>
        </is>
      </c>
      <c r="B254" s="6" t="n"/>
      <c r="C254" s="6" t="n"/>
      <c r="D254" s="6" t="n"/>
      <c r="E254" s="6" t="n"/>
      <c r="F254">
        <f>IF(E254="","",IMAGE(E254))</f>
        <v/>
      </c>
      <c r="G254" s="6" t="n"/>
      <c r="H254" s="7" t="n"/>
      <c r="I254" s="7" t="n"/>
      <c r="J254" s="6" t="n"/>
      <c r="K254" s="6" t="n"/>
      <c r="L254" s="6" t="n"/>
      <c r="M254" s="6" t="n"/>
      <c r="N254" s="6" t="n"/>
      <c r="O254" s="6" t="n"/>
      <c r="P254" s="8" t="n"/>
      <c r="Q254" s="7" t="n"/>
      <c r="R254" s="9" t="n"/>
      <c r="S254" s="10">
        <f>IF($C254="","",$I254*$R254)</f>
        <v/>
      </c>
      <c r="T254" s="10">
        <f>IF($C254="","",(IF($N254="Purchased",$H254,0)+$Q254))</f>
        <v/>
      </c>
      <c r="U254" s="10">
        <f>IF($C254="","",$S254-$T254)</f>
        <v/>
      </c>
      <c r="V254" s="11">
        <f>IF(OR($C254="",$I254=0),"",CEILING($T254/$I254,1))</f>
        <v/>
      </c>
      <c r="W254" s="6" t="n"/>
    </row>
    <row r="255">
      <c r="A255" t="inlineStr">
        <is>
          <t>W254</t>
        </is>
      </c>
      <c r="B255" s="6" t="n"/>
      <c r="C255" s="6" t="n"/>
      <c r="D255" s="6" t="n"/>
      <c r="E255" s="6" t="n"/>
      <c r="F255">
        <f>IF(E255="","",IMAGE(E255))</f>
        <v/>
      </c>
      <c r="G255" s="6" t="n"/>
      <c r="H255" s="7" t="n"/>
      <c r="I255" s="7" t="n"/>
      <c r="J255" s="6" t="n"/>
      <c r="K255" s="6" t="n"/>
      <c r="L255" s="6" t="n"/>
      <c r="M255" s="6" t="n"/>
      <c r="N255" s="6" t="n"/>
      <c r="O255" s="6" t="n"/>
      <c r="P255" s="8" t="n"/>
      <c r="Q255" s="7" t="n"/>
      <c r="R255" s="9" t="n"/>
      <c r="S255" s="10">
        <f>IF($C255="","",$I255*$R255)</f>
        <v/>
      </c>
      <c r="T255" s="10">
        <f>IF($C255="","",(IF($N255="Purchased",$H255,0)+$Q255))</f>
        <v/>
      </c>
      <c r="U255" s="10">
        <f>IF($C255="","",$S255-$T255)</f>
        <v/>
      </c>
      <c r="V255" s="11">
        <f>IF(OR($C255="",$I255=0),"",CEILING($T255/$I255,1))</f>
        <v/>
      </c>
      <c r="W255" s="6" t="n"/>
    </row>
    <row r="256">
      <c r="A256" t="inlineStr">
        <is>
          <t>W255</t>
        </is>
      </c>
      <c r="B256" s="6" t="n"/>
      <c r="C256" s="6" t="n"/>
      <c r="D256" s="6" t="n"/>
      <c r="E256" s="6" t="n"/>
      <c r="F256">
        <f>IF(E256="","",IMAGE(E256))</f>
        <v/>
      </c>
      <c r="G256" s="6" t="n"/>
      <c r="H256" s="7" t="n"/>
      <c r="I256" s="7" t="n"/>
      <c r="J256" s="6" t="n"/>
      <c r="K256" s="6" t="n"/>
      <c r="L256" s="6" t="n"/>
      <c r="M256" s="6" t="n"/>
      <c r="N256" s="6" t="n"/>
      <c r="O256" s="6" t="n"/>
      <c r="P256" s="8" t="n"/>
      <c r="Q256" s="7" t="n"/>
      <c r="R256" s="9" t="n"/>
      <c r="S256" s="10">
        <f>IF($C256="","",$I256*$R256)</f>
        <v/>
      </c>
      <c r="T256" s="10">
        <f>IF($C256="","",(IF($N256="Purchased",$H256,0)+$Q256))</f>
        <v/>
      </c>
      <c r="U256" s="10">
        <f>IF($C256="","",$S256-$T256)</f>
        <v/>
      </c>
      <c r="V256" s="11">
        <f>IF(OR($C256="",$I256=0),"",CEILING($T256/$I256,1))</f>
        <v/>
      </c>
      <c r="W256" s="6" t="n"/>
    </row>
    <row r="257">
      <c r="A257" t="inlineStr">
        <is>
          <t>W256</t>
        </is>
      </c>
      <c r="B257" s="6" t="n"/>
      <c r="C257" s="6" t="n"/>
      <c r="D257" s="6" t="n"/>
      <c r="E257" s="6" t="n"/>
      <c r="F257">
        <f>IF(E257="","",IMAGE(E257))</f>
        <v/>
      </c>
      <c r="G257" s="6" t="n"/>
      <c r="H257" s="7" t="n"/>
      <c r="I257" s="7" t="n"/>
      <c r="J257" s="6" t="n"/>
      <c r="K257" s="6" t="n"/>
      <c r="L257" s="6" t="n"/>
      <c r="M257" s="6" t="n"/>
      <c r="N257" s="6" t="n"/>
      <c r="O257" s="6" t="n"/>
      <c r="P257" s="8" t="n"/>
      <c r="Q257" s="7" t="n"/>
      <c r="R257" s="9" t="n"/>
      <c r="S257" s="10">
        <f>IF($C257="","",$I257*$R257)</f>
        <v/>
      </c>
      <c r="T257" s="10">
        <f>IF($C257="","",(IF($N257="Purchased",$H257,0)+$Q257))</f>
        <v/>
      </c>
      <c r="U257" s="10">
        <f>IF($C257="","",$S257-$T257)</f>
        <v/>
      </c>
      <c r="V257" s="11">
        <f>IF(OR($C257="",$I257=0),"",CEILING($T257/$I257,1))</f>
        <v/>
      </c>
      <c r="W257" s="6" t="n"/>
    </row>
    <row r="258">
      <c r="A258" t="inlineStr">
        <is>
          <t>W257</t>
        </is>
      </c>
      <c r="B258" s="6" t="n"/>
      <c r="C258" s="6" t="n"/>
      <c r="D258" s="6" t="n"/>
      <c r="E258" s="6" t="n"/>
      <c r="F258">
        <f>IF(E258="","",IMAGE(E258))</f>
        <v/>
      </c>
      <c r="G258" s="6" t="n"/>
      <c r="H258" s="7" t="n"/>
      <c r="I258" s="7" t="n"/>
      <c r="J258" s="6" t="n"/>
      <c r="K258" s="6" t="n"/>
      <c r="L258" s="6" t="n"/>
      <c r="M258" s="6" t="n"/>
      <c r="N258" s="6" t="n"/>
      <c r="O258" s="6" t="n"/>
      <c r="P258" s="8" t="n"/>
      <c r="Q258" s="7" t="n"/>
      <c r="R258" s="9" t="n"/>
      <c r="S258" s="10">
        <f>IF($C258="","",$I258*$R258)</f>
        <v/>
      </c>
      <c r="T258" s="10">
        <f>IF($C258="","",(IF($N258="Purchased",$H258,0)+$Q258))</f>
        <v/>
      </c>
      <c r="U258" s="10">
        <f>IF($C258="","",$S258-$T258)</f>
        <v/>
      </c>
      <c r="V258" s="11">
        <f>IF(OR($C258="",$I258=0),"",CEILING($T258/$I258,1))</f>
        <v/>
      </c>
      <c r="W258" s="6" t="n"/>
    </row>
    <row r="259">
      <c r="A259" t="inlineStr">
        <is>
          <t>W258</t>
        </is>
      </c>
      <c r="B259" s="6" t="n"/>
      <c r="C259" s="6" t="n"/>
      <c r="D259" s="6" t="n"/>
      <c r="E259" s="6" t="n"/>
      <c r="F259">
        <f>IF(E259="","",IMAGE(E259))</f>
        <v/>
      </c>
      <c r="G259" s="6" t="n"/>
      <c r="H259" s="7" t="n"/>
      <c r="I259" s="7" t="n"/>
      <c r="J259" s="6" t="n"/>
      <c r="K259" s="6" t="n"/>
      <c r="L259" s="6" t="n"/>
      <c r="M259" s="6" t="n"/>
      <c r="N259" s="6" t="n"/>
      <c r="O259" s="6" t="n"/>
      <c r="P259" s="8" t="n"/>
      <c r="Q259" s="7" t="n"/>
      <c r="R259" s="9" t="n"/>
      <c r="S259" s="10">
        <f>IF($C259="","",$I259*$R259)</f>
        <v/>
      </c>
      <c r="T259" s="10">
        <f>IF($C259="","",(IF($N259="Purchased",$H259,0)+$Q259))</f>
        <v/>
      </c>
      <c r="U259" s="10">
        <f>IF($C259="","",$S259-$T259)</f>
        <v/>
      </c>
      <c r="V259" s="11">
        <f>IF(OR($C259="",$I259=0),"",CEILING($T259/$I259,1))</f>
        <v/>
      </c>
      <c r="W259" s="6" t="n"/>
    </row>
    <row r="260">
      <c r="A260" t="inlineStr">
        <is>
          <t>W259</t>
        </is>
      </c>
      <c r="B260" s="6" t="n"/>
      <c r="C260" s="6" t="n"/>
      <c r="D260" s="6" t="n"/>
      <c r="E260" s="6" t="n"/>
      <c r="F260">
        <f>IF(E260="","",IMAGE(E260))</f>
        <v/>
      </c>
      <c r="G260" s="6" t="n"/>
      <c r="H260" s="7" t="n"/>
      <c r="I260" s="7" t="n"/>
      <c r="J260" s="6" t="n"/>
      <c r="K260" s="6" t="n"/>
      <c r="L260" s="6" t="n"/>
      <c r="M260" s="6" t="n"/>
      <c r="N260" s="6" t="n"/>
      <c r="O260" s="6" t="n"/>
      <c r="P260" s="8" t="n"/>
      <c r="Q260" s="7" t="n"/>
      <c r="R260" s="9" t="n"/>
      <c r="S260" s="10">
        <f>IF($C260="","",$I260*$R260)</f>
        <v/>
      </c>
      <c r="T260" s="10">
        <f>IF($C260="","",(IF($N260="Purchased",$H260,0)+$Q260))</f>
        <v/>
      </c>
      <c r="U260" s="10">
        <f>IF($C260="","",$S260-$T260)</f>
        <v/>
      </c>
      <c r="V260" s="11">
        <f>IF(OR($C260="",$I260=0),"",CEILING($T260/$I260,1))</f>
        <v/>
      </c>
      <c r="W260" s="6" t="n"/>
    </row>
    <row r="261">
      <c r="A261" t="inlineStr">
        <is>
          <t>W260</t>
        </is>
      </c>
      <c r="B261" s="6" t="n"/>
      <c r="C261" s="6" t="n"/>
      <c r="D261" s="6" t="n"/>
      <c r="E261" s="6" t="n"/>
      <c r="F261">
        <f>IF(E261="","",IMAGE(E261))</f>
        <v/>
      </c>
      <c r="G261" s="6" t="n"/>
      <c r="H261" s="7" t="n"/>
      <c r="I261" s="7" t="n"/>
      <c r="J261" s="6" t="n"/>
      <c r="K261" s="6" t="n"/>
      <c r="L261" s="6" t="n"/>
      <c r="M261" s="6" t="n"/>
      <c r="N261" s="6" t="n"/>
      <c r="O261" s="6" t="n"/>
      <c r="P261" s="8" t="n"/>
      <c r="Q261" s="7" t="n"/>
      <c r="R261" s="9" t="n"/>
      <c r="S261" s="10">
        <f>IF($C261="","",$I261*$R261)</f>
        <v/>
      </c>
      <c r="T261" s="10">
        <f>IF($C261="","",(IF($N261="Purchased",$H261,0)+$Q261))</f>
        <v/>
      </c>
      <c r="U261" s="10">
        <f>IF($C261="","",$S261-$T261)</f>
        <v/>
      </c>
      <c r="V261" s="11">
        <f>IF(OR($C261="",$I261=0),"",CEILING($T261/$I261,1))</f>
        <v/>
      </c>
      <c r="W261" s="6" t="n"/>
    </row>
    <row r="262">
      <c r="A262" t="inlineStr">
        <is>
          <t>W261</t>
        </is>
      </c>
      <c r="B262" s="6" t="n"/>
      <c r="C262" s="6" t="n"/>
      <c r="D262" s="6" t="n"/>
      <c r="E262" s="6" t="n"/>
      <c r="F262">
        <f>IF(E262="","",IMAGE(E262))</f>
        <v/>
      </c>
      <c r="G262" s="6" t="n"/>
      <c r="H262" s="7" t="n"/>
      <c r="I262" s="7" t="n"/>
      <c r="J262" s="6" t="n"/>
      <c r="K262" s="6" t="n"/>
      <c r="L262" s="6" t="n"/>
      <c r="M262" s="6" t="n"/>
      <c r="N262" s="6" t="n"/>
      <c r="O262" s="6" t="n"/>
      <c r="P262" s="8" t="n"/>
      <c r="Q262" s="7" t="n"/>
      <c r="R262" s="9" t="n"/>
      <c r="S262" s="10">
        <f>IF($C262="","",$I262*$R262)</f>
        <v/>
      </c>
      <c r="T262" s="10">
        <f>IF($C262="","",(IF($N262="Purchased",$H262,0)+$Q262))</f>
        <v/>
      </c>
      <c r="U262" s="10">
        <f>IF($C262="","",$S262-$T262)</f>
        <v/>
      </c>
      <c r="V262" s="11">
        <f>IF(OR($C262="",$I262=0),"",CEILING($T262/$I262,1))</f>
        <v/>
      </c>
      <c r="W262" s="6" t="n"/>
    </row>
    <row r="263">
      <c r="A263" t="inlineStr">
        <is>
          <t>W262</t>
        </is>
      </c>
      <c r="B263" s="6" t="n"/>
      <c r="C263" s="6" t="n"/>
      <c r="D263" s="6" t="n"/>
      <c r="E263" s="6" t="n"/>
      <c r="F263">
        <f>IF(E263="","",IMAGE(E263))</f>
        <v/>
      </c>
      <c r="G263" s="6" t="n"/>
      <c r="H263" s="7" t="n"/>
      <c r="I263" s="7" t="n"/>
      <c r="J263" s="6" t="n"/>
      <c r="K263" s="6" t="n"/>
      <c r="L263" s="6" t="n"/>
      <c r="M263" s="6" t="n"/>
      <c r="N263" s="6" t="n"/>
      <c r="O263" s="6" t="n"/>
      <c r="P263" s="8" t="n"/>
      <c r="Q263" s="7" t="n"/>
      <c r="R263" s="9" t="n"/>
      <c r="S263" s="10">
        <f>IF($C263="","",$I263*$R263)</f>
        <v/>
      </c>
      <c r="T263" s="10">
        <f>IF($C263="","",(IF($N263="Purchased",$H263,0)+$Q263))</f>
        <v/>
      </c>
      <c r="U263" s="10">
        <f>IF($C263="","",$S263-$T263)</f>
        <v/>
      </c>
      <c r="V263" s="11">
        <f>IF(OR($C263="",$I263=0),"",CEILING($T263/$I263,1))</f>
        <v/>
      </c>
      <c r="W263" s="6" t="n"/>
    </row>
    <row r="264">
      <c r="A264" t="inlineStr">
        <is>
          <t>W263</t>
        </is>
      </c>
      <c r="B264" s="6" t="n"/>
      <c r="C264" s="6" t="n"/>
      <c r="D264" s="6" t="n"/>
      <c r="E264" s="6" t="n"/>
      <c r="F264">
        <f>IF(E264="","",IMAGE(E264))</f>
        <v/>
      </c>
      <c r="G264" s="6" t="n"/>
      <c r="H264" s="7" t="n"/>
      <c r="I264" s="7" t="n"/>
      <c r="J264" s="6" t="n"/>
      <c r="K264" s="6" t="n"/>
      <c r="L264" s="6" t="n"/>
      <c r="M264" s="6" t="n"/>
      <c r="N264" s="6" t="n"/>
      <c r="O264" s="6" t="n"/>
      <c r="P264" s="8" t="n"/>
      <c r="Q264" s="7" t="n"/>
      <c r="R264" s="9" t="n"/>
      <c r="S264" s="10">
        <f>IF($C264="","",$I264*$R264)</f>
        <v/>
      </c>
      <c r="T264" s="10">
        <f>IF($C264="","",(IF($N264="Purchased",$H264,0)+$Q264))</f>
        <v/>
      </c>
      <c r="U264" s="10">
        <f>IF($C264="","",$S264-$T264)</f>
        <v/>
      </c>
      <c r="V264" s="11">
        <f>IF(OR($C264="",$I264=0),"",CEILING($T264/$I264,1))</f>
        <v/>
      </c>
      <c r="W264" s="6" t="n"/>
    </row>
    <row r="265">
      <c r="A265" t="inlineStr">
        <is>
          <t>W264</t>
        </is>
      </c>
      <c r="B265" s="6" t="n"/>
      <c r="C265" s="6" t="n"/>
      <c r="D265" s="6" t="n"/>
      <c r="E265" s="6" t="n"/>
      <c r="F265">
        <f>IF(E265="","",IMAGE(E265))</f>
        <v/>
      </c>
      <c r="G265" s="6" t="n"/>
      <c r="H265" s="7" t="n"/>
      <c r="I265" s="7" t="n"/>
      <c r="J265" s="6" t="n"/>
      <c r="K265" s="6" t="n"/>
      <c r="L265" s="6" t="n"/>
      <c r="M265" s="6" t="n"/>
      <c r="N265" s="6" t="n"/>
      <c r="O265" s="6" t="n"/>
      <c r="P265" s="8" t="n"/>
      <c r="Q265" s="7" t="n"/>
      <c r="R265" s="9" t="n"/>
      <c r="S265" s="10">
        <f>IF($C265="","",$I265*$R265)</f>
        <v/>
      </c>
      <c r="T265" s="10">
        <f>IF($C265="","",(IF($N265="Purchased",$H265,0)+$Q265))</f>
        <v/>
      </c>
      <c r="U265" s="10">
        <f>IF($C265="","",$S265-$T265)</f>
        <v/>
      </c>
      <c r="V265" s="11">
        <f>IF(OR($C265="",$I265=0),"",CEILING($T265/$I265,1))</f>
        <v/>
      </c>
      <c r="W265" s="6" t="n"/>
    </row>
    <row r="266">
      <c r="A266" t="inlineStr">
        <is>
          <t>W265</t>
        </is>
      </c>
      <c r="B266" s="6" t="n"/>
      <c r="C266" s="6" t="n"/>
      <c r="D266" s="6" t="n"/>
      <c r="E266" s="6" t="n"/>
      <c r="F266">
        <f>IF(E266="","",IMAGE(E266))</f>
        <v/>
      </c>
      <c r="G266" s="6" t="n"/>
      <c r="H266" s="7" t="n"/>
      <c r="I266" s="7" t="n"/>
      <c r="J266" s="6" t="n"/>
      <c r="K266" s="6" t="n"/>
      <c r="L266" s="6" t="n"/>
      <c r="M266" s="6" t="n"/>
      <c r="N266" s="6" t="n"/>
      <c r="O266" s="6" t="n"/>
      <c r="P266" s="8" t="n"/>
      <c r="Q266" s="7" t="n"/>
      <c r="R266" s="9" t="n"/>
      <c r="S266" s="10">
        <f>IF($C266="","",$I266*$R266)</f>
        <v/>
      </c>
      <c r="T266" s="10">
        <f>IF($C266="","",(IF($N266="Purchased",$H266,0)+$Q266))</f>
        <v/>
      </c>
      <c r="U266" s="10">
        <f>IF($C266="","",$S266-$T266)</f>
        <v/>
      </c>
      <c r="V266" s="11">
        <f>IF(OR($C266="",$I266=0),"",CEILING($T266/$I266,1))</f>
        <v/>
      </c>
      <c r="W266" s="6" t="n"/>
    </row>
    <row r="267">
      <c r="A267" t="inlineStr">
        <is>
          <t>W266</t>
        </is>
      </c>
      <c r="B267" s="6" t="n"/>
      <c r="C267" s="6" t="n"/>
      <c r="D267" s="6" t="n"/>
      <c r="E267" s="6" t="n"/>
      <c r="F267">
        <f>IF(E267="","",IMAGE(E267))</f>
        <v/>
      </c>
      <c r="G267" s="6" t="n"/>
      <c r="H267" s="7" t="n"/>
      <c r="I267" s="7" t="n"/>
      <c r="J267" s="6" t="n"/>
      <c r="K267" s="6" t="n"/>
      <c r="L267" s="6" t="n"/>
      <c r="M267" s="6" t="n"/>
      <c r="N267" s="6" t="n"/>
      <c r="O267" s="6" t="n"/>
      <c r="P267" s="8" t="n"/>
      <c r="Q267" s="7" t="n"/>
      <c r="R267" s="9" t="n"/>
      <c r="S267" s="10">
        <f>IF($C267="","",$I267*$R267)</f>
        <v/>
      </c>
      <c r="T267" s="10">
        <f>IF($C267="","",(IF($N267="Purchased",$H267,0)+$Q267))</f>
        <v/>
      </c>
      <c r="U267" s="10">
        <f>IF($C267="","",$S267-$T267)</f>
        <v/>
      </c>
      <c r="V267" s="11">
        <f>IF(OR($C267="",$I267=0),"",CEILING($T267/$I267,1))</f>
        <v/>
      </c>
      <c r="W267" s="6" t="n"/>
    </row>
    <row r="268">
      <c r="A268" t="inlineStr">
        <is>
          <t>W267</t>
        </is>
      </c>
      <c r="B268" s="6" t="n"/>
      <c r="C268" s="6" t="n"/>
      <c r="D268" s="6" t="n"/>
      <c r="E268" s="6" t="n"/>
      <c r="F268">
        <f>IF(E268="","",IMAGE(E268))</f>
        <v/>
      </c>
      <c r="G268" s="6" t="n"/>
      <c r="H268" s="7" t="n"/>
      <c r="I268" s="7" t="n"/>
      <c r="J268" s="6" t="n"/>
      <c r="K268" s="6" t="n"/>
      <c r="L268" s="6" t="n"/>
      <c r="M268" s="6" t="n"/>
      <c r="N268" s="6" t="n"/>
      <c r="O268" s="6" t="n"/>
      <c r="P268" s="8" t="n"/>
      <c r="Q268" s="7" t="n"/>
      <c r="R268" s="9" t="n"/>
      <c r="S268" s="10">
        <f>IF($C268="","",$I268*$R268)</f>
        <v/>
      </c>
      <c r="T268" s="10">
        <f>IF($C268="","",(IF($N268="Purchased",$H268,0)+$Q268))</f>
        <v/>
      </c>
      <c r="U268" s="10">
        <f>IF($C268="","",$S268-$T268)</f>
        <v/>
      </c>
      <c r="V268" s="11">
        <f>IF(OR($C268="",$I268=0),"",CEILING($T268/$I268,1))</f>
        <v/>
      </c>
      <c r="W268" s="6" t="n"/>
    </row>
    <row r="269">
      <c r="A269" t="inlineStr">
        <is>
          <t>W268</t>
        </is>
      </c>
      <c r="B269" s="6" t="n"/>
      <c r="C269" s="6" t="n"/>
      <c r="D269" s="6" t="n"/>
      <c r="E269" s="6" t="n"/>
      <c r="F269">
        <f>IF(E269="","",IMAGE(E269))</f>
        <v/>
      </c>
      <c r="G269" s="6" t="n"/>
      <c r="H269" s="7" t="n"/>
      <c r="I269" s="7" t="n"/>
      <c r="J269" s="6" t="n"/>
      <c r="K269" s="6" t="n"/>
      <c r="L269" s="6" t="n"/>
      <c r="M269" s="6" t="n"/>
      <c r="N269" s="6" t="n"/>
      <c r="O269" s="6" t="n"/>
      <c r="P269" s="8" t="n"/>
      <c r="Q269" s="7" t="n"/>
      <c r="R269" s="9" t="n"/>
      <c r="S269" s="10">
        <f>IF($C269="","",$I269*$R269)</f>
        <v/>
      </c>
      <c r="T269" s="10">
        <f>IF($C269="","",(IF($N269="Purchased",$H269,0)+$Q269))</f>
        <v/>
      </c>
      <c r="U269" s="10">
        <f>IF($C269="","",$S269-$T269)</f>
        <v/>
      </c>
      <c r="V269" s="11">
        <f>IF(OR($C269="",$I269=0),"",CEILING($T269/$I269,1))</f>
        <v/>
      </c>
      <c r="W269" s="6" t="n"/>
    </row>
    <row r="270">
      <c r="A270" t="inlineStr">
        <is>
          <t>W269</t>
        </is>
      </c>
      <c r="B270" s="6" t="n"/>
      <c r="C270" s="6" t="n"/>
      <c r="D270" s="6" t="n"/>
      <c r="E270" s="6" t="n"/>
      <c r="F270">
        <f>IF(E270="","",IMAGE(E270))</f>
        <v/>
      </c>
      <c r="G270" s="6" t="n"/>
      <c r="H270" s="7" t="n"/>
      <c r="I270" s="7" t="n"/>
      <c r="J270" s="6" t="n"/>
      <c r="K270" s="6" t="n"/>
      <c r="L270" s="6" t="n"/>
      <c r="M270" s="6" t="n"/>
      <c r="N270" s="6" t="n"/>
      <c r="O270" s="6" t="n"/>
      <c r="P270" s="8" t="n"/>
      <c r="Q270" s="7" t="n"/>
      <c r="R270" s="9" t="n"/>
      <c r="S270" s="10">
        <f>IF($C270="","",$I270*$R270)</f>
        <v/>
      </c>
      <c r="T270" s="10">
        <f>IF($C270="","",(IF($N270="Purchased",$H270,0)+$Q270))</f>
        <v/>
      </c>
      <c r="U270" s="10">
        <f>IF($C270="","",$S270-$T270)</f>
        <v/>
      </c>
      <c r="V270" s="11">
        <f>IF(OR($C270="",$I270=0),"",CEILING($T270/$I270,1))</f>
        <v/>
      </c>
      <c r="W270" s="6" t="n"/>
    </row>
    <row r="271">
      <c r="A271" t="inlineStr">
        <is>
          <t>W270</t>
        </is>
      </c>
      <c r="B271" s="6" t="n"/>
      <c r="C271" s="6" t="n"/>
      <c r="D271" s="6" t="n"/>
      <c r="E271" s="6" t="n"/>
      <c r="F271">
        <f>IF(E271="","",IMAGE(E271))</f>
        <v/>
      </c>
      <c r="G271" s="6" t="n"/>
      <c r="H271" s="7" t="n"/>
      <c r="I271" s="7" t="n"/>
      <c r="J271" s="6" t="n"/>
      <c r="K271" s="6" t="n"/>
      <c r="L271" s="6" t="n"/>
      <c r="M271" s="6" t="n"/>
      <c r="N271" s="6" t="n"/>
      <c r="O271" s="6" t="n"/>
      <c r="P271" s="8" t="n"/>
      <c r="Q271" s="7" t="n"/>
      <c r="R271" s="9" t="n"/>
      <c r="S271" s="10">
        <f>IF($C271="","",$I271*$R271)</f>
        <v/>
      </c>
      <c r="T271" s="10">
        <f>IF($C271="","",(IF($N271="Purchased",$H271,0)+$Q271))</f>
        <v/>
      </c>
      <c r="U271" s="10">
        <f>IF($C271="","",$S271-$T271)</f>
        <v/>
      </c>
      <c r="V271" s="11">
        <f>IF(OR($C271="",$I271=0),"",CEILING($T271/$I271,1))</f>
        <v/>
      </c>
      <c r="W271" s="6" t="n"/>
    </row>
    <row r="272">
      <c r="A272" t="inlineStr">
        <is>
          <t>W271</t>
        </is>
      </c>
      <c r="B272" s="6" t="n"/>
      <c r="C272" s="6" t="n"/>
      <c r="D272" s="6" t="n"/>
      <c r="E272" s="6" t="n"/>
      <c r="F272">
        <f>IF(E272="","",IMAGE(E272))</f>
        <v/>
      </c>
      <c r="G272" s="6" t="n"/>
      <c r="H272" s="7" t="n"/>
      <c r="I272" s="7" t="n"/>
      <c r="J272" s="6" t="n"/>
      <c r="K272" s="6" t="n"/>
      <c r="L272" s="6" t="n"/>
      <c r="M272" s="6" t="n"/>
      <c r="N272" s="6" t="n"/>
      <c r="O272" s="6" t="n"/>
      <c r="P272" s="8" t="n"/>
      <c r="Q272" s="7" t="n"/>
      <c r="R272" s="9" t="n"/>
      <c r="S272" s="10">
        <f>IF($C272="","",$I272*$R272)</f>
        <v/>
      </c>
      <c r="T272" s="10">
        <f>IF($C272="","",(IF($N272="Purchased",$H272,0)+$Q272))</f>
        <v/>
      </c>
      <c r="U272" s="10">
        <f>IF($C272="","",$S272-$T272)</f>
        <v/>
      </c>
      <c r="V272" s="11">
        <f>IF(OR($C272="",$I272=0),"",CEILING($T272/$I272,1))</f>
        <v/>
      </c>
      <c r="W272" s="6" t="n"/>
    </row>
    <row r="273">
      <c r="A273" t="inlineStr">
        <is>
          <t>W272</t>
        </is>
      </c>
      <c r="B273" s="6" t="n"/>
      <c r="C273" s="6" t="n"/>
      <c r="D273" s="6" t="n"/>
      <c r="E273" s="6" t="n"/>
      <c r="F273">
        <f>IF(E273="","",IMAGE(E273))</f>
        <v/>
      </c>
      <c r="G273" s="6" t="n"/>
      <c r="H273" s="7" t="n"/>
      <c r="I273" s="7" t="n"/>
      <c r="J273" s="6" t="n"/>
      <c r="K273" s="6" t="n"/>
      <c r="L273" s="6" t="n"/>
      <c r="M273" s="6" t="n"/>
      <c r="N273" s="6" t="n"/>
      <c r="O273" s="6" t="n"/>
      <c r="P273" s="8" t="n"/>
      <c r="Q273" s="7" t="n"/>
      <c r="R273" s="9" t="n"/>
      <c r="S273" s="10">
        <f>IF($C273="","",$I273*$R273)</f>
        <v/>
      </c>
      <c r="T273" s="10">
        <f>IF($C273="","",(IF($N273="Purchased",$H273,0)+$Q273))</f>
        <v/>
      </c>
      <c r="U273" s="10">
        <f>IF($C273="","",$S273-$T273)</f>
        <v/>
      </c>
      <c r="V273" s="11">
        <f>IF(OR($C273="",$I273=0),"",CEILING($T273/$I273,1))</f>
        <v/>
      </c>
      <c r="W273" s="6" t="n"/>
    </row>
    <row r="274">
      <c r="A274" t="inlineStr">
        <is>
          <t>W273</t>
        </is>
      </c>
      <c r="B274" s="6" t="n"/>
      <c r="C274" s="6" t="n"/>
      <c r="D274" s="6" t="n"/>
      <c r="E274" s="6" t="n"/>
      <c r="F274">
        <f>IF(E274="","",IMAGE(E274))</f>
        <v/>
      </c>
      <c r="G274" s="6" t="n"/>
      <c r="H274" s="7" t="n"/>
      <c r="I274" s="7" t="n"/>
      <c r="J274" s="6" t="n"/>
      <c r="K274" s="6" t="n"/>
      <c r="L274" s="6" t="n"/>
      <c r="M274" s="6" t="n"/>
      <c r="N274" s="6" t="n"/>
      <c r="O274" s="6" t="n"/>
      <c r="P274" s="8" t="n"/>
      <c r="Q274" s="7" t="n"/>
      <c r="R274" s="9" t="n"/>
      <c r="S274" s="10">
        <f>IF($C274="","",$I274*$R274)</f>
        <v/>
      </c>
      <c r="T274" s="10">
        <f>IF($C274="","",(IF($N274="Purchased",$H274,0)+$Q274))</f>
        <v/>
      </c>
      <c r="U274" s="10">
        <f>IF($C274="","",$S274-$T274)</f>
        <v/>
      </c>
      <c r="V274" s="11">
        <f>IF(OR($C274="",$I274=0),"",CEILING($T274/$I274,1))</f>
        <v/>
      </c>
      <c r="W274" s="6" t="n"/>
    </row>
    <row r="275">
      <c r="A275" t="inlineStr">
        <is>
          <t>W274</t>
        </is>
      </c>
      <c r="B275" s="6" t="n"/>
      <c r="C275" s="6" t="n"/>
      <c r="D275" s="6" t="n"/>
      <c r="E275" s="6" t="n"/>
      <c r="F275">
        <f>IF(E275="","",IMAGE(E275))</f>
        <v/>
      </c>
      <c r="G275" s="6" t="n"/>
      <c r="H275" s="7" t="n"/>
      <c r="I275" s="7" t="n"/>
      <c r="J275" s="6" t="n"/>
      <c r="K275" s="6" t="n"/>
      <c r="L275" s="6" t="n"/>
      <c r="M275" s="6" t="n"/>
      <c r="N275" s="6" t="n"/>
      <c r="O275" s="6" t="n"/>
      <c r="P275" s="8" t="n"/>
      <c r="Q275" s="7" t="n"/>
      <c r="R275" s="9" t="n"/>
      <c r="S275" s="10">
        <f>IF($C275="","",$I275*$R275)</f>
        <v/>
      </c>
      <c r="T275" s="10">
        <f>IF($C275="","",(IF($N275="Purchased",$H275,0)+$Q275))</f>
        <v/>
      </c>
      <c r="U275" s="10">
        <f>IF($C275="","",$S275-$T275)</f>
        <v/>
      </c>
      <c r="V275" s="11">
        <f>IF(OR($C275="",$I275=0),"",CEILING($T275/$I275,1))</f>
        <v/>
      </c>
      <c r="W275" s="6" t="n"/>
    </row>
    <row r="276">
      <c r="A276" t="inlineStr">
        <is>
          <t>W275</t>
        </is>
      </c>
      <c r="B276" s="6" t="n"/>
      <c r="C276" s="6" t="n"/>
      <c r="D276" s="6" t="n"/>
      <c r="E276" s="6" t="n"/>
      <c r="F276">
        <f>IF(E276="","",IMAGE(E276))</f>
        <v/>
      </c>
      <c r="G276" s="6" t="n"/>
      <c r="H276" s="7" t="n"/>
      <c r="I276" s="7" t="n"/>
      <c r="J276" s="6" t="n"/>
      <c r="K276" s="6" t="n"/>
      <c r="L276" s="6" t="n"/>
      <c r="M276" s="6" t="n"/>
      <c r="N276" s="6" t="n"/>
      <c r="O276" s="6" t="n"/>
      <c r="P276" s="8" t="n"/>
      <c r="Q276" s="7" t="n"/>
      <c r="R276" s="9" t="n"/>
      <c r="S276" s="10">
        <f>IF($C276="","",$I276*$R276)</f>
        <v/>
      </c>
      <c r="T276" s="10">
        <f>IF($C276="","",(IF($N276="Purchased",$H276,0)+$Q276))</f>
        <v/>
      </c>
      <c r="U276" s="10">
        <f>IF($C276="","",$S276-$T276)</f>
        <v/>
      </c>
      <c r="V276" s="11">
        <f>IF(OR($C276="",$I276=0),"",CEILING($T276/$I276,1))</f>
        <v/>
      </c>
      <c r="W276" s="6" t="n"/>
    </row>
    <row r="277">
      <c r="A277" t="inlineStr">
        <is>
          <t>W276</t>
        </is>
      </c>
      <c r="B277" s="6" t="n"/>
      <c r="C277" s="6" t="n"/>
      <c r="D277" s="6" t="n"/>
      <c r="E277" s="6" t="n"/>
      <c r="F277">
        <f>IF(E277="","",IMAGE(E277))</f>
        <v/>
      </c>
      <c r="G277" s="6" t="n"/>
      <c r="H277" s="7" t="n"/>
      <c r="I277" s="7" t="n"/>
      <c r="J277" s="6" t="n"/>
      <c r="K277" s="6" t="n"/>
      <c r="L277" s="6" t="n"/>
      <c r="M277" s="6" t="n"/>
      <c r="N277" s="6" t="n"/>
      <c r="O277" s="6" t="n"/>
      <c r="P277" s="8" t="n"/>
      <c r="Q277" s="7" t="n"/>
      <c r="R277" s="9" t="n"/>
      <c r="S277" s="10">
        <f>IF($C277="","",$I277*$R277)</f>
        <v/>
      </c>
      <c r="T277" s="10">
        <f>IF($C277="","",(IF($N277="Purchased",$H277,0)+$Q277))</f>
        <v/>
      </c>
      <c r="U277" s="10">
        <f>IF($C277="","",$S277-$T277)</f>
        <v/>
      </c>
      <c r="V277" s="11">
        <f>IF(OR($C277="",$I277=0),"",CEILING($T277/$I277,1))</f>
        <v/>
      </c>
      <c r="W277" s="6" t="n"/>
    </row>
    <row r="278">
      <c r="A278" t="inlineStr">
        <is>
          <t>W277</t>
        </is>
      </c>
      <c r="B278" s="6" t="n"/>
      <c r="C278" s="6" t="n"/>
      <c r="D278" s="6" t="n"/>
      <c r="E278" s="6" t="n"/>
      <c r="F278">
        <f>IF(E278="","",IMAGE(E278))</f>
        <v/>
      </c>
      <c r="G278" s="6" t="n"/>
      <c r="H278" s="7" t="n"/>
      <c r="I278" s="7" t="n"/>
      <c r="J278" s="6" t="n"/>
      <c r="K278" s="6" t="n"/>
      <c r="L278" s="6" t="n"/>
      <c r="M278" s="6" t="n"/>
      <c r="N278" s="6" t="n"/>
      <c r="O278" s="6" t="n"/>
      <c r="P278" s="8" t="n"/>
      <c r="Q278" s="7" t="n"/>
      <c r="R278" s="9" t="n"/>
      <c r="S278" s="10">
        <f>IF($C278="","",$I278*$R278)</f>
        <v/>
      </c>
      <c r="T278" s="10">
        <f>IF($C278="","",(IF($N278="Purchased",$H278,0)+$Q278))</f>
        <v/>
      </c>
      <c r="U278" s="10">
        <f>IF($C278="","",$S278-$T278)</f>
        <v/>
      </c>
      <c r="V278" s="11">
        <f>IF(OR($C278="",$I278=0),"",CEILING($T278/$I278,1))</f>
        <v/>
      </c>
      <c r="W278" s="6" t="n"/>
    </row>
    <row r="279">
      <c r="A279" t="inlineStr">
        <is>
          <t>W278</t>
        </is>
      </c>
      <c r="B279" s="6" t="n"/>
      <c r="C279" s="6" t="n"/>
      <c r="D279" s="6" t="n"/>
      <c r="E279" s="6" t="n"/>
      <c r="F279">
        <f>IF(E279="","",IMAGE(E279))</f>
        <v/>
      </c>
      <c r="G279" s="6" t="n"/>
      <c r="H279" s="7" t="n"/>
      <c r="I279" s="7" t="n"/>
      <c r="J279" s="6" t="n"/>
      <c r="K279" s="6" t="n"/>
      <c r="L279" s="6" t="n"/>
      <c r="M279" s="6" t="n"/>
      <c r="N279" s="6" t="n"/>
      <c r="O279" s="6" t="n"/>
      <c r="P279" s="8" t="n"/>
      <c r="Q279" s="7" t="n"/>
      <c r="R279" s="9" t="n"/>
      <c r="S279" s="10">
        <f>IF($C279="","",$I279*$R279)</f>
        <v/>
      </c>
      <c r="T279" s="10">
        <f>IF($C279="","",(IF($N279="Purchased",$H279,0)+$Q279))</f>
        <v/>
      </c>
      <c r="U279" s="10">
        <f>IF($C279="","",$S279-$T279)</f>
        <v/>
      </c>
      <c r="V279" s="11">
        <f>IF(OR($C279="",$I279=0),"",CEILING($T279/$I279,1))</f>
        <v/>
      </c>
      <c r="W279" s="6" t="n"/>
    </row>
    <row r="280">
      <c r="A280" t="inlineStr">
        <is>
          <t>W279</t>
        </is>
      </c>
      <c r="B280" s="6" t="n"/>
      <c r="C280" s="6" t="n"/>
      <c r="D280" s="6" t="n"/>
      <c r="E280" s="6" t="n"/>
      <c r="F280">
        <f>IF(E280="","",IMAGE(E280))</f>
        <v/>
      </c>
      <c r="G280" s="6" t="n"/>
      <c r="H280" s="7" t="n"/>
      <c r="I280" s="7" t="n"/>
      <c r="J280" s="6" t="n"/>
      <c r="K280" s="6" t="n"/>
      <c r="L280" s="6" t="n"/>
      <c r="M280" s="6" t="n"/>
      <c r="N280" s="6" t="n"/>
      <c r="O280" s="6" t="n"/>
      <c r="P280" s="8" t="n"/>
      <c r="Q280" s="7" t="n"/>
      <c r="R280" s="9" t="n"/>
      <c r="S280" s="10">
        <f>IF($C280="","",$I280*$R280)</f>
        <v/>
      </c>
      <c r="T280" s="10">
        <f>IF($C280="","",(IF($N280="Purchased",$H280,0)+$Q280))</f>
        <v/>
      </c>
      <c r="U280" s="10">
        <f>IF($C280="","",$S280-$T280)</f>
        <v/>
      </c>
      <c r="V280" s="11">
        <f>IF(OR($C280="",$I280=0),"",CEILING($T280/$I280,1))</f>
        <v/>
      </c>
      <c r="W280" s="6" t="n"/>
    </row>
    <row r="281">
      <c r="A281" t="inlineStr">
        <is>
          <t>W280</t>
        </is>
      </c>
      <c r="B281" s="6" t="n"/>
      <c r="C281" s="6" t="n"/>
      <c r="D281" s="6" t="n"/>
      <c r="E281" s="6" t="n"/>
      <c r="F281">
        <f>IF(E281="","",IMAGE(E281))</f>
        <v/>
      </c>
      <c r="G281" s="6" t="n"/>
      <c r="H281" s="7" t="n"/>
      <c r="I281" s="7" t="n"/>
      <c r="J281" s="6" t="n"/>
      <c r="K281" s="6" t="n"/>
      <c r="L281" s="6" t="n"/>
      <c r="M281" s="6" t="n"/>
      <c r="N281" s="6" t="n"/>
      <c r="O281" s="6" t="n"/>
      <c r="P281" s="8" t="n"/>
      <c r="Q281" s="7" t="n"/>
      <c r="R281" s="9" t="n"/>
      <c r="S281" s="10">
        <f>IF($C281="","",$I281*$R281)</f>
        <v/>
      </c>
      <c r="T281" s="10">
        <f>IF($C281="","",(IF($N281="Purchased",$H281,0)+$Q281))</f>
        <v/>
      </c>
      <c r="U281" s="10">
        <f>IF($C281="","",$S281-$T281)</f>
        <v/>
      </c>
      <c r="V281" s="11">
        <f>IF(OR($C281="",$I281=0),"",CEILING($T281/$I281,1))</f>
        <v/>
      </c>
      <c r="W281" s="6" t="n"/>
    </row>
    <row r="282">
      <c r="A282" t="inlineStr">
        <is>
          <t>W281</t>
        </is>
      </c>
      <c r="B282" s="6" t="n"/>
      <c r="C282" s="6" t="n"/>
      <c r="D282" s="6" t="n"/>
      <c r="E282" s="6" t="n"/>
      <c r="F282">
        <f>IF(E282="","",IMAGE(E282))</f>
        <v/>
      </c>
      <c r="G282" s="6" t="n"/>
      <c r="H282" s="7" t="n"/>
      <c r="I282" s="7" t="n"/>
      <c r="J282" s="6" t="n"/>
      <c r="K282" s="6" t="n"/>
      <c r="L282" s="6" t="n"/>
      <c r="M282" s="6" t="n"/>
      <c r="N282" s="6" t="n"/>
      <c r="O282" s="6" t="n"/>
      <c r="P282" s="8" t="n"/>
      <c r="Q282" s="7" t="n"/>
      <c r="R282" s="9" t="n"/>
      <c r="S282" s="10">
        <f>IF($C282="","",$I282*$R282)</f>
        <v/>
      </c>
      <c r="T282" s="10">
        <f>IF($C282="","",(IF($N282="Purchased",$H282,0)+$Q282))</f>
        <v/>
      </c>
      <c r="U282" s="10">
        <f>IF($C282="","",$S282-$T282)</f>
        <v/>
      </c>
      <c r="V282" s="11">
        <f>IF(OR($C282="",$I282=0),"",CEILING($T282/$I282,1))</f>
        <v/>
      </c>
      <c r="W282" s="6" t="n"/>
    </row>
    <row r="283">
      <c r="A283" t="inlineStr">
        <is>
          <t>W282</t>
        </is>
      </c>
      <c r="B283" s="6" t="n"/>
      <c r="C283" s="6" t="n"/>
      <c r="D283" s="6" t="n"/>
      <c r="E283" s="6" t="n"/>
      <c r="F283">
        <f>IF(E283="","",IMAGE(E283))</f>
        <v/>
      </c>
      <c r="G283" s="6" t="n"/>
      <c r="H283" s="7" t="n"/>
      <c r="I283" s="7" t="n"/>
      <c r="J283" s="6" t="n"/>
      <c r="K283" s="6" t="n"/>
      <c r="L283" s="6" t="n"/>
      <c r="M283" s="6" t="n"/>
      <c r="N283" s="6" t="n"/>
      <c r="O283" s="6" t="n"/>
      <c r="P283" s="8" t="n"/>
      <c r="Q283" s="7" t="n"/>
      <c r="R283" s="9" t="n"/>
      <c r="S283" s="10">
        <f>IF($C283="","",$I283*$R283)</f>
        <v/>
      </c>
      <c r="T283" s="10">
        <f>IF($C283="","",(IF($N283="Purchased",$H283,0)+$Q283))</f>
        <v/>
      </c>
      <c r="U283" s="10">
        <f>IF($C283="","",$S283-$T283)</f>
        <v/>
      </c>
      <c r="V283" s="11">
        <f>IF(OR($C283="",$I283=0),"",CEILING($T283/$I283,1))</f>
        <v/>
      </c>
      <c r="W283" s="6" t="n"/>
    </row>
    <row r="284">
      <c r="A284" t="inlineStr">
        <is>
          <t>W283</t>
        </is>
      </c>
      <c r="B284" s="6" t="n"/>
      <c r="C284" s="6" t="n"/>
      <c r="D284" s="6" t="n"/>
      <c r="E284" s="6" t="n"/>
      <c r="F284">
        <f>IF(E284="","",IMAGE(E284))</f>
        <v/>
      </c>
      <c r="G284" s="6" t="n"/>
      <c r="H284" s="7" t="n"/>
      <c r="I284" s="7" t="n"/>
      <c r="J284" s="6" t="n"/>
      <c r="K284" s="6" t="n"/>
      <c r="L284" s="6" t="n"/>
      <c r="M284" s="6" t="n"/>
      <c r="N284" s="6" t="n"/>
      <c r="O284" s="6" t="n"/>
      <c r="P284" s="8" t="n"/>
      <c r="Q284" s="7" t="n"/>
      <c r="R284" s="9" t="n"/>
      <c r="S284" s="10">
        <f>IF($C284="","",$I284*$R284)</f>
        <v/>
      </c>
      <c r="T284" s="10">
        <f>IF($C284="","",(IF($N284="Purchased",$H284,0)+$Q284))</f>
        <v/>
      </c>
      <c r="U284" s="10">
        <f>IF($C284="","",$S284-$T284)</f>
        <v/>
      </c>
      <c r="V284" s="11">
        <f>IF(OR($C284="",$I284=0),"",CEILING($T284/$I284,1))</f>
        <v/>
      </c>
      <c r="W284" s="6" t="n"/>
    </row>
    <row r="285">
      <c r="A285" t="inlineStr">
        <is>
          <t>W284</t>
        </is>
      </c>
      <c r="B285" s="6" t="n"/>
      <c r="C285" s="6" t="n"/>
      <c r="D285" s="6" t="n"/>
      <c r="E285" s="6" t="n"/>
      <c r="F285">
        <f>IF(E285="","",IMAGE(E285))</f>
        <v/>
      </c>
      <c r="G285" s="6" t="n"/>
      <c r="H285" s="7" t="n"/>
      <c r="I285" s="7" t="n"/>
      <c r="J285" s="6" t="n"/>
      <c r="K285" s="6" t="n"/>
      <c r="L285" s="6" t="n"/>
      <c r="M285" s="6" t="n"/>
      <c r="N285" s="6" t="n"/>
      <c r="O285" s="6" t="n"/>
      <c r="P285" s="8" t="n"/>
      <c r="Q285" s="7" t="n"/>
      <c r="R285" s="9" t="n"/>
      <c r="S285" s="10">
        <f>IF($C285="","",$I285*$R285)</f>
        <v/>
      </c>
      <c r="T285" s="10">
        <f>IF($C285="","",(IF($N285="Purchased",$H285,0)+$Q285))</f>
        <v/>
      </c>
      <c r="U285" s="10">
        <f>IF($C285="","",$S285-$T285)</f>
        <v/>
      </c>
      <c r="V285" s="11">
        <f>IF(OR($C285="",$I285=0),"",CEILING($T285/$I285,1))</f>
        <v/>
      </c>
      <c r="W285" s="6" t="n"/>
    </row>
    <row r="286">
      <c r="A286" t="inlineStr">
        <is>
          <t>W285</t>
        </is>
      </c>
      <c r="B286" s="6" t="n"/>
      <c r="C286" s="6" t="n"/>
      <c r="D286" s="6" t="n"/>
      <c r="E286" s="6" t="n"/>
      <c r="F286">
        <f>IF(E286="","",IMAGE(E286))</f>
        <v/>
      </c>
      <c r="G286" s="6" t="n"/>
      <c r="H286" s="7" t="n"/>
      <c r="I286" s="7" t="n"/>
      <c r="J286" s="6" t="n"/>
      <c r="K286" s="6" t="n"/>
      <c r="L286" s="6" t="n"/>
      <c r="M286" s="6" t="n"/>
      <c r="N286" s="6" t="n"/>
      <c r="O286" s="6" t="n"/>
      <c r="P286" s="8" t="n"/>
      <c r="Q286" s="7" t="n"/>
      <c r="R286" s="9" t="n"/>
      <c r="S286" s="10">
        <f>IF($C286="","",$I286*$R286)</f>
        <v/>
      </c>
      <c r="T286" s="10">
        <f>IF($C286="","",(IF($N286="Purchased",$H286,0)+$Q286))</f>
        <v/>
      </c>
      <c r="U286" s="10">
        <f>IF($C286="","",$S286-$T286)</f>
        <v/>
      </c>
      <c r="V286" s="11">
        <f>IF(OR($C286="",$I286=0),"",CEILING($T286/$I286,1))</f>
        <v/>
      </c>
      <c r="W286" s="6" t="n"/>
    </row>
    <row r="287">
      <c r="A287" t="inlineStr">
        <is>
          <t>W286</t>
        </is>
      </c>
      <c r="B287" s="6" t="n"/>
      <c r="C287" s="6" t="n"/>
      <c r="D287" s="6" t="n"/>
      <c r="E287" s="6" t="n"/>
      <c r="F287">
        <f>IF(E287="","",IMAGE(E287))</f>
        <v/>
      </c>
      <c r="G287" s="6" t="n"/>
      <c r="H287" s="7" t="n"/>
      <c r="I287" s="7" t="n"/>
      <c r="J287" s="6" t="n"/>
      <c r="K287" s="6" t="n"/>
      <c r="L287" s="6" t="n"/>
      <c r="M287" s="6" t="n"/>
      <c r="N287" s="6" t="n"/>
      <c r="O287" s="6" t="n"/>
      <c r="P287" s="8" t="n"/>
      <c r="Q287" s="7" t="n"/>
      <c r="R287" s="9" t="n"/>
      <c r="S287" s="10">
        <f>IF($C287="","",$I287*$R287)</f>
        <v/>
      </c>
      <c r="T287" s="10">
        <f>IF($C287="","",(IF($N287="Purchased",$H287,0)+$Q287))</f>
        <v/>
      </c>
      <c r="U287" s="10">
        <f>IF($C287="","",$S287-$T287)</f>
        <v/>
      </c>
      <c r="V287" s="11">
        <f>IF(OR($C287="",$I287=0),"",CEILING($T287/$I287,1))</f>
        <v/>
      </c>
      <c r="W287" s="6" t="n"/>
    </row>
    <row r="288">
      <c r="A288" t="inlineStr">
        <is>
          <t>W287</t>
        </is>
      </c>
      <c r="B288" s="6" t="n"/>
      <c r="C288" s="6" t="n"/>
      <c r="D288" s="6" t="n"/>
      <c r="E288" s="6" t="n"/>
      <c r="F288">
        <f>IF(E288="","",IMAGE(E288))</f>
        <v/>
      </c>
      <c r="G288" s="6" t="n"/>
      <c r="H288" s="7" t="n"/>
      <c r="I288" s="7" t="n"/>
      <c r="J288" s="6" t="n"/>
      <c r="K288" s="6" t="n"/>
      <c r="L288" s="6" t="n"/>
      <c r="M288" s="6" t="n"/>
      <c r="N288" s="6" t="n"/>
      <c r="O288" s="6" t="n"/>
      <c r="P288" s="8" t="n"/>
      <c r="Q288" s="7" t="n"/>
      <c r="R288" s="9" t="n"/>
      <c r="S288" s="10">
        <f>IF($C288="","",$I288*$R288)</f>
        <v/>
      </c>
      <c r="T288" s="10">
        <f>IF($C288="","",(IF($N288="Purchased",$H288,0)+$Q288))</f>
        <v/>
      </c>
      <c r="U288" s="10">
        <f>IF($C288="","",$S288-$T288)</f>
        <v/>
      </c>
      <c r="V288" s="11">
        <f>IF(OR($C288="",$I288=0),"",CEILING($T288/$I288,1))</f>
        <v/>
      </c>
      <c r="W288" s="6" t="n"/>
    </row>
    <row r="289">
      <c r="A289" t="inlineStr">
        <is>
          <t>W288</t>
        </is>
      </c>
      <c r="B289" s="6" t="n"/>
      <c r="C289" s="6" t="n"/>
      <c r="D289" s="6" t="n"/>
      <c r="E289" s="6" t="n"/>
      <c r="F289">
        <f>IF(E289="","",IMAGE(E289))</f>
        <v/>
      </c>
      <c r="G289" s="6" t="n"/>
      <c r="H289" s="7" t="n"/>
      <c r="I289" s="7" t="n"/>
      <c r="J289" s="6" t="n"/>
      <c r="K289" s="6" t="n"/>
      <c r="L289" s="6" t="n"/>
      <c r="M289" s="6" t="n"/>
      <c r="N289" s="6" t="n"/>
      <c r="O289" s="6" t="n"/>
      <c r="P289" s="8" t="n"/>
      <c r="Q289" s="7" t="n"/>
      <c r="R289" s="9" t="n"/>
      <c r="S289" s="10">
        <f>IF($C289="","",$I289*$R289)</f>
        <v/>
      </c>
      <c r="T289" s="10">
        <f>IF($C289="","",(IF($N289="Purchased",$H289,0)+$Q289))</f>
        <v/>
      </c>
      <c r="U289" s="10">
        <f>IF($C289="","",$S289-$T289)</f>
        <v/>
      </c>
      <c r="V289" s="11">
        <f>IF(OR($C289="",$I289=0),"",CEILING($T289/$I289,1))</f>
        <v/>
      </c>
      <c r="W289" s="6" t="n"/>
    </row>
    <row r="290">
      <c r="A290" t="inlineStr">
        <is>
          <t>W289</t>
        </is>
      </c>
      <c r="B290" s="6" t="n"/>
      <c r="C290" s="6" t="n"/>
      <c r="D290" s="6" t="n"/>
      <c r="E290" s="6" t="n"/>
      <c r="F290">
        <f>IF(E290="","",IMAGE(E290))</f>
        <v/>
      </c>
      <c r="G290" s="6" t="n"/>
      <c r="H290" s="7" t="n"/>
      <c r="I290" s="7" t="n"/>
      <c r="J290" s="6" t="n"/>
      <c r="K290" s="6" t="n"/>
      <c r="L290" s="6" t="n"/>
      <c r="M290" s="6" t="n"/>
      <c r="N290" s="6" t="n"/>
      <c r="O290" s="6" t="n"/>
      <c r="P290" s="8" t="n"/>
      <c r="Q290" s="7" t="n"/>
      <c r="R290" s="9" t="n"/>
      <c r="S290" s="10">
        <f>IF($C290="","",$I290*$R290)</f>
        <v/>
      </c>
      <c r="T290" s="10">
        <f>IF($C290="","",(IF($N290="Purchased",$H290,0)+$Q290))</f>
        <v/>
      </c>
      <c r="U290" s="10">
        <f>IF($C290="","",$S290-$T290)</f>
        <v/>
      </c>
      <c r="V290" s="11">
        <f>IF(OR($C290="",$I290=0),"",CEILING($T290/$I290,1))</f>
        <v/>
      </c>
      <c r="W290" s="6" t="n"/>
    </row>
    <row r="291">
      <c r="A291" t="inlineStr">
        <is>
          <t>W290</t>
        </is>
      </c>
      <c r="B291" s="6" t="n"/>
      <c r="C291" s="6" t="n"/>
      <c r="D291" s="6" t="n"/>
      <c r="E291" s="6" t="n"/>
      <c r="F291">
        <f>IF(E291="","",IMAGE(E291))</f>
        <v/>
      </c>
      <c r="G291" s="6" t="n"/>
      <c r="H291" s="7" t="n"/>
      <c r="I291" s="7" t="n"/>
      <c r="J291" s="6" t="n"/>
      <c r="K291" s="6" t="n"/>
      <c r="L291" s="6" t="n"/>
      <c r="M291" s="6" t="n"/>
      <c r="N291" s="6" t="n"/>
      <c r="O291" s="6" t="n"/>
      <c r="P291" s="8" t="n"/>
      <c r="Q291" s="7" t="n"/>
      <c r="R291" s="9" t="n"/>
      <c r="S291" s="10">
        <f>IF($C291="","",$I291*$R291)</f>
        <v/>
      </c>
      <c r="T291" s="10">
        <f>IF($C291="","",(IF($N291="Purchased",$H291,0)+$Q291))</f>
        <v/>
      </c>
      <c r="U291" s="10">
        <f>IF($C291="","",$S291-$T291)</f>
        <v/>
      </c>
      <c r="V291" s="11">
        <f>IF(OR($C291="",$I291=0),"",CEILING($T291/$I291,1))</f>
        <v/>
      </c>
      <c r="W291" s="6" t="n"/>
    </row>
    <row r="292">
      <c r="A292" t="inlineStr">
        <is>
          <t>W291</t>
        </is>
      </c>
      <c r="B292" s="6" t="n"/>
      <c r="C292" s="6" t="n"/>
      <c r="D292" s="6" t="n"/>
      <c r="E292" s="6" t="n"/>
      <c r="F292">
        <f>IF(E292="","",IMAGE(E292))</f>
        <v/>
      </c>
      <c r="G292" s="6" t="n"/>
      <c r="H292" s="7" t="n"/>
      <c r="I292" s="7" t="n"/>
      <c r="J292" s="6" t="n"/>
      <c r="K292" s="6" t="n"/>
      <c r="L292" s="6" t="n"/>
      <c r="M292" s="6" t="n"/>
      <c r="N292" s="6" t="n"/>
      <c r="O292" s="6" t="n"/>
      <c r="P292" s="8" t="n"/>
      <c r="Q292" s="7" t="n"/>
      <c r="R292" s="9" t="n"/>
      <c r="S292" s="10">
        <f>IF($C292="","",$I292*$R292)</f>
        <v/>
      </c>
      <c r="T292" s="10">
        <f>IF($C292="","",(IF($N292="Purchased",$H292,0)+$Q292))</f>
        <v/>
      </c>
      <c r="U292" s="10">
        <f>IF($C292="","",$S292-$T292)</f>
        <v/>
      </c>
      <c r="V292" s="11">
        <f>IF(OR($C292="",$I292=0),"",CEILING($T292/$I292,1))</f>
        <v/>
      </c>
      <c r="W292" s="6" t="n"/>
    </row>
    <row r="293">
      <c r="A293" t="inlineStr">
        <is>
          <t>W292</t>
        </is>
      </c>
      <c r="B293" s="6" t="n"/>
      <c r="C293" s="6" t="n"/>
      <c r="D293" s="6" t="n"/>
      <c r="E293" s="6" t="n"/>
      <c r="F293">
        <f>IF(E293="","",IMAGE(E293))</f>
        <v/>
      </c>
      <c r="G293" s="6" t="n"/>
      <c r="H293" s="7" t="n"/>
      <c r="I293" s="7" t="n"/>
      <c r="J293" s="6" t="n"/>
      <c r="K293" s="6" t="n"/>
      <c r="L293" s="6" t="n"/>
      <c r="M293" s="6" t="n"/>
      <c r="N293" s="6" t="n"/>
      <c r="O293" s="6" t="n"/>
      <c r="P293" s="8" t="n"/>
      <c r="Q293" s="7" t="n"/>
      <c r="R293" s="9" t="n"/>
      <c r="S293" s="10">
        <f>IF($C293="","",$I293*$R293)</f>
        <v/>
      </c>
      <c r="T293" s="10">
        <f>IF($C293="","",(IF($N293="Purchased",$H293,0)+$Q293))</f>
        <v/>
      </c>
      <c r="U293" s="10">
        <f>IF($C293="","",$S293-$T293)</f>
        <v/>
      </c>
      <c r="V293" s="11">
        <f>IF(OR($C293="",$I293=0),"",CEILING($T293/$I293,1))</f>
        <v/>
      </c>
      <c r="W293" s="6" t="n"/>
    </row>
    <row r="294">
      <c r="A294" t="inlineStr">
        <is>
          <t>W293</t>
        </is>
      </c>
      <c r="B294" s="6" t="n"/>
      <c r="C294" s="6" t="n"/>
      <c r="D294" s="6" t="n"/>
      <c r="E294" s="6" t="n"/>
      <c r="F294">
        <f>IF(E294="","",IMAGE(E294))</f>
        <v/>
      </c>
      <c r="G294" s="6" t="n"/>
      <c r="H294" s="7" t="n"/>
      <c r="I294" s="7" t="n"/>
      <c r="J294" s="6" t="n"/>
      <c r="K294" s="6" t="n"/>
      <c r="L294" s="6" t="n"/>
      <c r="M294" s="6" t="n"/>
      <c r="N294" s="6" t="n"/>
      <c r="O294" s="6" t="n"/>
      <c r="P294" s="8" t="n"/>
      <c r="Q294" s="7" t="n"/>
      <c r="R294" s="9" t="n"/>
      <c r="S294" s="10">
        <f>IF($C294="","",$I294*$R294)</f>
        <v/>
      </c>
      <c r="T294" s="10">
        <f>IF($C294="","",(IF($N294="Purchased",$H294,0)+$Q294))</f>
        <v/>
      </c>
      <c r="U294" s="10">
        <f>IF($C294="","",$S294-$T294)</f>
        <v/>
      </c>
      <c r="V294" s="11">
        <f>IF(OR($C294="",$I294=0),"",CEILING($T294/$I294,1))</f>
        <v/>
      </c>
      <c r="W294" s="6" t="n"/>
    </row>
    <row r="295">
      <c r="A295" t="inlineStr">
        <is>
          <t>W294</t>
        </is>
      </c>
      <c r="B295" s="6" t="n"/>
      <c r="C295" s="6" t="n"/>
      <c r="D295" s="6" t="n"/>
      <c r="E295" s="6" t="n"/>
      <c r="F295">
        <f>IF(E295="","",IMAGE(E295))</f>
        <v/>
      </c>
      <c r="G295" s="6" t="n"/>
      <c r="H295" s="7" t="n"/>
      <c r="I295" s="7" t="n"/>
      <c r="J295" s="6" t="n"/>
      <c r="K295" s="6" t="n"/>
      <c r="L295" s="6" t="n"/>
      <c r="M295" s="6" t="n"/>
      <c r="N295" s="6" t="n"/>
      <c r="O295" s="6" t="n"/>
      <c r="P295" s="8" t="n"/>
      <c r="Q295" s="7" t="n"/>
      <c r="R295" s="9" t="n"/>
      <c r="S295" s="10">
        <f>IF($C295="","",$I295*$R295)</f>
        <v/>
      </c>
      <c r="T295" s="10">
        <f>IF($C295="","",(IF($N295="Purchased",$H295,0)+$Q295))</f>
        <v/>
      </c>
      <c r="U295" s="10">
        <f>IF($C295="","",$S295-$T295)</f>
        <v/>
      </c>
      <c r="V295" s="11">
        <f>IF(OR($C295="",$I295=0),"",CEILING($T295/$I295,1))</f>
        <v/>
      </c>
      <c r="W295" s="6" t="n"/>
    </row>
    <row r="296">
      <c r="A296" t="inlineStr">
        <is>
          <t>W295</t>
        </is>
      </c>
      <c r="B296" s="6" t="n"/>
      <c r="C296" s="6" t="n"/>
      <c r="D296" s="6" t="n"/>
      <c r="E296" s="6" t="n"/>
      <c r="F296">
        <f>IF(E296="","",IMAGE(E296))</f>
        <v/>
      </c>
      <c r="G296" s="6" t="n"/>
      <c r="H296" s="7" t="n"/>
      <c r="I296" s="7" t="n"/>
      <c r="J296" s="6" t="n"/>
      <c r="K296" s="6" t="n"/>
      <c r="L296" s="6" t="n"/>
      <c r="M296" s="6" t="n"/>
      <c r="N296" s="6" t="n"/>
      <c r="O296" s="6" t="n"/>
      <c r="P296" s="8" t="n"/>
      <c r="Q296" s="7" t="n"/>
      <c r="R296" s="9" t="n"/>
      <c r="S296" s="10">
        <f>IF($C296="","",$I296*$R296)</f>
        <v/>
      </c>
      <c r="T296" s="10">
        <f>IF($C296="","",(IF($N296="Purchased",$H296,0)+$Q296))</f>
        <v/>
      </c>
      <c r="U296" s="10">
        <f>IF($C296="","",$S296-$T296)</f>
        <v/>
      </c>
      <c r="V296" s="11">
        <f>IF(OR($C296="",$I296=0),"",CEILING($T296/$I296,1))</f>
        <v/>
      </c>
      <c r="W296" s="6" t="n"/>
    </row>
    <row r="297">
      <c r="A297" t="inlineStr">
        <is>
          <t>W296</t>
        </is>
      </c>
      <c r="B297" s="6" t="n"/>
      <c r="C297" s="6" t="n"/>
      <c r="D297" s="6" t="n"/>
      <c r="E297" s="6" t="n"/>
      <c r="F297">
        <f>IF(E297="","",IMAGE(E297))</f>
        <v/>
      </c>
      <c r="G297" s="6" t="n"/>
      <c r="H297" s="7" t="n"/>
      <c r="I297" s="7" t="n"/>
      <c r="J297" s="6" t="n"/>
      <c r="K297" s="6" t="n"/>
      <c r="L297" s="6" t="n"/>
      <c r="M297" s="6" t="n"/>
      <c r="N297" s="6" t="n"/>
      <c r="O297" s="6" t="n"/>
      <c r="P297" s="8" t="n"/>
      <c r="Q297" s="7" t="n"/>
      <c r="R297" s="9" t="n"/>
      <c r="S297" s="10">
        <f>IF($C297="","",$I297*$R297)</f>
        <v/>
      </c>
      <c r="T297" s="10">
        <f>IF($C297="","",(IF($N297="Purchased",$H297,0)+$Q297))</f>
        <v/>
      </c>
      <c r="U297" s="10">
        <f>IF($C297="","",$S297-$T297)</f>
        <v/>
      </c>
      <c r="V297" s="11">
        <f>IF(OR($C297="",$I297=0),"",CEILING($T297/$I297,1))</f>
        <v/>
      </c>
      <c r="W297" s="6" t="n"/>
    </row>
    <row r="298">
      <c r="A298" t="inlineStr">
        <is>
          <t>W297</t>
        </is>
      </c>
      <c r="B298" s="6" t="n"/>
      <c r="C298" s="6" t="n"/>
      <c r="D298" s="6" t="n"/>
      <c r="E298" s="6" t="n"/>
      <c r="F298">
        <f>IF(E298="","",IMAGE(E298))</f>
        <v/>
      </c>
      <c r="G298" s="6" t="n"/>
      <c r="H298" s="7" t="n"/>
      <c r="I298" s="7" t="n"/>
      <c r="J298" s="6" t="n"/>
      <c r="K298" s="6" t="n"/>
      <c r="L298" s="6" t="n"/>
      <c r="M298" s="6" t="n"/>
      <c r="N298" s="6" t="n"/>
      <c r="O298" s="6" t="n"/>
      <c r="P298" s="8" t="n"/>
      <c r="Q298" s="7" t="n"/>
      <c r="R298" s="9" t="n"/>
      <c r="S298" s="10">
        <f>IF($C298="","",$I298*$R298)</f>
        <v/>
      </c>
      <c r="T298" s="10">
        <f>IF($C298="","",(IF($N298="Purchased",$H298,0)+$Q298))</f>
        <v/>
      </c>
      <c r="U298" s="10">
        <f>IF($C298="","",$S298-$T298)</f>
        <v/>
      </c>
      <c r="V298" s="11">
        <f>IF(OR($C298="",$I298=0),"",CEILING($T298/$I298,1))</f>
        <v/>
      </c>
      <c r="W298" s="6" t="n"/>
    </row>
    <row r="299">
      <c r="A299" t="inlineStr">
        <is>
          <t>W298</t>
        </is>
      </c>
      <c r="B299" s="6" t="n"/>
      <c r="C299" s="6" t="n"/>
      <c r="D299" s="6" t="n"/>
      <c r="E299" s="6" t="n"/>
      <c r="F299">
        <f>IF(E299="","",IMAGE(E299))</f>
        <v/>
      </c>
      <c r="G299" s="6" t="n"/>
      <c r="H299" s="7" t="n"/>
      <c r="I299" s="7" t="n"/>
      <c r="J299" s="6" t="n"/>
      <c r="K299" s="6" t="n"/>
      <c r="L299" s="6" t="n"/>
      <c r="M299" s="6" t="n"/>
      <c r="N299" s="6" t="n"/>
      <c r="O299" s="6" t="n"/>
      <c r="P299" s="8" t="n"/>
      <c r="Q299" s="7" t="n"/>
      <c r="R299" s="9" t="n"/>
      <c r="S299" s="10">
        <f>IF($C299="","",$I299*$R299)</f>
        <v/>
      </c>
      <c r="T299" s="10">
        <f>IF($C299="","",(IF($N299="Purchased",$H299,0)+$Q299))</f>
        <v/>
      </c>
      <c r="U299" s="10">
        <f>IF($C299="","",$S299-$T299)</f>
        <v/>
      </c>
      <c r="V299" s="11">
        <f>IF(OR($C299="",$I299=0),"",CEILING($T299/$I299,1))</f>
        <v/>
      </c>
      <c r="W299" s="6" t="n"/>
    </row>
    <row r="300">
      <c r="A300" t="inlineStr">
        <is>
          <t>W299</t>
        </is>
      </c>
      <c r="B300" s="6" t="n"/>
      <c r="C300" s="6" t="n"/>
      <c r="D300" s="6" t="n"/>
      <c r="E300" s="6" t="n"/>
      <c r="F300">
        <f>IF(E300="","",IMAGE(E300))</f>
        <v/>
      </c>
      <c r="G300" s="6" t="n"/>
      <c r="H300" s="7" t="n"/>
      <c r="I300" s="7" t="n"/>
      <c r="J300" s="6" t="n"/>
      <c r="K300" s="6" t="n"/>
      <c r="L300" s="6" t="n"/>
      <c r="M300" s="6" t="n"/>
      <c r="N300" s="6" t="n"/>
      <c r="O300" s="6" t="n"/>
      <c r="P300" s="8" t="n"/>
      <c r="Q300" s="7" t="n"/>
      <c r="R300" s="9" t="n"/>
      <c r="S300" s="10">
        <f>IF($C300="","",$I300*$R300)</f>
        <v/>
      </c>
      <c r="T300" s="10">
        <f>IF($C300="","",(IF($N300="Purchased",$H300,0)+$Q300))</f>
        <v/>
      </c>
      <c r="U300" s="10">
        <f>IF($C300="","",$S300-$T300)</f>
        <v/>
      </c>
      <c r="V300" s="11">
        <f>IF(OR($C300="",$I300=0),"",CEILING($T300/$I300,1))</f>
        <v/>
      </c>
      <c r="W300" s="6" t="n"/>
    </row>
    <row r="301">
      <c r="A301" t="inlineStr">
        <is>
          <t>W300</t>
        </is>
      </c>
      <c r="B301" s="6" t="n"/>
      <c r="C301" s="6" t="n"/>
      <c r="D301" s="6" t="n"/>
      <c r="E301" s="6" t="n"/>
      <c r="F301">
        <f>IF(E301="","",IMAGE(E301))</f>
        <v/>
      </c>
      <c r="G301" s="6" t="n"/>
      <c r="H301" s="7" t="n"/>
      <c r="I301" s="7" t="n"/>
      <c r="J301" s="6" t="n"/>
      <c r="K301" s="6" t="n"/>
      <c r="L301" s="6" t="n"/>
      <c r="M301" s="6" t="n"/>
      <c r="N301" s="6" t="n"/>
      <c r="O301" s="6" t="n"/>
      <c r="P301" s="8" t="n"/>
      <c r="Q301" s="7" t="n"/>
      <c r="R301" s="9" t="n"/>
      <c r="S301" s="10">
        <f>IF($C301="","",$I301*$R301)</f>
        <v/>
      </c>
      <c r="T301" s="10">
        <f>IF($C301="","",(IF($N301="Purchased",$H301,0)+$Q301))</f>
        <v/>
      </c>
      <c r="U301" s="10">
        <f>IF($C301="","",$S301-$T301)</f>
        <v/>
      </c>
      <c r="V301" s="11">
        <f>IF(OR($C301="",$I301=0),"",CEILING($T301/$I301,1))</f>
        <v/>
      </c>
      <c r="W301" s="6" t="n"/>
    </row>
    <row r="302">
      <c r="A302" t="inlineStr">
        <is>
          <t>W301</t>
        </is>
      </c>
      <c r="B302" s="6" t="n"/>
      <c r="C302" s="6" t="n"/>
      <c r="D302" s="6" t="n"/>
      <c r="E302" s="6" t="n"/>
      <c r="F302">
        <f>IF(E302="","",IMAGE(E302))</f>
        <v/>
      </c>
      <c r="G302" s="6" t="n"/>
      <c r="H302" s="7" t="n"/>
      <c r="I302" s="7" t="n"/>
      <c r="J302" s="6" t="n"/>
      <c r="K302" s="6" t="n"/>
      <c r="L302" s="6" t="n"/>
      <c r="M302" s="6" t="n"/>
      <c r="N302" s="6" t="n"/>
      <c r="O302" s="6" t="n"/>
      <c r="P302" s="8" t="n"/>
      <c r="Q302" s="7" t="n"/>
      <c r="R302" s="9" t="n"/>
      <c r="S302" s="10">
        <f>IF($C302="","",$I302*$R302)</f>
        <v/>
      </c>
      <c r="T302" s="10">
        <f>IF($C302="","",(IF($N302="Purchased",$H302,0)+$Q302))</f>
        <v/>
      </c>
      <c r="U302" s="10">
        <f>IF($C302="","",$S302-$T302)</f>
        <v/>
      </c>
      <c r="V302" s="11">
        <f>IF(OR($C302="",$I302=0),"",CEILING($T302/$I302,1))</f>
        <v/>
      </c>
      <c r="W302" s="6" t="n"/>
    </row>
    <row r="303">
      <c r="A303" t="inlineStr">
        <is>
          <t>W302</t>
        </is>
      </c>
      <c r="B303" s="6" t="n"/>
      <c r="C303" s="6" t="n"/>
      <c r="D303" s="6" t="n"/>
      <c r="E303" s="6" t="n"/>
      <c r="F303">
        <f>IF(E303="","",IMAGE(E303))</f>
        <v/>
      </c>
      <c r="G303" s="6" t="n"/>
      <c r="H303" s="7" t="n"/>
      <c r="I303" s="7" t="n"/>
      <c r="J303" s="6" t="n"/>
      <c r="K303" s="6" t="n"/>
      <c r="L303" s="6" t="n"/>
      <c r="M303" s="6" t="n"/>
      <c r="N303" s="6" t="n"/>
      <c r="O303" s="6" t="n"/>
      <c r="P303" s="8" t="n"/>
      <c r="Q303" s="7" t="n"/>
      <c r="R303" s="9" t="n"/>
      <c r="S303" s="10">
        <f>IF($C303="","",$I303*$R303)</f>
        <v/>
      </c>
      <c r="T303" s="10">
        <f>IF($C303="","",(IF($N303="Purchased",$H303,0)+$Q303))</f>
        <v/>
      </c>
      <c r="U303" s="10">
        <f>IF($C303="","",$S303-$T303)</f>
        <v/>
      </c>
      <c r="V303" s="11">
        <f>IF(OR($C303="",$I303=0),"",CEILING($T303/$I303,1))</f>
        <v/>
      </c>
      <c r="W303" s="6" t="n"/>
    </row>
    <row r="304">
      <c r="A304" t="inlineStr">
        <is>
          <t>W303</t>
        </is>
      </c>
      <c r="B304" s="6" t="n"/>
      <c r="C304" s="6" t="n"/>
      <c r="D304" s="6" t="n"/>
      <c r="E304" s="6" t="n"/>
      <c r="F304">
        <f>IF(E304="","",IMAGE(E304))</f>
        <v/>
      </c>
      <c r="G304" s="6" t="n"/>
      <c r="H304" s="7" t="n"/>
      <c r="I304" s="7" t="n"/>
      <c r="J304" s="6" t="n"/>
      <c r="K304" s="6" t="n"/>
      <c r="L304" s="6" t="n"/>
      <c r="M304" s="6" t="n"/>
      <c r="N304" s="6" t="n"/>
      <c r="O304" s="6" t="n"/>
      <c r="P304" s="8" t="n"/>
      <c r="Q304" s="7" t="n"/>
      <c r="R304" s="9" t="n"/>
      <c r="S304" s="10">
        <f>IF($C304="","",$I304*$R304)</f>
        <v/>
      </c>
      <c r="T304" s="10">
        <f>IF($C304="","",(IF($N304="Purchased",$H304,0)+$Q304))</f>
        <v/>
      </c>
      <c r="U304" s="10">
        <f>IF($C304="","",$S304-$T304)</f>
        <v/>
      </c>
      <c r="V304" s="11">
        <f>IF(OR($C304="",$I304=0),"",CEILING($T304/$I304,1))</f>
        <v/>
      </c>
      <c r="W304" s="6" t="n"/>
    </row>
    <row r="305">
      <c r="A305" t="inlineStr">
        <is>
          <t>W304</t>
        </is>
      </c>
      <c r="B305" s="6" t="n"/>
      <c r="C305" s="6" t="n"/>
      <c r="D305" s="6" t="n"/>
      <c r="E305" s="6" t="n"/>
      <c r="F305">
        <f>IF(E305="","",IMAGE(E305))</f>
        <v/>
      </c>
      <c r="G305" s="6" t="n"/>
      <c r="H305" s="7" t="n"/>
      <c r="I305" s="7" t="n"/>
      <c r="J305" s="6" t="n"/>
      <c r="K305" s="6" t="n"/>
      <c r="L305" s="6" t="n"/>
      <c r="M305" s="6" t="n"/>
      <c r="N305" s="6" t="n"/>
      <c r="O305" s="6" t="n"/>
      <c r="P305" s="8" t="n"/>
      <c r="Q305" s="7" t="n"/>
      <c r="R305" s="9" t="n"/>
      <c r="S305" s="10">
        <f>IF($C305="","",$I305*$R305)</f>
        <v/>
      </c>
      <c r="T305" s="10">
        <f>IF($C305="","",(IF($N305="Purchased",$H305,0)+$Q305))</f>
        <v/>
      </c>
      <c r="U305" s="10">
        <f>IF($C305="","",$S305-$T305)</f>
        <v/>
      </c>
      <c r="V305" s="11">
        <f>IF(OR($C305="",$I305=0),"",CEILING($T305/$I305,1))</f>
        <v/>
      </c>
      <c r="W305" s="6" t="n"/>
    </row>
    <row r="306">
      <c r="A306" t="inlineStr">
        <is>
          <t>W305</t>
        </is>
      </c>
      <c r="B306" s="6" t="n"/>
      <c r="C306" s="6" t="n"/>
      <c r="D306" s="6" t="n"/>
      <c r="E306" s="6" t="n"/>
      <c r="F306">
        <f>IF(E306="","",IMAGE(E306))</f>
        <v/>
      </c>
      <c r="G306" s="6" t="n"/>
      <c r="H306" s="7" t="n"/>
      <c r="I306" s="7" t="n"/>
      <c r="J306" s="6" t="n"/>
      <c r="K306" s="6" t="n"/>
      <c r="L306" s="6" t="n"/>
      <c r="M306" s="6" t="n"/>
      <c r="N306" s="6" t="n"/>
      <c r="O306" s="6" t="n"/>
      <c r="P306" s="8" t="n"/>
      <c r="Q306" s="7" t="n"/>
      <c r="R306" s="9" t="n"/>
      <c r="S306" s="10">
        <f>IF($C306="","",$I306*$R306)</f>
        <v/>
      </c>
      <c r="T306" s="10">
        <f>IF($C306="","",(IF($N306="Purchased",$H306,0)+$Q306))</f>
        <v/>
      </c>
      <c r="U306" s="10">
        <f>IF($C306="","",$S306-$T306)</f>
        <v/>
      </c>
      <c r="V306" s="11">
        <f>IF(OR($C306="",$I306=0),"",CEILING($T306/$I306,1))</f>
        <v/>
      </c>
      <c r="W306" s="6" t="n"/>
    </row>
    <row r="307">
      <c r="A307" t="inlineStr">
        <is>
          <t>W306</t>
        </is>
      </c>
      <c r="B307" s="6" t="n"/>
      <c r="C307" s="6" t="n"/>
      <c r="D307" s="6" t="n"/>
      <c r="E307" s="6" t="n"/>
      <c r="F307">
        <f>IF(E307="","",IMAGE(E307))</f>
        <v/>
      </c>
      <c r="G307" s="6" t="n"/>
      <c r="H307" s="7" t="n"/>
      <c r="I307" s="7" t="n"/>
      <c r="J307" s="6" t="n"/>
      <c r="K307" s="6" t="n"/>
      <c r="L307" s="6" t="n"/>
      <c r="M307" s="6" t="n"/>
      <c r="N307" s="6" t="n"/>
      <c r="O307" s="6" t="n"/>
      <c r="P307" s="8" t="n"/>
      <c r="Q307" s="7" t="n"/>
      <c r="R307" s="9" t="n"/>
      <c r="S307" s="10">
        <f>IF($C307="","",$I307*$R307)</f>
        <v/>
      </c>
      <c r="T307" s="10">
        <f>IF($C307="","",(IF($N307="Purchased",$H307,0)+$Q307))</f>
        <v/>
      </c>
      <c r="U307" s="10">
        <f>IF($C307="","",$S307-$T307)</f>
        <v/>
      </c>
      <c r="V307" s="11">
        <f>IF(OR($C307="",$I307=0),"",CEILING($T307/$I307,1))</f>
        <v/>
      </c>
      <c r="W307" s="6" t="n"/>
    </row>
    <row r="308">
      <c r="A308" t="inlineStr">
        <is>
          <t>W307</t>
        </is>
      </c>
      <c r="B308" s="6" t="n"/>
      <c r="C308" s="6" t="n"/>
      <c r="D308" s="6" t="n"/>
      <c r="E308" s="6" t="n"/>
      <c r="F308">
        <f>IF(E308="","",IMAGE(E308))</f>
        <v/>
      </c>
      <c r="G308" s="6" t="n"/>
      <c r="H308" s="7" t="n"/>
      <c r="I308" s="7" t="n"/>
      <c r="J308" s="6" t="n"/>
      <c r="K308" s="6" t="n"/>
      <c r="L308" s="6" t="n"/>
      <c r="M308" s="6" t="n"/>
      <c r="N308" s="6" t="n"/>
      <c r="O308" s="6" t="n"/>
      <c r="P308" s="8" t="n"/>
      <c r="Q308" s="7" t="n"/>
      <c r="R308" s="9" t="n"/>
      <c r="S308" s="10">
        <f>IF($C308="","",$I308*$R308)</f>
        <v/>
      </c>
      <c r="T308" s="10">
        <f>IF($C308="","",(IF($N308="Purchased",$H308,0)+$Q308))</f>
        <v/>
      </c>
      <c r="U308" s="10">
        <f>IF($C308="","",$S308-$T308)</f>
        <v/>
      </c>
      <c r="V308" s="11">
        <f>IF(OR($C308="",$I308=0),"",CEILING($T308/$I308,1))</f>
        <v/>
      </c>
      <c r="W308" s="6" t="n"/>
    </row>
    <row r="309">
      <c r="A309" t="inlineStr">
        <is>
          <t>W308</t>
        </is>
      </c>
      <c r="B309" s="6" t="n"/>
      <c r="C309" s="6" t="n"/>
      <c r="D309" s="6" t="n"/>
      <c r="E309" s="6" t="n"/>
      <c r="F309">
        <f>IF(E309="","",IMAGE(E309))</f>
        <v/>
      </c>
      <c r="G309" s="6" t="n"/>
      <c r="H309" s="7" t="n"/>
      <c r="I309" s="7" t="n"/>
      <c r="J309" s="6" t="n"/>
      <c r="K309" s="6" t="n"/>
      <c r="L309" s="6" t="n"/>
      <c r="M309" s="6" t="n"/>
      <c r="N309" s="6" t="n"/>
      <c r="O309" s="6" t="n"/>
      <c r="P309" s="8" t="n"/>
      <c r="Q309" s="7" t="n"/>
      <c r="R309" s="9" t="n"/>
      <c r="S309" s="10">
        <f>IF($C309="","",$I309*$R309)</f>
        <v/>
      </c>
      <c r="T309" s="10">
        <f>IF($C309="","",(IF($N309="Purchased",$H309,0)+$Q309))</f>
        <v/>
      </c>
      <c r="U309" s="10">
        <f>IF($C309="","",$S309-$T309)</f>
        <v/>
      </c>
      <c r="V309" s="11">
        <f>IF(OR($C309="",$I309=0),"",CEILING($T309/$I309,1))</f>
        <v/>
      </c>
      <c r="W309" s="6" t="n"/>
    </row>
    <row r="310">
      <c r="A310" t="inlineStr">
        <is>
          <t>W309</t>
        </is>
      </c>
      <c r="B310" s="6" t="n"/>
      <c r="C310" s="6" t="n"/>
      <c r="D310" s="6" t="n"/>
      <c r="E310" s="6" t="n"/>
      <c r="F310">
        <f>IF(E310="","",IMAGE(E310))</f>
        <v/>
      </c>
      <c r="G310" s="6" t="n"/>
      <c r="H310" s="7" t="n"/>
      <c r="I310" s="7" t="n"/>
      <c r="J310" s="6" t="n"/>
      <c r="K310" s="6" t="n"/>
      <c r="L310" s="6" t="n"/>
      <c r="M310" s="6" t="n"/>
      <c r="N310" s="6" t="n"/>
      <c r="O310" s="6" t="n"/>
      <c r="P310" s="8" t="n"/>
      <c r="Q310" s="7" t="n"/>
      <c r="R310" s="9" t="n"/>
      <c r="S310" s="10">
        <f>IF($C310="","",$I310*$R310)</f>
        <v/>
      </c>
      <c r="T310" s="10">
        <f>IF($C310="","",(IF($N310="Purchased",$H310,0)+$Q310))</f>
        <v/>
      </c>
      <c r="U310" s="10">
        <f>IF($C310="","",$S310-$T310)</f>
        <v/>
      </c>
      <c r="V310" s="11">
        <f>IF(OR($C310="",$I310=0),"",CEILING($T310/$I310,1))</f>
        <v/>
      </c>
      <c r="W310" s="6" t="n"/>
    </row>
    <row r="311">
      <c r="A311" t="inlineStr">
        <is>
          <t>W310</t>
        </is>
      </c>
      <c r="B311" s="6" t="n"/>
      <c r="C311" s="6" t="n"/>
      <c r="D311" s="6" t="n"/>
      <c r="E311" s="6" t="n"/>
      <c r="F311">
        <f>IF(E311="","",IMAGE(E311))</f>
        <v/>
      </c>
      <c r="G311" s="6" t="n"/>
      <c r="H311" s="7" t="n"/>
      <c r="I311" s="7" t="n"/>
      <c r="J311" s="6" t="n"/>
      <c r="K311" s="6" t="n"/>
      <c r="L311" s="6" t="n"/>
      <c r="M311" s="6" t="n"/>
      <c r="N311" s="6" t="n"/>
      <c r="O311" s="6" t="n"/>
      <c r="P311" s="8" t="n"/>
      <c r="Q311" s="7" t="n"/>
      <c r="R311" s="9" t="n"/>
      <c r="S311" s="10">
        <f>IF($C311="","",$I311*$R311)</f>
        <v/>
      </c>
      <c r="T311" s="10">
        <f>IF($C311="","",(IF($N311="Purchased",$H311,0)+$Q311))</f>
        <v/>
      </c>
      <c r="U311" s="10">
        <f>IF($C311="","",$S311-$T311)</f>
        <v/>
      </c>
      <c r="V311" s="11">
        <f>IF(OR($C311="",$I311=0),"",CEILING($T311/$I311,1))</f>
        <v/>
      </c>
      <c r="W311" s="6" t="n"/>
    </row>
    <row r="312">
      <c r="A312" t="inlineStr">
        <is>
          <t>W311</t>
        </is>
      </c>
      <c r="B312" s="6" t="n"/>
      <c r="C312" s="6" t="n"/>
      <c r="D312" s="6" t="n"/>
      <c r="E312" s="6" t="n"/>
      <c r="F312">
        <f>IF(E312="","",IMAGE(E312))</f>
        <v/>
      </c>
      <c r="G312" s="6" t="n"/>
      <c r="H312" s="7" t="n"/>
      <c r="I312" s="7" t="n"/>
      <c r="J312" s="6" t="n"/>
      <c r="K312" s="6" t="n"/>
      <c r="L312" s="6" t="n"/>
      <c r="M312" s="6" t="n"/>
      <c r="N312" s="6" t="n"/>
      <c r="O312" s="6" t="n"/>
      <c r="P312" s="8" t="n"/>
      <c r="Q312" s="7" t="n"/>
      <c r="R312" s="9" t="n"/>
      <c r="S312" s="10">
        <f>IF($C312="","",$I312*$R312)</f>
        <v/>
      </c>
      <c r="T312" s="10">
        <f>IF($C312="","",(IF($N312="Purchased",$H312,0)+$Q312))</f>
        <v/>
      </c>
      <c r="U312" s="10">
        <f>IF($C312="","",$S312-$T312)</f>
        <v/>
      </c>
      <c r="V312" s="11">
        <f>IF(OR($C312="",$I312=0),"",CEILING($T312/$I312,1))</f>
        <v/>
      </c>
      <c r="W312" s="6" t="n"/>
    </row>
    <row r="313">
      <c r="A313" t="inlineStr">
        <is>
          <t>W312</t>
        </is>
      </c>
      <c r="B313" s="6" t="n"/>
      <c r="C313" s="6" t="n"/>
      <c r="D313" s="6" t="n"/>
      <c r="E313" s="6" t="n"/>
      <c r="F313">
        <f>IF(E313="","",IMAGE(E313))</f>
        <v/>
      </c>
      <c r="G313" s="6" t="n"/>
      <c r="H313" s="7" t="n"/>
      <c r="I313" s="7" t="n"/>
      <c r="J313" s="6" t="n"/>
      <c r="K313" s="6" t="n"/>
      <c r="L313" s="6" t="n"/>
      <c r="M313" s="6" t="n"/>
      <c r="N313" s="6" t="n"/>
      <c r="O313" s="6" t="n"/>
      <c r="P313" s="8" t="n"/>
      <c r="Q313" s="7" t="n"/>
      <c r="R313" s="9" t="n"/>
      <c r="S313" s="10">
        <f>IF($C313="","",$I313*$R313)</f>
        <v/>
      </c>
      <c r="T313" s="10">
        <f>IF($C313="","",(IF($N313="Purchased",$H313,0)+$Q313))</f>
        <v/>
      </c>
      <c r="U313" s="10">
        <f>IF($C313="","",$S313-$T313)</f>
        <v/>
      </c>
      <c r="V313" s="11">
        <f>IF(OR($C313="",$I313=0),"",CEILING($T313/$I313,1))</f>
        <v/>
      </c>
      <c r="W313" s="6" t="n"/>
    </row>
    <row r="314">
      <c r="A314" t="inlineStr">
        <is>
          <t>W313</t>
        </is>
      </c>
      <c r="B314" s="6" t="n"/>
      <c r="C314" s="6" t="n"/>
      <c r="D314" s="6" t="n"/>
      <c r="E314" s="6" t="n"/>
      <c r="F314">
        <f>IF(E314="","",IMAGE(E314))</f>
        <v/>
      </c>
      <c r="G314" s="6" t="n"/>
      <c r="H314" s="7" t="n"/>
      <c r="I314" s="7" t="n"/>
      <c r="J314" s="6" t="n"/>
      <c r="K314" s="6" t="n"/>
      <c r="L314" s="6" t="n"/>
      <c r="M314" s="6" t="n"/>
      <c r="N314" s="6" t="n"/>
      <c r="O314" s="6" t="n"/>
      <c r="P314" s="8" t="n"/>
      <c r="Q314" s="7" t="n"/>
      <c r="R314" s="9" t="n"/>
      <c r="S314" s="10">
        <f>IF($C314="","",$I314*$R314)</f>
        <v/>
      </c>
      <c r="T314" s="10">
        <f>IF($C314="","",(IF($N314="Purchased",$H314,0)+$Q314))</f>
        <v/>
      </c>
      <c r="U314" s="10">
        <f>IF($C314="","",$S314-$T314)</f>
        <v/>
      </c>
      <c r="V314" s="11">
        <f>IF(OR($C314="",$I314=0),"",CEILING($T314/$I314,1))</f>
        <v/>
      </c>
      <c r="W314" s="6" t="n"/>
    </row>
    <row r="315">
      <c r="A315" t="inlineStr">
        <is>
          <t>W314</t>
        </is>
      </c>
      <c r="B315" s="6" t="n"/>
      <c r="C315" s="6" t="n"/>
      <c r="D315" s="6" t="n"/>
      <c r="E315" s="6" t="n"/>
      <c r="F315">
        <f>IF(E315="","",IMAGE(E315))</f>
        <v/>
      </c>
      <c r="G315" s="6" t="n"/>
      <c r="H315" s="7" t="n"/>
      <c r="I315" s="7" t="n"/>
      <c r="J315" s="6" t="n"/>
      <c r="K315" s="6" t="n"/>
      <c r="L315" s="6" t="n"/>
      <c r="M315" s="6" t="n"/>
      <c r="N315" s="6" t="n"/>
      <c r="O315" s="6" t="n"/>
      <c r="P315" s="8" t="n"/>
      <c r="Q315" s="7" t="n"/>
      <c r="R315" s="9" t="n"/>
      <c r="S315" s="10">
        <f>IF($C315="","",$I315*$R315)</f>
        <v/>
      </c>
      <c r="T315" s="10">
        <f>IF($C315="","",(IF($N315="Purchased",$H315,0)+$Q315))</f>
        <v/>
      </c>
      <c r="U315" s="10">
        <f>IF($C315="","",$S315-$T315)</f>
        <v/>
      </c>
      <c r="V315" s="11">
        <f>IF(OR($C315="",$I315=0),"",CEILING($T315/$I315,1))</f>
        <v/>
      </c>
      <c r="W315" s="6" t="n"/>
    </row>
    <row r="316">
      <c r="A316" t="inlineStr">
        <is>
          <t>W315</t>
        </is>
      </c>
      <c r="B316" s="6" t="n"/>
      <c r="C316" s="6" t="n"/>
      <c r="D316" s="6" t="n"/>
      <c r="E316" s="6" t="n"/>
      <c r="F316">
        <f>IF(E316="","",IMAGE(E316))</f>
        <v/>
      </c>
      <c r="G316" s="6" t="n"/>
      <c r="H316" s="7" t="n"/>
      <c r="I316" s="7" t="n"/>
      <c r="J316" s="6" t="n"/>
      <c r="K316" s="6" t="n"/>
      <c r="L316" s="6" t="n"/>
      <c r="M316" s="6" t="n"/>
      <c r="N316" s="6" t="n"/>
      <c r="O316" s="6" t="n"/>
      <c r="P316" s="8" t="n"/>
      <c r="Q316" s="7" t="n"/>
      <c r="R316" s="9" t="n"/>
      <c r="S316" s="10">
        <f>IF($C316="","",$I316*$R316)</f>
        <v/>
      </c>
      <c r="T316" s="10">
        <f>IF($C316="","",(IF($N316="Purchased",$H316,0)+$Q316))</f>
        <v/>
      </c>
      <c r="U316" s="10">
        <f>IF($C316="","",$S316-$T316)</f>
        <v/>
      </c>
      <c r="V316" s="11">
        <f>IF(OR($C316="",$I316=0),"",CEILING($T316/$I316,1))</f>
        <v/>
      </c>
      <c r="W316" s="6" t="n"/>
    </row>
    <row r="317">
      <c r="A317" t="inlineStr">
        <is>
          <t>W316</t>
        </is>
      </c>
      <c r="B317" s="6" t="n"/>
      <c r="C317" s="6" t="n"/>
      <c r="D317" s="6" t="n"/>
      <c r="E317" s="6" t="n"/>
      <c r="F317">
        <f>IF(E317="","",IMAGE(E317))</f>
        <v/>
      </c>
      <c r="G317" s="6" t="n"/>
      <c r="H317" s="7" t="n"/>
      <c r="I317" s="7" t="n"/>
      <c r="J317" s="6" t="n"/>
      <c r="K317" s="6" t="n"/>
      <c r="L317" s="6" t="n"/>
      <c r="M317" s="6" t="n"/>
      <c r="N317" s="6" t="n"/>
      <c r="O317" s="6" t="n"/>
      <c r="P317" s="8" t="n"/>
      <c r="Q317" s="7" t="n"/>
      <c r="R317" s="9" t="n"/>
      <c r="S317" s="10">
        <f>IF($C317="","",$I317*$R317)</f>
        <v/>
      </c>
      <c r="T317" s="10">
        <f>IF($C317="","",(IF($N317="Purchased",$H317,0)+$Q317))</f>
        <v/>
      </c>
      <c r="U317" s="10">
        <f>IF($C317="","",$S317-$T317)</f>
        <v/>
      </c>
      <c r="V317" s="11">
        <f>IF(OR($C317="",$I317=0),"",CEILING($T317/$I317,1))</f>
        <v/>
      </c>
      <c r="W317" s="6" t="n"/>
    </row>
    <row r="318">
      <c r="A318" t="inlineStr">
        <is>
          <t>W317</t>
        </is>
      </c>
      <c r="B318" s="6" t="n"/>
      <c r="C318" s="6" t="n"/>
      <c r="D318" s="6" t="n"/>
      <c r="E318" s="6" t="n"/>
      <c r="F318">
        <f>IF(E318="","",IMAGE(E318))</f>
        <v/>
      </c>
      <c r="G318" s="6" t="n"/>
      <c r="H318" s="7" t="n"/>
      <c r="I318" s="7" t="n"/>
      <c r="J318" s="6" t="n"/>
      <c r="K318" s="6" t="n"/>
      <c r="L318" s="6" t="n"/>
      <c r="M318" s="6" t="n"/>
      <c r="N318" s="6" t="n"/>
      <c r="O318" s="6" t="n"/>
      <c r="P318" s="8" t="n"/>
      <c r="Q318" s="7" t="n"/>
      <c r="R318" s="9" t="n"/>
      <c r="S318" s="10">
        <f>IF($C318="","",$I318*$R318)</f>
        <v/>
      </c>
      <c r="T318" s="10">
        <f>IF($C318="","",(IF($N318="Purchased",$H318,0)+$Q318))</f>
        <v/>
      </c>
      <c r="U318" s="10">
        <f>IF($C318="","",$S318-$T318)</f>
        <v/>
      </c>
      <c r="V318" s="11">
        <f>IF(OR($C318="",$I318=0),"",CEILING($T318/$I318,1))</f>
        <v/>
      </c>
      <c r="W318" s="6" t="n"/>
    </row>
    <row r="319">
      <c r="A319" t="inlineStr">
        <is>
          <t>W318</t>
        </is>
      </c>
      <c r="B319" s="6" t="n"/>
      <c r="C319" s="6" t="n"/>
      <c r="D319" s="6" t="n"/>
      <c r="E319" s="6" t="n"/>
      <c r="F319">
        <f>IF(E319="","",IMAGE(E319))</f>
        <v/>
      </c>
      <c r="G319" s="6" t="n"/>
      <c r="H319" s="7" t="n"/>
      <c r="I319" s="7" t="n"/>
      <c r="J319" s="6" t="n"/>
      <c r="K319" s="6" t="n"/>
      <c r="L319" s="6" t="n"/>
      <c r="M319" s="6" t="n"/>
      <c r="N319" s="6" t="n"/>
      <c r="O319" s="6" t="n"/>
      <c r="P319" s="8" t="n"/>
      <c r="Q319" s="7" t="n"/>
      <c r="R319" s="9" t="n"/>
      <c r="S319" s="10">
        <f>IF($C319="","",$I319*$R319)</f>
        <v/>
      </c>
      <c r="T319" s="10">
        <f>IF($C319="","",(IF($N319="Purchased",$H319,0)+$Q319))</f>
        <v/>
      </c>
      <c r="U319" s="10">
        <f>IF($C319="","",$S319-$T319)</f>
        <v/>
      </c>
      <c r="V319" s="11">
        <f>IF(OR($C319="",$I319=0),"",CEILING($T319/$I319,1))</f>
        <v/>
      </c>
      <c r="W319" s="6" t="n"/>
    </row>
    <row r="320">
      <c r="A320" t="inlineStr">
        <is>
          <t>W319</t>
        </is>
      </c>
      <c r="B320" s="6" t="n"/>
      <c r="C320" s="6" t="n"/>
      <c r="D320" s="6" t="n"/>
      <c r="E320" s="6" t="n"/>
      <c r="F320">
        <f>IF(E320="","",IMAGE(E320))</f>
        <v/>
      </c>
      <c r="G320" s="6" t="n"/>
      <c r="H320" s="7" t="n"/>
      <c r="I320" s="7" t="n"/>
      <c r="J320" s="6" t="n"/>
      <c r="K320" s="6" t="n"/>
      <c r="L320" s="6" t="n"/>
      <c r="M320" s="6" t="n"/>
      <c r="N320" s="6" t="n"/>
      <c r="O320" s="6" t="n"/>
      <c r="P320" s="8" t="n"/>
      <c r="Q320" s="7" t="n"/>
      <c r="R320" s="9" t="n"/>
      <c r="S320" s="10">
        <f>IF($C320="","",$I320*$R320)</f>
        <v/>
      </c>
      <c r="T320" s="10">
        <f>IF($C320="","",(IF($N320="Purchased",$H320,0)+$Q320))</f>
        <v/>
      </c>
      <c r="U320" s="10">
        <f>IF($C320="","",$S320-$T320)</f>
        <v/>
      </c>
      <c r="V320" s="11">
        <f>IF(OR($C320="",$I320=0),"",CEILING($T320/$I320,1))</f>
        <v/>
      </c>
      <c r="W320" s="6" t="n"/>
    </row>
    <row r="321">
      <c r="A321" t="inlineStr">
        <is>
          <t>W320</t>
        </is>
      </c>
      <c r="B321" s="6" t="n"/>
      <c r="C321" s="6" t="n"/>
      <c r="D321" s="6" t="n"/>
      <c r="E321" s="6" t="n"/>
      <c r="F321">
        <f>IF(E321="","",IMAGE(E321))</f>
        <v/>
      </c>
      <c r="G321" s="6" t="n"/>
      <c r="H321" s="7" t="n"/>
      <c r="I321" s="7" t="n"/>
      <c r="J321" s="6" t="n"/>
      <c r="K321" s="6" t="n"/>
      <c r="L321" s="6" t="n"/>
      <c r="M321" s="6" t="n"/>
      <c r="N321" s="6" t="n"/>
      <c r="O321" s="6" t="n"/>
      <c r="P321" s="8" t="n"/>
      <c r="Q321" s="7" t="n"/>
      <c r="R321" s="9" t="n"/>
      <c r="S321" s="10">
        <f>IF($C321="","",$I321*$R321)</f>
        <v/>
      </c>
      <c r="T321" s="10">
        <f>IF($C321="","",(IF($N321="Purchased",$H321,0)+$Q321))</f>
        <v/>
      </c>
      <c r="U321" s="10">
        <f>IF($C321="","",$S321-$T321)</f>
        <v/>
      </c>
      <c r="V321" s="11">
        <f>IF(OR($C321="",$I321=0),"",CEILING($T321/$I321,1))</f>
        <v/>
      </c>
      <c r="W321" s="6" t="n"/>
    </row>
    <row r="322">
      <c r="A322" t="inlineStr">
        <is>
          <t>W321</t>
        </is>
      </c>
      <c r="B322" s="6" t="n"/>
      <c r="C322" s="6" t="n"/>
      <c r="D322" s="6" t="n"/>
      <c r="E322" s="6" t="n"/>
      <c r="F322">
        <f>IF(E322="","",IMAGE(E322))</f>
        <v/>
      </c>
      <c r="G322" s="6" t="n"/>
      <c r="H322" s="7" t="n"/>
      <c r="I322" s="7" t="n"/>
      <c r="J322" s="6" t="n"/>
      <c r="K322" s="6" t="n"/>
      <c r="L322" s="6" t="n"/>
      <c r="M322" s="6" t="n"/>
      <c r="N322" s="6" t="n"/>
      <c r="O322" s="6" t="n"/>
      <c r="P322" s="8" t="n"/>
      <c r="Q322" s="7" t="n"/>
      <c r="R322" s="9" t="n"/>
      <c r="S322" s="10">
        <f>IF($C322="","",$I322*$R322)</f>
        <v/>
      </c>
      <c r="T322" s="10">
        <f>IF($C322="","",(IF($N322="Purchased",$H322,0)+$Q322))</f>
        <v/>
      </c>
      <c r="U322" s="10">
        <f>IF($C322="","",$S322-$T322)</f>
        <v/>
      </c>
      <c r="V322" s="11">
        <f>IF(OR($C322="",$I322=0),"",CEILING($T322/$I322,1))</f>
        <v/>
      </c>
      <c r="W322" s="6" t="n"/>
    </row>
    <row r="323">
      <c r="A323" t="inlineStr">
        <is>
          <t>W322</t>
        </is>
      </c>
      <c r="B323" s="6" t="n"/>
      <c r="C323" s="6" t="n"/>
      <c r="D323" s="6" t="n"/>
      <c r="E323" s="6" t="n"/>
      <c r="F323">
        <f>IF(E323="","",IMAGE(E323))</f>
        <v/>
      </c>
      <c r="G323" s="6" t="n"/>
      <c r="H323" s="7" t="n"/>
      <c r="I323" s="7" t="n"/>
      <c r="J323" s="6" t="n"/>
      <c r="K323" s="6" t="n"/>
      <c r="L323" s="6" t="n"/>
      <c r="M323" s="6" t="n"/>
      <c r="N323" s="6" t="n"/>
      <c r="O323" s="6" t="n"/>
      <c r="P323" s="8" t="n"/>
      <c r="Q323" s="7" t="n"/>
      <c r="R323" s="9" t="n"/>
      <c r="S323" s="10">
        <f>IF($C323="","",$I323*$R323)</f>
        <v/>
      </c>
      <c r="T323" s="10">
        <f>IF($C323="","",(IF($N323="Purchased",$H323,0)+$Q323))</f>
        <v/>
      </c>
      <c r="U323" s="10">
        <f>IF($C323="","",$S323-$T323)</f>
        <v/>
      </c>
      <c r="V323" s="11">
        <f>IF(OR($C323="",$I323=0),"",CEILING($T323/$I323,1))</f>
        <v/>
      </c>
      <c r="W323" s="6" t="n"/>
    </row>
    <row r="324">
      <c r="A324" t="inlineStr">
        <is>
          <t>W323</t>
        </is>
      </c>
      <c r="B324" s="6" t="n"/>
      <c r="C324" s="6" t="n"/>
      <c r="D324" s="6" t="n"/>
      <c r="E324" s="6" t="n"/>
      <c r="F324">
        <f>IF(E324="","",IMAGE(E324))</f>
        <v/>
      </c>
      <c r="G324" s="6" t="n"/>
      <c r="H324" s="7" t="n"/>
      <c r="I324" s="7" t="n"/>
      <c r="J324" s="6" t="n"/>
      <c r="K324" s="6" t="n"/>
      <c r="L324" s="6" t="n"/>
      <c r="M324" s="6" t="n"/>
      <c r="N324" s="6" t="n"/>
      <c r="O324" s="6" t="n"/>
      <c r="P324" s="8" t="n"/>
      <c r="Q324" s="7" t="n"/>
      <c r="R324" s="9" t="n"/>
      <c r="S324" s="10">
        <f>IF($C324="","",$I324*$R324)</f>
        <v/>
      </c>
      <c r="T324" s="10">
        <f>IF($C324="","",(IF($N324="Purchased",$H324,0)+$Q324))</f>
        <v/>
      </c>
      <c r="U324" s="10">
        <f>IF($C324="","",$S324-$T324)</f>
        <v/>
      </c>
      <c r="V324" s="11">
        <f>IF(OR($C324="",$I324=0),"",CEILING($T324/$I324,1))</f>
        <v/>
      </c>
      <c r="W324" s="6" t="n"/>
    </row>
    <row r="325">
      <c r="A325" t="inlineStr">
        <is>
          <t>W324</t>
        </is>
      </c>
      <c r="B325" s="6" t="n"/>
      <c r="C325" s="6" t="n"/>
      <c r="D325" s="6" t="n"/>
      <c r="E325" s="6" t="n"/>
      <c r="F325">
        <f>IF(E325="","",IMAGE(E325))</f>
        <v/>
      </c>
      <c r="G325" s="6" t="n"/>
      <c r="H325" s="7" t="n"/>
      <c r="I325" s="7" t="n"/>
      <c r="J325" s="6" t="n"/>
      <c r="K325" s="6" t="n"/>
      <c r="L325" s="6" t="n"/>
      <c r="M325" s="6" t="n"/>
      <c r="N325" s="6" t="n"/>
      <c r="O325" s="6" t="n"/>
      <c r="P325" s="8" t="n"/>
      <c r="Q325" s="7" t="n"/>
      <c r="R325" s="9" t="n"/>
      <c r="S325" s="10">
        <f>IF($C325="","",$I325*$R325)</f>
        <v/>
      </c>
      <c r="T325" s="10">
        <f>IF($C325="","",(IF($N325="Purchased",$H325,0)+$Q325))</f>
        <v/>
      </c>
      <c r="U325" s="10">
        <f>IF($C325="","",$S325-$T325)</f>
        <v/>
      </c>
      <c r="V325" s="11">
        <f>IF(OR($C325="",$I325=0),"",CEILING($T325/$I325,1))</f>
        <v/>
      </c>
      <c r="W325" s="6" t="n"/>
    </row>
    <row r="326">
      <c r="A326" t="inlineStr">
        <is>
          <t>W325</t>
        </is>
      </c>
      <c r="B326" s="6" t="n"/>
      <c r="C326" s="6" t="n"/>
      <c r="D326" s="6" t="n"/>
      <c r="E326" s="6" t="n"/>
      <c r="F326">
        <f>IF(E326="","",IMAGE(E326))</f>
        <v/>
      </c>
      <c r="G326" s="6" t="n"/>
      <c r="H326" s="7" t="n"/>
      <c r="I326" s="7" t="n"/>
      <c r="J326" s="6" t="n"/>
      <c r="K326" s="6" t="n"/>
      <c r="L326" s="6" t="n"/>
      <c r="M326" s="6" t="n"/>
      <c r="N326" s="6" t="n"/>
      <c r="O326" s="6" t="n"/>
      <c r="P326" s="8" t="n"/>
      <c r="Q326" s="7" t="n"/>
      <c r="R326" s="9" t="n"/>
      <c r="S326" s="10">
        <f>IF($C326="","",$I326*$R326)</f>
        <v/>
      </c>
      <c r="T326" s="10">
        <f>IF($C326="","",(IF($N326="Purchased",$H326,0)+$Q326))</f>
        <v/>
      </c>
      <c r="U326" s="10">
        <f>IF($C326="","",$S326-$T326)</f>
        <v/>
      </c>
      <c r="V326" s="11">
        <f>IF(OR($C326="",$I326=0),"",CEILING($T326/$I326,1))</f>
        <v/>
      </c>
      <c r="W326" s="6" t="n"/>
    </row>
    <row r="327">
      <c r="A327" t="inlineStr">
        <is>
          <t>W326</t>
        </is>
      </c>
      <c r="B327" s="6" t="n"/>
      <c r="C327" s="6" t="n"/>
      <c r="D327" s="6" t="n"/>
      <c r="E327" s="6" t="n"/>
      <c r="F327">
        <f>IF(E327="","",IMAGE(E327))</f>
        <v/>
      </c>
      <c r="G327" s="6" t="n"/>
      <c r="H327" s="7" t="n"/>
      <c r="I327" s="7" t="n"/>
      <c r="J327" s="6" t="n"/>
      <c r="K327" s="6" t="n"/>
      <c r="L327" s="6" t="n"/>
      <c r="M327" s="6" t="n"/>
      <c r="N327" s="6" t="n"/>
      <c r="O327" s="6" t="n"/>
      <c r="P327" s="8" t="n"/>
      <c r="Q327" s="7" t="n"/>
      <c r="R327" s="9" t="n"/>
      <c r="S327" s="10">
        <f>IF($C327="","",$I327*$R327)</f>
        <v/>
      </c>
      <c r="T327" s="10">
        <f>IF($C327="","",(IF($N327="Purchased",$H327,0)+$Q327))</f>
        <v/>
      </c>
      <c r="U327" s="10">
        <f>IF($C327="","",$S327-$T327)</f>
        <v/>
      </c>
      <c r="V327" s="11">
        <f>IF(OR($C327="",$I327=0),"",CEILING($T327/$I327,1))</f>
        <v/>
      </c>
      <c r="W327" s="6" t="n"/>
    </row>
    <row r="328">
      <c r="A328" t="inlineStr">
        <is>
          <t>W327</t>
        </is>
      </c>
      <c r="B328" s="6" t="n"/>
      <c r="C328" s="6" t="n"/>
      <c r="D328" s="6" t="n"/>
      <c r="E328" s="6" t="n"/>
      <c r="F328">
        <f>IF(E328="","",IMAGE(E328))</f>
        <v/>
      </c>
      <c r="G328" s="6" t="n"/>
      <c r="H328" s="7" t="n"/>
      <c r="I328" s="7" t="n"/>
      <c r="J328" s="6" t="n"/>
      <c r="K328" s="6" t="n"/>
      <c r="L328" s="6" t="n"/>
      <c r="M328" s="6" t="n"/>
      <c r="N328" s="6" t="n"/>
      <c r="O328" s="6" t="n"/>
      <c r="P328" s="8" t="n"/>
      <c r="Q328" s="7" t="n"/>
      <c r="R328" s="9" t="n"/>
      <c r="S328" s="10">
        <f>IF($C328="","",$I328*$R328)</f>
        <v/>
      </c>
      <c r="T328" s="10">
        <f>IF($C328="","",(IF($N328="Purchased",$H328,0)+$Q328))</f>
        <v/>
      </c>
      <c r="U328" s="10">
        <f>IF($C328="","",$S328-$T328)</f>
        <v/>
      </c>
      <c r="V328" s="11">
        <f>IF(OR($C328="",$I328=0),"",CEILING($T328/$I328,1))</f>
        <v/>
      </c>
      <c r="W328" s="6" t="n"/>
    </row>
    <row r="329">
      <c r="A329" t="inlineStr">
        <is>
          <t>W328</t>
        </is>
      </c>
      <c r="B329" s="6" t="n"/>
      <c r="C329" s="6" t="n"/>
      <c r="D329" s="6" t="n"/>
      <c r="E329" s="6" t="n"/>
      <c r="F329">
        <f>IF(E329="","",IMAGE(E329))</f>
        <v/>
      </c>
      <c r="G329" s="6" t="n"/>
      <c r="H329" s="7" t="n"/>
      <c r="I329" s="7" t="n"/>
      <c r="J329" s="6" t="n"/>
      <c r="K329" s="6" t="n"/>
      <c r="L329" s="6" t="n"/>
      <c r="M329" s="6" t="n"/>
      <c r="N329" s="6" t="n"/>
      <c r="O329" s="6" t="n"/>
      <c r="P329" s="8" t="n"/>
      <c r="Q329" s="7" t="n"/>
      <c r="R329" s="9" t="n"/>
      <c r="S329" s="10">
        <f>IF($C329="","",$I329*$R329)</f>
        <v/>
      </c>
      <c r="T329" s="10">
        <f>IF($C329="","",(IF($N329="Purchased",$H329,0)+$Q329))</f>
        <v/>
      </c>
      <c r="U329" s="10">
        <f>IF($C329="","",$S329-$T329)</f>
        <v/>
      </c>
      <c r="V329" s="11">
        <f>IF(OR($C329="",$I329=0),"",CEILING($T329/$I329,1))</f>
        <v/>
      </c>
      <c r="W329" s="6" t="n"/>
    </row>
    <row r="330">
      <c r="A330" t="inlineStr">
        <is>
          <t>W329</t>
        </is>
      </c>
      <c r="B330" s="6" t="n"/>
      <c r="C330" s="6" t="n"/>
      <c r="D330" s="6" t="n"/>
      <c r="E330" s="6" t="n"/>
      <c r="F330">
        <f>IF(E330="","",IMAGE(E330))</f>
        <v/>
      </c>
      <c r="G330" s="6" t="n"/>
      <c r="H330" s="7" t="n"/>
      <c r="I330" s="7" t="n"/>
      <c r="J330" s="6" t="n"/>
      <c r="K330" s="6" t="n"/>
      <c r="L330" s="6" t="n"/>
      <c r="M330" s="6" t="n"/>
      <c r="N330" s="6" t="n"/>
      <c r="O330" s="6" t="n"/>
      <c r="P330" s="8" t="n"/>
      <c r="Q330" s="7" t="n"/>
      <c r="R330" s="9" t="n"/>
      <c r="S330" s="10">
        <f>IF($C330="","",$I330*$R330)</f>
        <v/>
      </c>
      <c r="T330" s="10">
        <f>IF($C330="","",(IF($N330="Purchased",$H330,0)+$Q330))</f>
        <v/>
      </c>
      <c r="U330" s="10">
        <f>IF($C330="","",$S330-$T330)</f>
        <v/>
      </c>
      <c r="V330" s="11">
        <f>IF(OR($C330="",$I330=0),"",CEILING($T330/$I330,1))</f>
        <v/>
      </c>
      <c r="W330" s="6" t="n"/>
    </row>
    <row r="331">
      <c r="A331" t="inlineStr">
        <is>
          <t>W330</t>
        </is>
      </c>
      <c r="B331" s="6" t="n"/>
      <c r="C331" s="6" t="n"/>
      <c r="D331" s="6" t="n"/>
      <c r="E331" s="6" t="n"/>
      <c r="F331">
        <f>IF(E331="","",IMAGE(E331))</f>
        <v/>
      </c>
      <c r="G331" s="6" t="n"/>
      <c r="H331" s="7" t="n"/>
      <c r="I331" s="7" t="n"/>
      <c r="J331" s="6" t="n"/>
      <c r="K331" s="6" t="n"/>
      <c r="L331" s="6" t="n"/>
      <c r="M331" s="6" t="n"/>
      <c r="N331" s="6" t="n"/>
      <c r="O331" s="6" t="n"/>
      <c r="P331" s="8" t="n"/>
      <c r="Q331" s="7" t="n"/>
      <c r="R331" s="9" t="n"/>
      <c r="S331" s="10">
        <f>IF($C331="","",$I331*$R331)</f>
        <v/>
      </c>
      <c r="T331" s="10">
        <f>IF($C331="","",(IF($N331="Purchased",$H331,0)+$Q331))</f>
        <v/>
      </c>
      <c r="U331" s="10">
        <f>IF($C331="","",$S331-$T331)</f>
        <v/>
      </c>
      <c r="V331" s="11">
        <f>IF(OR($C331="",$I331=0),"",CEILING($T331/$I331,1))</f>
        <v/>
      </c>
      <c r="W331" s="6" t="n"/>
    </row>
    <row r="332">
      <c r="A332" t="inlineStr">
        <is>
          <t>W331</t>
        </is>
      </c>
      <c r="B332" s="6" t="n"/>
      <c r="C332" s="6" t="n"/>
      <c r="D332" s="6" t="n"/>
      <c r="E332" s="6" t="n"/>
      <c r="F332">
        <f>IF(E332="","",IMAGE(E332))</f>
        <v/>
      </c>
      <c r="G332" s="6" t="n"/>
      <c r="H332" s="7" t="n"/>
      <c r="I332" s="7" t="n"/>
      <c r="J332" s="6" t="n"/>
      <c r="K332" s="6" t="n"/>
      <c r="L332" s="6" t="n"/>
      <c r="M332" s="6" t="n"/>
      <c r="N332" s="6" t="n"/>
      <c r="O332" s="6" t="n"/>
      <c r="P332" s="8" t="n"/>
      <c r="Q332" s="7" t="n"/>
      <c r="R332" s="9" t="n"/>
      <c r="S332" s="10">
        <f>IF($C332="","",$I332*$R332)</f>
        <v/>
      </c>
      <c r="T332" s="10">
        <f>IF($C332="","",(IF($N332="Purchased",$H332,0)+$Q332))</f>
        <v/>
      </c>
      <c r="U332" s="10">
        <f>IF($C332="","",$S332-$T332)</f>
        <v/>
      </c>
      <c r="V332" s="11">
        <f>IF(OR($C332="",$I332=0),"",CEILING($T332/$I332,1))</f>
        <v/>
      </c>
      <c r="W332" s="6" t="n"/>
    </row>
    <row r="333">
      <c r="A333" t="inlineStr">
        <is>
          <t>W332</t>
        </is>
      </c>
      <c r="B333" s="6" t="n"/>
      <c r="C333" s="6" t="n"/>
      <c r="D333" s="6" t="n"/>
      <c r="E333" s="6" t="n"/>
      <c r="F333">
        <f>IF(E333="","",IMAGE(E333))</f>
        <v/>
      </c>
      <c r="G333" s="6" t="n"/>
      <c r="H333" s="7" t="n"/>
      <c r="I333" s="7" t="n"/>
      <c r="J333" s="6" t="n"/>
      <c r="K333" s="6" t="n"/>
      <c r="L333" s="6" t="n"/>
      <c r="M333" s="6" t="n"/>
      <c r="N333" s="6" t="n"/>
      <c r="O333" s="6" t="n"/>
      <c r="P333" s="8" t="n"/>
      <c r="Q333" s="7" t="n"/>
      <c r="R333" s="9" t="n"/>
      <c r="S333" s="10">
        <f>IF($C333="","",$I333*$R333)</f>
        <v/>
      </c>
      <c r="T333" s="10">
        <f>IF($C333="","",(IF($N333="Purchased",$H333,0)+$Q333))</f>
        <v/>
      </c>
      <c r="U333" s="10">
        <f>IF($C333="","",$S333-$T333)</f>
        <v/>
      </c>
      <c r="V333" s="11">
        <f>IF(OR($C333="",$I333=0),"",CEILING($T333/$I333,1))</f>
        <v/>
      </c>
      <c r="W333" s="6" t="n"/>
    </row>
    <row r="334">
      <c r="A334" t="inlineStr">
        <is>
          <t>W333</t>
        </is>
      </c>
      <c r="B334" s="6" t="n"/>
      <c r="C334" s="6" t="n"/>
      <c r="D334" s="6" t="n"/>
      <c r="E334" s="6" t="n"/>
      <c r="F334">
        <f>IF(E334="","",IMAGE(E334))</f>
        <v/>
      </c>
      <c r="G334" s="6" t="n"/>
      <c r="H334" s="7" t="n"/>
      <c r="I334" s="7" t="n"/>
      <c r="J334" s="6" t="n"/>
      <c r="K334" s="6" t="n"/>
      <c r="L334" s="6" t="n"/>
      <c r="M334" s="6" t="n"/>
      <c r="N334" s="6" t="n"/>
      <c r="O334" s="6" t="n"/>
      <c r="P334" s="8" t="n"/>
      <c r="Q334" s="7" t="n"/>
      <c r="R334" s="9" t="n"/>
      <c r="S334" s="10">
        <f>IF($C334="","",$I334*$R334)</f>
        <v/>
      </c>
      <c r="T334" s="10">
        <f>IF($C334="","",(IF($N334="Purchased",$H334,0)+$Q334))</f>
        <v/>
      </c>
      <c r="U334" s="10">
        <f>IF($C334="","",$S334-$T334)</f>
        <v/>
      </c>
      <c r="V334" s="11">
        <f>IF(OR($C334="",$I334=0),"",CEILING($T334/$I334,1))</f>
        <v/>
      </c>
      <c r="W334" s="6" t="n"/>
    </row>
    <row r="335">
      <c r="A335" t="inlineStr">
        <is>
          <t>W334</t>
        </is>
      </c>
      <c r="B335" s="6" t="n"/>
      <c r="C335" s="6" t="n"/>
      <c r="D335" s="6" t="n"/>
      <c r="E335" s="6" t="n"/>
      <c r="F335">
        <f>IF(E335="","",IMAGE(E335))</f>
        <v/>
      </c>
      <c r="G335" s="6" t="n"/>
      <c r="H335" s="7" t="n"/>
      <c r="I335" s="7" t="n"/>
      <c r="J335" s="6" t="n"/>
      <c r="K335" s="6" t="n"/>
      <c r="L335" s="6" t="n"/>
      <c r="M335" s="6" t="n"/>
      <c r="N335" s="6" t="n"/>
      <c r="O335" s="6" t="n"/>
      <c r="P335" s="8" t="n"/>
      <c r="Q335" s="7" t="n"/>
      <c r="R335" s="9" t="n"/>
      <c r="S335" s="10">
        <f>IF($C335="","",$I335*$R335)</f>
        <v/>
      </c>
      <c r="T335" s="10">
        <f>IF($C335="","",(IF($N335="Purchased",$H335,0)+$Q335))</f>
        <v/>
      </c>
      <c r="U335" s="10">
        <f>IF($C335="","",$S335-$T335)</f>
        <v/>
      </c>
      <c r="V335" s="11">
        <f>IF(OR($C335="",$I335=0),"",CEILING($T335/$I335,1))</f>
        <v/>
      </c>
      <c r="W335" s="6" t="n"/>
    </row>
    <row r="336">
      <c r="A336" t="inlineStr">
        <is>
          <t>W335</t>
        </is>
      </c>
      <c r="B336" s="6" t="n"/>
      <c r="C336" s="6" t="n"/>
      <c r="D336" s="6" t="n"/>
      <c r="E336" s="6" t="n"/>
      <c r="F336">
        <f>IF(E336="","",IMAGE(E336))</f>
        <v/>
      </c>
      <c r="G336" s="6" t="n"/>
      <c r="H336" s="7" t="n"/>
      <c r="I336" s="7" t="n"/>
      <c r="J336" s="6" t="n"/>
      <c r="K336" s="6" t="n"/>
      <c r="L336" s="6" t="n"/>
      <c r="M336" s="6" t="n"/>
      <c r="N336" s="6" t="n"/>
      <c r="O336" s="6" t="n"/>
      <c r="P336" s="8" t="n"/>
      <c r="Q336" s="7" t="n"/>
      <c r="R336" s="9" t="n"/>
      <c r="S336" s="10">
        <f>IF($C336="","",$I336*$R336)</f>
        <v/>
      </c>
      <c r="T336" s="10">
        <f>IF($C336="","",(IF($N336="Purchased",$H336,0)+$Q336))</f>
        <v/>
      </c>
      <c r="U336" s="10">
        <f>IF($C336="","",$S336-$T336)</f>
        <v/>
      </c>
      <c r="V336" s="11">
        <f>IF(OR($C336="",$I336=0),"",CEILING($T336/$I336,1))</f>
        <v/>
      </c>
      <c r="W336" s="6" t="n"/>
    </row>
    <row r="337">
      <c r="A337" t="inlineStr">
        <is>
          <t>W336</t>
        </is>
      </c>
      <c r="B337" s="6" t="n"/>
      <c r="C337" s="6" t="n"/>
      <c r="D337" s="6" t="n"/>
      <c r="E337" s="6" t="n"/>
      <c r="F337">
        <f>IF(E337="","",IMAGE(E337))</f>
        <v/>
      </c>
      <c r="G337" s="6" t="n"/>
      <c r="H337" s="7" t="n"/>
      <c r="I337" s="7" t="n"/>
      <c r="J337" s="6" t="n"/>
      <c r="K337" s="6" t="n"/>
      <c r="L337" s="6" t="n"/>
      <c r="M337" s="6" t="n"/>
      <c r="N337" s="6" t="n"/>
      <c r="O337" s="6" t="n"/>
      <c r="P337" s="8" t="n"/>
      <c r="Q337" s="7" t="n"/>
      <c r="R337" s="9" t="n"/>
      <c r="S337" s="10">
        <f>IF($C337="","",$I337*$R337)</f>
        <v/>
      </c>
      <c r="T337" s="10">
        <f>IF($C337="","",(IF($N337="Purchased",$H337,0)+$Q337))</f>
        <v/>
      </c>
      <c r="U337" s="10">
        <f>IF($C337="","",$S337-$T337)</f>
        <v/>
      </c>
      <c r="V337" s="11">
        <f>IF(OR($C337="",$I337=0),"",CEILING($T337/$I337,1))</f>
        <v/>
      </c>
      <c r="W337" s="6" t="n"/>
    </row>
    <row r="338">
      <c r="A338" t="inlineStr">
        <is>
          <t>W337</t>
        </is>
      </c>
      <c r="B338" s="6" t="n"/>
      <c r="C338" s="6" t="n"/>
      <c r="D338" s="6" t="n"/>
      <c r="E338" s="6" t="n"/>
      <c r="F338">
        <f>IF(E338="","",IMAGE(E338))</f>
        <v/>
      </c>
      <c r="G338" s="6" t="n"/>
      <c r="H338" s="7" t="n"/>
      <c r="I338" s="7" t="n"/>
      <c r="J338" s="6" t="n"/>
      <c r="K338" s="6" t="n"/>
      <c r="L338" s="6" t="n"/>
      <c r="M338" s="6" t="n"/>
      <c r="N338" s="6" t="n"/>
      <c r="O338" s="6" t="n"/>
      <c r="P338" s="8" t="n"/>
      <c r="Q338" s="7" t="n"/>
      <c r="R338" s="9" t="n"/>
      <c r="S338" s="10">
        <f>IF($C338="","",$I338*$R338)</f>
        <v/>
      </c>
      <c r="T338" s="10">
        <f>IF($C338="","",(IF($N338="Purchased",$H338,0)+$Q338))</f>
        <v/>
      </c>
      <c r="U338" s="10">
        <f>IF($C338="","",$S338-$T338)</f>
        <v/>
      </c>
      <c r="V338" s="11">
        <f>IF(OR($C338="",$I338=0),"",CEILING($T338/$I338,1))</f>
        <v/>
      </c>
      <c r="W338" s="6" t="n"/>
    </row>
    <row r="339">
      <c r="A339" t="inlineStr">
        <is>
          <t>W338</t>
        </is>
      </c>
      <c r="B339" s="6" t="n"/>
      <c r="C339" s="6" t="n"/>
      <c r="D339" s="6" t="n"/>
      <c r="E339" s="6" t="n"/>
      <c r="F339">
        <f>IF(E339="","",IMAGE(E339))</f>
        <v/>
      </c>
      <c r="G339" s="6" t="n"/>
      <c r="H339" s="7" t="n"/>
      <c r="I339" s="7" t="n"/>
      <c r="J339" s="6" t="n"/>
      <c r="K339" s="6" t="n"/>
      <c r="L339" s="6" t="n"/>
      <c r="M339" s="6" t="n"/>
      <c r="N339" s="6" t="n"/>
      <c r="O339" s="6" t="n"/>
      <c r="P339" s="8" t="n"/>
      <c r="Q339" s="7" t="n"/>
      <c r="R339" s="9" t="n"/>
      <c r="S339" s="10">
        <f>IF($C339="","",$I339*$R339)</f>
        <v/>
      </c>
      <c r="T339" s="10">
        <f>IF($C339="","",(IF($N339="Purchased",$H339,0)+$Q339))</f>
        <v/>
      </c>
      <c r="U339" s="10">
        <f>IF($C339="","",$S339-$T339)</f>
        <v/>
      </c>
      <c r="V339" s="11">
        <f>IF(OR($C339="",$I339=0),"",CEILING($T339/$I339,1))</f>
        <v/>
      </c>
      <c r="W339" s="6" t="n"/>
    </row>
    <row r="340">
      <c r="A340" t="inlineStr">
        <is>
          <t>W339</t>
        </is>
      </c>
      <c r="B340" s="6" t="n"/>
      <c r="C340" s="6" t="n"/>
      <c r="D340" s="6" t="n"/>
      <c r="E340" s="6" t="n"/>
      <c r="F340">
        <f>IF(E340="","",IMAGE(E340))</f>
        <v/>
      </c>
      <c r="G340" s="6" t="n"/>
      <c r="H340" s="7" t="n"/>
      <c r="I340" s="7" t="n"/>
      <c r="J340" s="6" t="n"/>
      <c r="K340" s="6" t="n"/>
      <c r="L340" s="6" t="n"/>
      <c r="M340" s="6" t="n"/>
      <c r="N340" s="6" t="n"/>
      <c r="O340" s="6" t="n"/>
      <c r="P340" s="8" t="n"/>
      <c r="Q340" s="7" t="n"/>
      <c r="R340" s="9" t="n"/>
      <c r="S340" s="10">
        <f>IF($C340="","",$I340*$R340)</f>
        <v/>
      </c>
      <c r="T340" s="10">
        <f>IF($C340="","",(IF($N340="Purchased",$H340,0)+$Q340))</f>
        <v/>
      </c>
      <c r="U340" s="10">
        <f>IF($C340="","",$S340-$T340)</f>
        <v/>
      </c>
      <c r="V340" s="11">
        <f>IF(OR($C340="",$I340=0),"",CEILING($T340/$I340,1))</f>
        <v/>
      </c>
      <c r="W340" s="6" t="n"/>
    </row>
    <row r="341">
      <c r="A341" t="inlineStr">
        <is>
          <t>W340</t>
        </is>
      </c>
      <c r="B341" s="6" t="n"/>
      <c r="C341" s="6" t="n"/>
      <c r="D341" s="6" t="n"/>
      <c r="E341" s="6" t="n"/>
      <c r="F341">
        <f>IF(E341="","",IMAGE(E341))</f>
        <v/>
      </c>
      <c r="G341" s="6" t="n"/>
      <c r="H341" s="7" t="n"/>
      <c r="I341" s="7" t="n"/>
      <c r="J341" s="6" t="n"/>
      <c r="K341" s="6" t="n"/>
      <c r="L341" s="6" t="n"/>
      <c r="M341" s="6" t="n"/>
      <c r="N341" s="6" t="n"/>
      <c r="O341" s="6" t="n"/>
      <c r="P341" s="8" t="n"/>
      <c r="Q341" s="7" t="n"/>
      <c r="R341" s="9" t="n"/>
      <c r="S341" s="10">
        <f>IF($C341="","",$I341*$R341)</f>
        <v/>
      </c>
      <c r="T341" s="10">
        <f>IF($C341="","",(IF($N341="Purchased",$H341,0)+$Q341))</f>
        <v/>
      </c>
      <c r="U341" s="10">
        <f>IF($C341="","",$S341-$T341)</f>
        <v/>
      </c>
      <c r="V341" s="11">
        <f>IF(OR($C341="",$I341=0),"",CEILING($T341/$I341,1))</f>
        <v/>
      </c>
      <c r="W341" s="6" t="n"/>
    </row>
    <row r="342">
      <c r="A342" t="inlineStr">
        <is>
          <t>W341</t>
        </is>
      </c>
      <c r="B342" s="6" t="n"/>
      <c r="C342" s="6" t="n"/>
      <c r="D342" s="6" t="n"/>
      <c r="E342" s="6" t="n"/>
      <c r="F342">
        <f>IF(E342="","",IMAGE(E342))</f>
        <v/>
      </c>
      <c r="G342" s="6" t="n"/>
      <c r="H342" s="7" t="n"/>
      <c r="I342" s="7" t="n"/>
      <c r="J342" s="6" t="n"/>
      <c r="K342" s="6" t="n"/>
      <c r="L342" s="6" t="n"/>
      <c r="M342" s="6" t="n"/>
      <c r="N342" s="6" t="n"/>
      <c r="O342" s="6" t="n"/>
      <c r="P342" s="8" t="n"/>
      <c r="Q342" s="7" t="n"/>
      <c r="R342" s="9" t="n"/>
      <c r="S342" s="10">
        <f>IF($C342="","",$I342*$R342)</f>
        <v/>
      </c>
      <c r="T342" s="10">
        <f>IF($C342="","",(IF($N342="Purchased",$H342,0)+$Q342))</f>
        <v/>
      </c>
      <c r="U342" s="10">
        <f>IF($C342="","",$S342-$T342)</f>
        <v/>
      </c>
      <c r="V342" s="11">
        <f>IF(OR($C342="",$I342=0),"",CEILING($T342/$I342,1))</f>
        <v/>
      </c>
      <c r="W342" s="6" t="n"/>
    </row>
    <row r="343">
      <c r="A343" t="inlineStr">
        <is>
          <t>W342</t>
        </is>
      </c>
      <c r="B343" s="6" t="n"/>
      <c r="C343" s="6" t="n"/>
      <c r="D343" s="6" t="n"/>
      <c r="E343" s="6" t="n"/>
      <c r="F343">
        <f>IF(E343="","",IMAGE(E343))</f>
        <v/>
      </c>
      <c r="G343" s="6" t="n"/>
      <c r="H343" s="7" t="n"/>
      <c r="I343" s="7" t="n"/>
      <c r="J343" s="6" t="n"/>
      <c r="K343" s="6" t="n"/>
      <c r="L343" s="6" t="n"/>
      <c r="M343" s="6" t="n"/>
      <c r="N343" s="6" t="n"/>
      <c r="O343" s="6" t="n"/>
      <c r="P343" s="8" t="n"/>
      <c r="Q343" s="7" t="n"/>
      <c r="R343" s="9" t="n"/>
      <c r="S343" s="10">
        <f>IF($C343="","",$I343*$R343)</f>
        <v/>
      </c>
      <c r="T343" s="10">
        <f>IF($C343="","",(IF($N343="Purchased",$H343,0)+$Q343))</f>
        <v/>
      </c>
      <c r="U343" s="10">
        <f>IF($C343="","",$S343-$T343)</f>
        <v/>
      </c>
      <c r="V343" s="11">
        <f>IF(OR($C343="",$I343=0),"",CEILING($T343/$I343,1))</f>
        <v/>
      </c>
      <c r="W343" s="6" t="n"/>
    </row>
    <row r="344">
      <c r="A344" t="inlineStr">
        <is>
          <t>W343</t>
        </is>
      </c>
      <c r="B344" s="6" t="n"/>
      <c r="C344" s="6" t="n"/>
      <c r="D344" s="6" t="n"/>
      <c r="E344" s="6" t="n"/>
      <c r="F344">
        <f>IF(E344="","",IMAGE(E344))</f>
        <v/>
      </c>
      <c r="G344" s="6" t="n"/>
      <c r="H344" s="7" t="n"/>
      <c r="I344" s="7" t="n"/>
      <c r="J344" s="6" t="n"/>
      <c r="K344" s="6" t="n"/>
      <c r="L344" s="6" t="n"/>
      <c r="M344" s="6" t="n"/>
      <c r="N344" s="6" t="n"/>
      <c r="O344" s="6" t="n"/>
      <c r="P344" s="8" t="n"/>
      <c r="Q344" s="7" t="n"/>
      <c r="R344" s="9" t="n"/>
      <c r="S344" s="10">
        <f>IF($C344="","",$I344*$R344)</f>
        <v/>
      </c>
      <c r="T344" s="10">
        <f>IF($C344="","",(IF($N344="Purchased",$H344,0)+$Q344))</f>
        <v/>
      </c>
      <c r="U344" s="10">
        <f>IF($C344="","",$S344-$T344)</f>
        <v/>
      </c>
      <c r="V344" s="11">
        <f>IF(OR($C344="",$I344=0),"",CEILING($T344/$I344,1))</f>
        <v/>
      </c>
      <c r="W344" s="6" t="n"/>
    </row>
    <row r="345">
      <c r="A345" t="inlineStr">
        <is>
          <t>W344</t>
        </is>
      </c>
      <c r="B345" s="6" t="n"/>
      <c r="C345" s="6" t="n"/>
      <c r="D345" s="6" t="n"/>
      <c r="E345" s="6" t="n"/>
      <c r="F345">
        <f>IF(E345="","",IMAGE(E345))</f>
        <v/>
      </c>
      <c r="G345" s="6" t="n"/>
      <c r="H345" s="7" t="n"/>
      <c r="I345" s="7" t="n"/>
      <c r="J345" s="6" t="n"/>
      <c r="K345" s="6" t="n"/>
      <c r="L345" s="6" t="n"/>
      <c r="M345" s="6" t="n"/>
      <c r="N345" s="6" t="n"/>
      <c r="O345" s="6" t="n"/>
      <c r="P345" s="8" t="n"/>
      <c r="Q345" s="7" t="n"/>
      <c r="R345" s="9" t="n"/>
      <c r="S345" s="10">
        <f>IF($C345="","",$I345*$R345)</f>
        <v/>
      </c>
      <c r="T345" s="10">
        <f>IF($C345="","",(IF($N345="Purchased",$H345,0)+$Q345))</f>
        <v/>
      </c>
      <c r="U345" s="10">
        <f>IF($C345="","",$S345-$T345)</f>
        <v/>
      </c>
      <c r="V345" s="11">
        <f>IF(OR($C345="",$I345=0),"",CEILING($T345/$I345,1))</f>
        <v/>
      </c>
      <c r="W345" s="6" t="n"/>
    </row>
    <row r="346">
      <c r="A346" t="inlineStr">
        <is>
          <t>W345</t>
        </is>
      </c>
      <c r="B346" s="6" t="n"/>
      <c r="C346" s="6" t="n"/>
      <c r="D346" s="6" t="n"/>
      <c r="E346" s="6" t="n"/>
      <c r="F346">
        <f>IF(E346="","",IMAGE(E346))</f>
        <v/>
      </c>
      <c r="G346" s="6" t="n"/>
      <c r="H346" s="7" t="n"/>
      <c r="I346" s="7" t="n"/>
      <c r="J346" s="6" t="n"/>
      <c r="K346" s="6" t="n"/>
      <c r="L346" s="6" t="n"/>
      <c r="M346" s="6" t="n"/>
      <c r="N346" s="6" t="n"/>
      <c r="O346" s="6" t="n"/>
      <c r="P346" s="8" t="n"/>
      <c r="Q346" s="7" t="n"/>
      <c r="R346" s="9" t="n"/>
      <c r="S346" s="10">
        <f>IF($C346="","",$I346*$R346)</f>
        <v/>
      </c>
      <c r="T346" s="10">
        <f>IF($C346="","",(IF($N346="Purchased",$H346,0)+$Q346))</f>
        <v/>
      </c>
      <c r="U346" s="10">
        <f>IF($C346="","",$S346-$T346)</f>
        <v/>
      </c>
      <c r="V346" s="11">
        <f>IF(OR($C346="",$I346=0),"",CEILING($T346/$I346,1))</f>
        <v/>
      </c>
      <c r="W346" s="6" t="n"/>
    </row>
    <row r="347">
      <c r="A347" t="inlineStr">
        <is>
          <t>W346</t>
        </is>
      </c>
      <c r="B347" s="6" t="n"/>
      <c r="C347" s="6" t="n"/>
      <c r="D347" s="6" t="n"/>
      <c r="E347" s="6" t="n"/>
      <c r="F347">
        <f>IF(E347="","",IMAGE(E347))</f>
        <v/>
      </c>
      <c r="G347" s="6" t="n"/>
      <c r="H347" s="7" t="n"/>
      <c r="I347" s="7" t="n"/>
      <c r="J347" s="6" t="n"/>
      <c r="K347" s="6" t="n"/>
      <c r="L347" s="6" t="n"/>
      <c r="M347" s="6" t="n"/>
      <c r="N347" s="6" t="n"/>
      <c r="O347" s="6" t="n"/>
      <c r="P347" s="8" t="n"/>
      <c r="Q347" s="7" t="n"/>
      <c r="R347" s="9" t="n"/>
      <c r="S347" s="10">
        <f>IF($C347="","",$I347*$R347)</f>
        <v/>
      </c>
      <c r="T347" s="10">
        <f>IF($C347="","",(IF($N347="Purchased",$H347,0)+$Q347))</f>
        <v/>
      </c>
      <c r="U347" s="10">
        <f>IF($C347="","",$S347-$T347)</f>
        <v/>
      </c>
      <c r="V347" s="11">
        <f>IF(OR($C347="",$I347=0),"",CEILING($T347/$I347,1))</f>
        <v/>
      </c>
      <c r="W347" s="6" t="n"/>
    </row>
    <row r="348">
      <c r="A348" t="inlineStr">
        <is>
          <t>W347</t>
        </is>
      </c>
      <c r="B348" s="6" t="n"/>
      <c r="C348" s="6" t="n"/>
      <c r="D348" s="6" t="n"/>
      <c r="E348" s="6" t="n"/>
      <c r="F348">
        <f>IF(E348="","",IMAGE(E348))</f>
        <v/>
      </c>
      <c r="G348" s="6" t="n"/>
      <c r="H348" s="7" t="n"/>
      <c r="I348" s="7" t="n"/>
      <c r="J348" s="6" t="n"/>
      <c r="K348" s="6" t="n"/>
      <c r="L348" s="6" t="n"/>
      <c r="M348" s="6" t="n"/>
      <c r="N348" s="6" t="n"/>
      <c r="O348" s="6" t="n"/>
      <c r="P348" s="8" t="n"/>
      <c r="Q348" s="7" t="n"/>
      <c r="R348" s="9" t="n"/>
      <c r="S348" s="10">
        <f>IF($C348="","",$I348*$R348)</f>
        <v/>
      </c>
      <c r="T348" s="10">
        <f>IF($C348="","",(IF($N348="Purchased",$H348,0)+$Q348))</f>
        <v/>
      </c>
      <c r="U348" s="10">
        <f>IF($C348="","",$S348-$T348)</f>
        <v/>
      </c>
      <c r="V348" s="11">
        <f>IF(OR($C348="",$I348=0),"",CEILING($T348/$I348,1))</f>
        <v/>
      </c>
      <c r="W348" s="6" t="n"/>
    </row>
    <row r="349">
      <c r="A349" t="inlineStr">
        <is>
          <t>W348</t>
        </is>
      </c>
      <c r="B349" s="6" t="n"/>
      <c r="C349" s="6" t="n"/>
      <c r="D349" s="6" t="n"/>
      <c r="E349" s="6" t="n"/>
      <c r="F349">
        <f>IF(E349="","",IMAGE(E349))</f>
        <v/>
      </c>
      <c r="G349" s="6" t="n"/>
      <c r="H349" s="7" t="n"/>
      <c r="I349" s="7" t="n"/>
      <c r="J349" s="6" t="n"/>
      <c r="K349" s="6" t="n"/>
      <c r="L349" s="6" t="n"/>
      <c r="M349" s="6" t="n"/>
      <c r="N349" s="6" t="n"/>
      <c r="O349" s="6" t="n"/>
      <c r="P349" s="8" t="n"/>
      <c r="Q349" s="7" t="n"/>
      <c r="R349" s="9" t="n"/>
      <c r="S349" s="10">
        <f>IF($C349="","",$I349*$R349)</f>
        <v/>
      </c>
      <c r="T349" s="10">
        <f>IF($C349="","",(IF($N349="Purchased",$H349,0)+$Q349))</f>
        <v/>
      </c>
      <c r="U349" s="10">
        <f>IF($C349="","",$S349-$T349)</f>
        <v/>
      </c>
      <c r="V349" s="11">
        <f>IF(OR($C349="",$I349=0),"",CEILING($T349/$I349,1))</f>
        <v/>
      </c>
      <c r="W349" s="6" t="n"/>
    </row>
    <row r="350">
      <c r="A350" t="inlineStr">
        <is>
          <t>W349</t>
        </is>
      </c>
      <c r="B350" s="6" t="n"/>
      <c r="C350" s="6" t="n"/>
      <c r="D350" s="6" t="n"/>
      <c r="E350" s="6" t="n"/>
      <c r="F350">
        <f>IF(E350="","",IMAGE(E350))</f>
        <v/>
      </c>
      <c r="G350" s="6" t="n"/>
      <c r="H350" s="7" t="n"/>
      <c r="I350" s="7" t="n"/>
      <c r="J350" s="6" t="n"/>
      <c r="K350" s="6" t="n"/>
      <c r="L350" s="6" t="n"/>
      <c r="M350" s="6" t="n"/>
      <c r="N350" s="6" t="n"/>
      <c r="O350" s="6" t="n"/>
      <c r="P350" s="8" t="n"/>
      <c r="Q350" s="7" t="n"/>
      <c r="R350" s="9" t="n"/>
      <c r="S350" s="10">
        <f>IF($C350="","",$I350*$R350)</f>
        <v/>
      </c>
      <c r="T350" s="10">
        <f>IF($C350="","",(IF($N350="Purchased",$H350,0)+$Q350))</f>
        <v/>
      </c>
      <c r="U350" s="10">
        <f>IF($C350="","",$S350-$T350)</f>
        <v/>
      </c>
      <c r="V350" s="11">
        <f>IF(OR($C350="",$I350=0),"",CEILING($T350/$I350,1))</f>
        <v/>
      </c>
      <c r="W350" s="6" t="n"/>
    </row>
    <row r="351">
      <c r="A351" t="inlineStr">
        <is>
          <t>W350</t>
        </is>
      </c>
      <c r="B351" s="6" t="n"/>
      <c r="C351" s="6" t="n"/>
      <c r="D351" s="6" t="n"/>
      <c r="E351" s="6" t="n"/>
      <c r="F351">
        <f>IF(E351="","",IMAGE(E351))</f>
        <v/>
      </c>
      <c r="G351" s="6" t="n"/>
      <c r="H351" s="7" t="n"/>
      <c r="I351" s="7" t="n"/>
      <c r="J351" s="6" t="n"/>
      <c r="K351" s="6" t="n"/>
      <c r="L351" s="6" t="n"/>
      <c r="M351" s="6" t="n"/>
      <c r="N351" s="6" t="n"/>
      <c r="O351" s="6" t="n"/>
      <c r="P351" s="8" t="n"/>
      <c r="Q351" s="7" t="n"/>
      <c r="R351" s="9" t="n"/>
      <c r="S351" s="10">
        <f>IF($C351="","",$I351*$R351)</f>
        <v/>
      </c>
      <c r="T351" s="10">
        <f>IF($C351="","",(IF($N351="Purchased",$H351,0)+$Q351))</f>
        <v/>
      </c>
      <c r="U351" s="10">
        <f>IF($C351="","",$S351-$T351)</f>
        <v/>
      </c>
      <c r="V351" s="11">
        <f>IF(OR($C351="",$I351=0),"",CEILING($T351/$I351,1))</f>
        <v/>
      </c>
      <c r="W351" s="6" t="n"/>
    </row>
    <row r="352">
      <c r="A352" t="inlineStr">
        <is>
          <t>W351</t>
        </is>
      </c>
      <c r="B352" s="6" t="n"/>
      <c r="C352" s="6" t="n"/>
      <c r="D352" s="6" t="n"/>
      <c r="E352" s="6" t="n"/>
      <c r="F352">
        <f>IF(E352="","",IMAGE(E352))</f>
        <v/>
      </c>
      <c r="G352" s="6" t="n"/>
      <c r="H352" s="7" t="n"/>
      <c r="I352" s="7" t="n"/>
      <c r="J352" s="6" t="n"/>
      <c r="K352" s="6" t="n"/>
      <c r="L352" s="6" t="n"/>
      <c r="M352" s="6" t="n"/>
      <c r="N352" s="6" t="n"/>
      <c r="O352" s="6" t="n"/>
      <c r="P352" s="8" t="n"/>
      <c r="Q352" s="7" t="n"/>
      <c r="R352" s="9" t="n"/>
      <c r="S352" s="10">
        <f>IF($C352="","",$I352*$R352)</f>
        <v/>
      </c>
      <c r="T352" s="10">
        <f>IF($C352="","",(IF($N352="Purchased",$H352,0)+$Q352))</f>
        <v/>
      </c>
      <c r="U352" s="10">
        <f>IF($C352="","",$S352-$T352)</f>
        <v/>
      </c>
      <c r="V352" s="11">
        <f>IF(OR($C352="",$I352=0),"",CEILING($T352/$I352,1))</f>
        <v/>
      </c>
      <c r="W352" s="6" t="n"/>
    </row>
    <row r="353">
      <c r="A353" t="inlineStr">
        <is>
          <t>W352</t>
        </is>
      </c>
      <c r="B353" s="6" t="n"/>
      <c r="C353" s="6" t="n"/>
      <c r="D353" s="6" t="n"/>
      <c r="E353" s="6" t="n"/>
      <c r="F353">
        <f>IF(E353="","",IMAGE(E353))</f>
        <v/>
      </c>
      <c r="G353" s="6" t="n"/>
      <c r="H353" s="7" t="n"/>
      <c r="I353" s="7" t="n"/>
      <c r="J353" s="6" t="n"/>
      <c r="K353" s="6" t="n"/>
      <c r="L353" s="6" t="n"/>
      <c r="M353" s="6" t="n"/>
      <c r="N353" s="6" t="n"/>
      <c r="O353" s="6" t="n"/>
      <c r="P353" s="8" t="n"/>
      <c r="Q353" s="7" t="n"/>
      <c r="R353" s="9" t="n"/>
      <c r="S353" s="10">
        <f>IF($C353="","",$I353*$R353)</f>
        <v/>
      </c>
      <c r="T353" s="10">
        <f>IF($C353="","",(IF($N353="Purchased",$H353,0)+$Q353))</f>
        <v/>
      </c>
      <c r="U353" s="10">
        <f>IF($C353="","",$S353-$T353)</f>
        <v/>
      </c>
      <c r="V353" s="11">
        <f>IF(OR($C353="",$I353=0),"",CEILING($T353/$I353,1))</f>
        <v/>
      </c>
      <c r="W353" s="6" t="n"/>
    </row>
    <row r="354">
      <c r="A354" t="inlineStr">
        <is>
          <t>W353</t>
        </is>
      </c>
      <c r="B354" s="6" t="n"/>
      <c r="C354" s="6" t="n"/>
      <c r="D354" s="6" t="n"/>
      <c r="E354" s="6" t="n"/>
      <c r="F354">
        <f>IF(E354="","",IMAGE(E354))</f>
        <v/>
      </c>
      <c r="G354" s="6" t="n"/>
      <c r="H354" s="7" t="n"/>
      <c r="I354" s="7" t="n"/>
      <c r="J354" s="6" t="n"/>
      <c r="K354" s="6" t="n"/>
      <c r="L354" s="6" t="n"/>
      <c r="M354" s="6" t="n"/>
      <c r="N354" s="6" t="n"/>
      <c r="O354" s="6" t="n"/>
      <c r="P354" s="8" t="n"/>
      <c r="Q354" s="7" t="n"/>
      <c r="R354" s="9" t="n"/>
      <c r="S354" s="10">
        <f>IF($C354="","",$I354*$R354)</f>
        <v/>
      </c>
      <c r="T354" s="10">
        <f>IF($C354="","",(IF($N354="Purchased",$H354,0)+$Q354))</f>
        <v/>
      </c>
      <c r="U354" s="10">
        <f>IF($C354="","",$S354-$T354)</f>
        <v/>
      </c>
      <c r="V354" s="11">
        <f>IF(OR($C354="",$I354=0),"",CEILING($T354/$I354,1))</f>
        <v/>
      </c>
      <c r="W354" s="6" t="n"/>
    </row>
    <row r="355">
      <c r="A355" t="inlineStr">
        <is>
          <t>W354</t>
        </is>
      </c>
      <c r="B355" s="6" t="n"/>
      <c r="C355" s="6" t="n"/>
      <c r="D355" s="6" t="n"/>
      <c r="E355" s="6" t="n"/>
      <c r="F355">
        <f>IF(E355="","",IMAGE(E355))</f>
        <v/>
      </c>
      <c r="G355" s="6" t="n"/>
      <c r="H355" s="7" t="n"/>
      <c r="I355" s="7" t="n"/>
      <c r="J355" s="6" t="n"/>
      <c r="K355" s="6" t="n"/>
      <c r="L355" s="6" t="n"/>
      <c r="M355" s="6" t="n"/>
      <c r="N355" s="6" t="n"/>
      <c r="O355" s="6" t="n"/>
      <c r="P355" s="8" t="n"/>
      <c r="Q355" s="7" t="n"/>
      <c r="R355" s="9" t="n"/>
      <c r="S355" s="10">
        <f>IF($C355="","",$I355*$R355)</f>
        <v/>
      </c>
      <c r="T355" s="10">
        <f>IF($C355="","",(IF($N355="Purchased",$H355,0)+$Q355))</f>
        <v/>
      </c>
      <c r="U355" s="10">
        <f>IF($C355="","",$S355-$T355)</f>
        <v/>
      </c>
      <c r="V355" s="11">
        <f>IF(OR($C355="",$I355=0),"",CEILING($T355/$I355,1))</f>
        <v/>
      </c>
      <c r="W355" s="6" t="n"/>
    </row>
    <row r="356">
      <c r="A356" t="inlineStr">
        <is>
          <t>W355</t>
        </is>
      </c>
      <c r="B356" s="6" t="n"/>
      <c r="C356" s="6" t="n"/>
      <c r="D356" s="6" t="n"/>
      <c r="E356" s="6" t="n"/>
      <c r="F356">
        <f>IF(E356="","",IMAGE(E356))</f>
        <v/>
      </c>
      <c r="G356" s="6" t="n"/>
      <c r="H356" s="7" t="n"/>
      <c r="I356" s="7" t="n"/>
      <c r="J356" s="6" t="n"/>
      <c r="K356" s="6" t="n"/>
      <c r="L356" s="6" t="n"/>
      <c r="M356" s="6" t="n"/>
      <c r="N356" s="6" t="n"/>
      <c r="O356" s="6" t="n"/>
      <c r="P356" s="8" t="n"/>
      <c r="Q356" s="7" t="n"/>
      <c r="R356" s="9" t="n"/>
      <c r="S356" s="10">
        <f>IF($C356="","",$I356*$R356)</f>
        <v/>
      </c>
      <c r="T356" s="10">
        <f>IF($C356="","",(IF($N356="Purchased",$H356,0)+$Q356))</f>
        <v/>
      </c>
      <c r="U356" s="10">
        <f>IF($C356="","",$S356-$T356)</f>
        <v/>
      </c>
      <c r="V356" s="11">
        <f>IF(OR($C356="",$I356=0),"",CEILING($T356/$I356,1))</f>
        <v/>
      </c>
      <c r="W356" s="6" t="n"/>
    </row>
    <row r="357">
      <c r="A357" t="inlineStr">
        <is>
          <t>W356</t>
        </is>
      </c>
      <c r="B357" s="6" t="n"/>
      <c r="C357" s="6" t="n"/>
      <c r="D357" s="6" t="n"/>
      <c r="E357" s="6" t="n"/>
      <c r="F357">
        <f>IF(E357="","",IMAGE(E357))</f>
        <v/>
      </c>
      <c r="G357" s="6" t="n"/>
      <c r="H357" s="7" t="n"/>
      <c r="I357" s="7" t="n"/>
      <c r="J357" s="6" t="n"/>
      <c r="K357" s="6" t="n"/>
      <c r="L357" s="6" t="n"/>
      <c r="M357" s="6" t="n"/>
      <c r="N357" s="6" t="n"/>
      <c r="O357" s="6" t="n"/>
      <c r="P357" s="8" t="n"/>
      <c r="Q357" s="7" t="n"/>
      <c r="R357" s="9" t="n"/>
      <c r="S357" s="10">
        <f>IF($C357="","",$I357*$R357)</f>
        <v/>
      </c>
      <c r="T357" s="10">
        <f>IF($C357="","",(IF($N357="Purchased",$H357,0)+$Q357))</f>
        <v/>
      </c>
      <c r="U357" s="10">
        <f>IF($C357="","",$S357-$T357)</f>
        <v/>
      </c>
      <c r="V357" s="11">
        <f>IF(OR($C357="",$I357=0),"",CEILING($T357/$I357,1))</f>
        <v/>
      </c>
      <c r="W357" s="6" t="n"/>
    </row>
    <row r="358">
      <c r="A358" t="inlineStr">
        <is>
          <t>W357</t>
        </is>
      </c>
      <c r="B358" s="6" t="n"/>
      <c r="C358" s="6" t="n"/>
      <c r="D358" s="6" t="n"/>
      <c r="E358" s="6" t="n"/>
      <c r="F358">
        <f>IF(E358="","",IMAGE(E358))</f>
        <v/>
      </c>
      <c r="G358" s="6" t="n"/>
      <c r="H358" s="7" t="n"/>
      <c r="I358" s="7" t="n"/>
      <c r="J358" s="6" t="n"/>
      <c r="K358" s="6" t="n"/>
      <c r="L358" s="6" t="n"/>
      <c r="M358" s="6" t="n"/>
      <c r="N358" s="6" t="n"/>
      <c r="O358" s="6" t="n"/>
      <c r="P358" s="8" t="n"/>
      <c r="Q358" s="7" t="n"/>
      <c r="R358" s="9" t="n"/>
      <c r="S358" s="10">
        <f>IF($C358="","",$I358*$R358)</f>
        <v/>
      </c>
      <c r="T358" s="10">
        <f>IF($C358="","",(IF($N358="Purchased",$H358,0)+$Q358))</f>
        <v/>
      </c>
      <c r="U358" s="10">
        <f>IF($C358="","",$S358-$T358)</f>
        <v/>
      </c>
      <c r="V358" s="11">
        <f>IF(OR($C358="",$I358=0),"",CEILING($T358/$I358,1))</f>
        <v/>
      </c>
      <c r="W358" s="6" t="n"/>
    </row>
    <row r="359">
      <c r="A359" t="inlineStr">
        <is>
          <t>W358</t>
        </is>
      </c>
      <c r="B359" s="6" t="n"/>
      <c r="C359" s="6" t="n"/>
      <c r="D359" s="6" t="n"/>
      <c r="E359" s="6" t="n"/>
      <c r="F359">
        <f>IF(E359="","",IMAGE(E359))</f>
        <v/>
      </c>
      <c r="G359" s="6" t="n"/>
      <c r="H359" s="7" t="n"/>
      <c r="I359" s="7" t="n"/>
      <c r="J359" s="6" t="n"/>
      <c r="K359" s="6" t="n"/>
      <c r="L359" s="6" t="n"/>
      <c r="M359" s="6" t="n"/>
      <c r="N359" s="6" t="n"/>
      <c r="O359" s="6" t="n"/>
      <c r="P359" s="8" t="n"/>
      <c r="Q359" s="7" t="n"/>
      <c r="R359" s="9" t="n"/>
      <c r="S359" s="10">
        <f>IF($C359="","",$I359*$R359)</f>
        <v/>
      </c>
      <c r="T359" s="10">
        <f>IF($C359="","",(IF($N359="Purchased",$H359,0)+$Q359))</f>
        <v/>
      </c>
      <c r="U359" s="10">
        <f>IF($C359="","",$S359-$T359)</f>
        <v/>
      </c>
      <c r="V359" s="11">
        <f>IF(OR($C359="",$I359=0),"",CEILING($T359/$I359,1))</f>
        <v/>
      </c>
      <c r="W359" s="6" t="n"/>
    </row>
    <row r="360">
      <c r="A360" t="inlineStr">
        <is>
          <t>W359</t>
        </is>
      </c>
      <c r="B360" s="6" t="n"/>
      <c r="C360" s="6" t="n"/>
      <c r="D360" s="6" t="n"/>
      <c r="E360" s="6" t="n"/>
      <c r="F360">
        <f>IF(E360="","",IMAGE(E360))</f>
        <v/>
      </c>
      <c r="G360" s="6" t="n"/>
      <c r="H360" s="7" t="n"/>
      <c r="I360" s="7" t="n"/>
      <c r="J360" s="6" t="n"/>
      <c r="K360" s="6" t="n"/>
      <c r="L360" s="6" t="n"/>
      <c r="M360" s="6" t="n"/>
      <c r="N360" s="6" t="n"/>
      <c r="O360" s="6" t="n"/>
      <c r="P360" s="8" t="n"/>
      <c r="Q360" s="7" t="n"/>
      <c r="R360" s="9" t="n"/>
      <c r="S360" s="10">
        <f>IF($C360="","",$I360*$R360)</f>
        <v/>
      </c>
      <c r="T360" s="10">
        <f>IF($C360="","",(IF($N360="Purchased",$H360,0)+$Q360))</f>
        <v/>
      </c>
      <c r="U360" s="10">
        <f>IF($C360="","",$S360-$T360)</f>
        <v/>
      </c>
      <c r="V360" s="11">
        <f>IF(OR($C360="",$I360=0),"",CEILING($T360/$I360,1))</f>
        <v/>
      </c>
      <c r="W360" s="6" t="n"/>
    </row>
    <row r="361">
      <c r="A361" t="inlineStr">
        <is>
          <t>W360</t>
        </is>
      </c>
      <c r="B361" s="6" t="n"/>
      <c r="C361" s="6" t="n"/>
      <c r="D361" s="6" t="n"/>
      <c r="E361" s="6" t="n"/>
      <c r="F361">
        <f>IF(E361="","",IMAGE(E361))</f>
        <v/>
      </c>
      <c r="G361" s="6" t="n"/>
      <c r="H361" s="7" t="n"/>
      <c r="I361" s="7" t="n"/>
      <c r="J361" s="6" t="n"/>
      <c r="K361" s="6" t="n"/>
      <c r="L361" s="6" t="n"/>
      <c r="M361" s="6" t="n"/>
      <c r="N361" s="6" t="n"/>
      <c r="O361" s="6" t="n"/>
      <c r="P361" s="8" t="n"/>
      <c r="Q361" s="7" t="n"/>
      <c r="R361" s="9" t="n"/>
      <c r="S361" s="10">
        <f>IF($C361="","",$I361*$R361)</f>
        <v/>
      </c>
      <c r="T361" s="10">
        <f>IF($C361="","",(IF($N361="Purchased",$H361,0)+$Q361))</f>
        <v/>
      </c>
      <c r="U361" s="10">
        <f>IF($C361="","",$S361-$T361)</f>
        <v/>
      </c>
      <c r="V361" s="11">
        <f>IF(OR($C361="",$I361=0),"",CEILING($T361/$I361,1))</f>
        <v/>
      </c>
      <c r="W361" s="6" t="n"/>
    </row>
    <row r="362">
      <c r="A362" t="inlineStr">
        <is>
          <t>W361</t>
        </is>
      </c>
      <c r="B362" s="6" t="n"/>
      <c r="C362" s="6" t="n"/>
      <c r="D362" s="6" t="n"/>
      <c r="E362" s="6" t="n"/>
      <c r="F362">
        <f>IF(E362="","",IMAGE(E362))</f>
        <v/>
      </c>
      <c r="G362" s="6" t="n"/>
      <c r="H362" s="7" t="n"/>
      <c r="I362" s="7" t="n"/>
      <c r="J362" s="6" t="n"/>
      <c r="K362" s="6" t="n"/>
      <c r="L362" s="6" t="n"/>
      <c r="M362" s="6" t="n"/>
      <c r="N362" s="6" t="n"/>
      <c r="O362" s="6" t="n"/>
      <c r="P362" s="8" t="n"/>
      <c r="Q362" s="7" t="n"/>
      <c r="R362" s="9" t="n"/>
      <c r="S362" s="10">
        <f>IF($C362="","",$I362*$R362)</f>
        <v/>
      </c>
      <c r="T362" s="10">
        <f>IF($C362="","",(IF($N362="Purchased",$H362,0)+$Q362))</f>
        <v/>
      </c>
      <c r="U362" s="10">
        <f>IF($C362="","",$S362-$T362)</f>
        <v/>
      </c>
      <c r="V362" s="11">
        <f>IF(OR($C362="",$I362=0),"",CEILING($T362/$I362,1))</f>
        <v/>
      </c>
      <c r="W362" s="6" t="n"/>
    </row>
    <row r="363">
      <c r="A363" t="inlineStr">
        <is>
          <t>W362</t>
        </is>
      </c>
      <c r="B363" s="6" t="n"/>
      <c r="C363" s="6" t="n"/>
      <c r="D363" s="6" t="n"/>
      <c r="E363" s="6" t="n"/>
      <c r="F363">
        <f>IF(E363="","",IMAGE(E363))</f>
        <v/>
      </c>
      <c r="G363" s="6" t="n"/>
      <c r="H363" s="7" t="n"/>
      <c r="I363" s="7" t="n"/>
      <c r="J363" s="6" t="n"/>
      <c r="K363" s="6" t="n"/>
      <c r="L363" s="6" t="n"/>
      <c r="M363" s="6" t="n"/>
      <c r="N363" s="6" t="n"/>
      <c r="O363" s="6" t="n"/>
      <c r="P363" s="8" t="n"/>
      <c r="Q363" s="7" t="n"/>
      <c r="R363" s="9" t="n"/>
      <c r="S363" s="10">
        <f>IF($C363="","",$I363*$R363)</f>
        <v/>
      </c>
      <c r="T363" s="10">
        <f>IF($C363="","",(IF($N363="Purchased",$H363,0)+$Q363))</f>
        <v/>
      </c>
      <c r="U363" s="10">
        <f>IF($C363="","",$S363-$T363)</f>
        <v/>
      </c>
      <c r="V363" s="11">
        <f>IF(OR($C363="",$I363=0),"",CEILING($T363/$I363,1))</f>
        <v/>
      </c>
      <c r="W363" s="6" t="n"/>
    </row>
    <row r="364">
      <c r="A364" t="inlineStr">
        <is>
          <t>W363</t>
        </is>
      </c>
      <c r="B364" s="6" t="n"/>
      <c r="C364" s="6" t="n"/>
      <c r="D364" s="6" t="n"/>
      <c r="E364" s="6" t="n"/>
      <c r="F364">
        <f>IF(E364="","",IMAGE(E364))</f>
        <v/>
      </c>
      <c r="G364" s="6" t="n"/>
      <c r="H364" s="7" t="n"/>
      <c r="I364" s="7" t="n"/>
      <c r="J364" s="6" t="n"/>
      <c r="K364" s="6" t="n"/>
      <c r="L364" s="6" t="n"/>
      <c r="M364" s="6" t="n"/>
      <c r="N364" s="6" t="n"/>
      <c r="O364" s="6" t="n"/>
      <c r="P364" s="8" t="n"/>
      <c r="Q364" s="7" t="n"/>
      <c r="R364" s="9" t="n"/>
      <c r="S364" s="10">
        <f>IF($C364="","",$I364*$R364)</f>
        <v/>
      </c>
      <c r="T364" s="10">
        <f>IF($C364="","",(IF($N364="Purchased",$H364,0)+$Q364))</f>
        <v/>
      </c>
      <c r="U364" s="10">
        <f>IF($C364="","",$S364-$T364)</f>
        <v/>
      </c>
      <c r="V364" s="11">
        <f>IF(OR($C364="",$I364=0),"",CEILING($T364/$I364,1))</f>
        <v/>
      </c>
      <c r="W364" s="6" t="n"/>
    </row>
    <row r="365">
      <c r="A365" t="inlineStr">
        <is>
          <t>W364</t>
        </is>
      </c>
      <c r="B365" s="6" t="n"/>
      <c r="C365" s="6" t="n"/>
      <c r="D365" s="6" t="n"/>
      <c r="E365" s="6" t="n"/>
      <c r="F365">
        <f>IF(E365="","",IMAGE(E365))</f>
        <v/>
      </c>
      <c r="G365" s="6" t="n"/>
      <c r="H365" s="7" t="n"/>
      <c r="I365" s="7" t="n"/>
      <c r="J365" s="6" t="n"/>
      <c r="K365" s="6" t="n"/>
      <c r="L365" s="6" t="n"/>
      <c r="M365" s="6" t="n"/>
      <c r="N365" s="6" t="n"/>
      <c r="O365" s="6" t="n"/>
      <c r="P365" s="8" t="n"/>
      <c r="Q365" s="7" t="n"/>
      <c r="R365" s="9" t="n"/>
      <c r="S365" s="10">
        <f>IF($C365="","",$I365*$R365)</f>
        <v/>
      </c>
      <c r="T365" s="10">
        <f>IF($C365="","",(IF($N365="Purchased",$H365,0)+$Q365))</f>
        <v/>
      </c>
      <c r="U365" s="10">
        <f>IF($C365="","",$S365-$T365)</f>
        <v/>
      </c>
      <c r="V365" s="11">
        <f>IF(OR($C365="",$I365=0),"",CEILING($T365/$I365,1))</f>
        <v/>
      </c>
      <c r="W365" s="6" t="n"/>
    </row>
    <row r="366">
      <c r="A366" t="inlineStr">
        <is>
          <t>W365</t>
        </is>
      </c>
      <c r="B366" s="6" t="n"/>
      <c r="C366" s="6" t="n"/>
      <c r="D366" s="6" t="n"/>
      <c r="E366" s="6" t="n"/>
      <c r="F366">
        <f>IF(E366="","",IMAGE(E366))</f>
        <v/>
      </c>
      <c r="G366" s="6" t="n"/>
      <c r="H366" s="7" t="n"/>
      <c r="I366" s="7" t="n"/>
      <c r="J366" s="6" t="n"/>
      <c r="K366" s="6" t="n"/>
      <c r="L366" s="6" t="n"/>
      <c r="M366" s="6" t="n"/>
      <c r="N366" s="6" t="n"/>
      <c r="O366" s="6" t="n"/>
      <c r="P366" s="8" t="n"/>
      <c r="Q366" s="7" t="n"/>
      <c r="R366" s="9" t="n"/>
      <c r="S366" s="10">
        <f>IF($C366="","",$I366*$R366)</f>
        <v/>
      </c>
      <c r="T366" s="10">
        <f>IF($C366="","",(IF($N366="Purchased",$H366,0)+$Q366))</f>
        <v/>
      </c>
      <c r="U366" s="10">
        <f>IF($C366="","",$S366-$T366)</f>
        <v/>
      </c>
      <c r="V366" s="11">
        <f>IF(OR($C366="",$I366=0),"",CEILING($T366/$I366,1))</f>
        <v/>
      </c>
      <c r="W366" s="6" t="n"/>
    </row>
    <row r="367">
      <c r="A367" t="inlineStr">
        <is>
          <t>W366</t>
        </is>
      </c>
      <c r="B367" s="6" t="n"/>
      <c r="C367" s="6" t="n"/>
      <c r="D367" s="6" t="n"/>
      <c r="E367" s="6" t="n"/>
      <c r="F367">
        <f>IF(E367="","",IMAGE(E367))</f>
        <v/>
      </c>
      <c r="G367" s="6" t="n"/>
      <c r="H367" s="7" t="n"/>
      <c r="I367" s="7" t="n"/>
      <c r="J367" s="6" t="n"/>
      <c r="K367" s="6" t="n"/>
      <c r="L367" s="6" t="n"/>
      <c r="M367" s="6" t="n"/>
      <c r="N367" s="6" t="n"/>
      <c r="O367" s="6" t="n"/>
      <c r="P367" s="8" t="n"/>
      <c r="Q367" s="7" t="n"/>
      <c r="R367" s="9" t="n"/>
      <c r="S367" s="10">
        <f>IF($C367="","",$I367*$R367)</f>
        <v/>
      </c>
      <c r="T367" s="10">
        <f>IF($C367="","",(IF($N367="Purchased",$H367,0)+$Q367))</f>
        <v/>
      </c>
      <c r="U367" s="10">
        <f>IF($C367="","",$S367-$T367)</f>
        <v/>
      </c>
      <c r="V367" s="11">
        <f>IF(OR($C367="",$I367=0),"",CEILING($T367/$I367,1))</f>
        <v/>
      </c>
      <c r="W367" s="6" t="n"/>
    </row>
    <row r="368">
      <c r="A368" t="inlineStr">
        <is>
          <t>W367</t>
        </is>
      </c>
      <c r="B368" s="6" t="n"/>
      <c r="C368" s="6" t="n"/>
      <c r="D368" s="6" t="n"/>
      <c r="E368" s="6" t="n"/>
      <c r="F368">
        <f>IF(E368="","",IMAGE(E368))</f>
        <v/>
      </c>
      <c r="G368" s="6" t="n"/>
      <c r="H368" s="7" t="n"/>
      <c r="I368" s="7" t="n"/>
      <c r="J368" s="6" t="n"/>
      <c r="K368" s="6" t="n"/>
      <c r="L368" s="6" t="n"/>
      <c r="M368" s="6" t="n"/>
      <c r="N368" s="6" t="n"/>
      <c r="O368" s="6" t="n"/>
      <c r="P368" s="8" t="n"/>
      <c r="Q368" s="7" t="n"/>
      <c r="R368" s="9" t="n"/>
      <c r="S368" s="10">
        <f>IF($C368="","",$I368*$R368)</f>
        <v/>
      </c>
      <c r="T368" s="10">
        <f>IF($C368="","",(IF($N368="Purchased",$H368,0)+$Q368))</f>
        <v/>
      </c>
      <c r="U368" s="10">
        <f>IF($C368="","",$S368-$T368)</f>
        <v/>
      </c>
      <c r="V368" s="11">
        <f>IF(OR($C368="",$I368=0),"",CEILING($T368/$I368,1))</f>
        <v/>
      </c>
      <c r="W368" s="6" t="n"/>
    </row>
    <row r="369">
      <c r="A369" t="inlineStr">
        <is>
          <t>W368</t>
        </is>
      </c>
      <c r="B369" s="6" t="n"/>
      <c r="C369" s="6" t="n"/>
      <c r="D369" s="6" t="n"/>
      <c r="E369" s="6" t="n"/>
      <c r="F369">
        <f>IF(E369="","",IMAGE(E369))</f>
        <v/>
      </c>
      <c r="G369" s="6" t="n"/>
      <c r="H369" s="7" t="n"/>
      <c r="I369" s="7" t="n"/>
      <c r="J369" s="6" t="n"/>
      <c r="K369" s="6" t="n"/>
      <c r="L369" s="6" t="n"/>
      <c r="M369" s="6" t="n"/>
      <c r="N369" s="6" t="n"/>
      <c r="O369" s="6" t="n"/>
      <c r="P369" s="8" t="n"/>
      <c r="Q369" s="7" t="n"/>
      <c r="R369" s="9" t="n"/>
      <c r="S369" s="10">
        <f>IF($C369="","",$I369*$R369)</f>
        <v/>
      </c>
      <c r="T369" s="10">
        <f>IF($C369="","",(IF($N369="Purchased",$H369,0)+$Q369))</f>
        <v/>
      </c>
      <c r="U369" s="10">
        <f>IF($C369="","",$S369-$T369)</f>
        <v/>
      </c>
      <c r="V369" s="11">
        <f>IF(OR($C369="",$I369=0),"",CEILING($T369/$I369,1))</f>
        <v/>
      </c>
      <c r="W369" s="6" t="n"/>
    </row>
    <row r="370">
      <c r="A370" t="inlineStr">
        <is>
          <t>W369</t>
        </is>
      </c>
      <c r="B370" s="6" t="n"/>
      <c r="C370" s="6" t="n"/>
      <c r="D370" s="6" t="n"/>
      <c r="E370" s="6" t="n"/>
      <c r="F370">
        <f>IF(E370="","",IMAGE(E370))</f>
        <v/>
      </c>
      <c r="G370" s="6" t="n"/>
      <c r="H370" s="7" t="n"/>
      <c r="I370" s="7" t="n"/>
      <c r="J370" s="6" t="n"/>
      <c r="K370" s="6" t="n"/>
      <c r="L370" s="6" t="n"/>
      <c r="M370" s="6" t="n"/>
      <c r="N370" s="6" t="n"/>
      <c r="O370" s="6" t="n"/>
      <c r="P370" s="8" t="n"/>
      <c r="Q370" s="7" t="n"/>
      <c r="R370" s="9" t="n"/>
      <c r="S370" s="10">
        <f>IF($C370="","",$I370*$R370)</f>
        <v/>
      </c>
      <c r="T370" s="10">
        <f>IF($C370="","",(IF($N370="Purchased",$H370,0)+$Q370))</f>
        <v/>
      </c>
      <c r="U370" s="10">
        <f>IF($C370="","",$S370-$T370)</f>
        <v/>
      </c>
      <c r="V370" s="11">
        <f>IF(OR($C370="",$I370=0),"",CEILING($T370/$I370,1))</f>
        <v/>
      </c>
      <c r="W370" s="6" t="n"/>
    </row>
    <row r="371">
      <c r="A371" t="inlineStr">
        <is>
          <t>W370</t>
        </is>
      </c>
      <c r="B371" s="6" t="n"/>
      <c r="C371" s="6" t="n"/>
      <c r="D371" s="6" t="n"/>
      <c r="E371" s="6" t="n"/>
      <c r="F371">
        <f>IF(E371="","",IMAGE(E371))</f>
        <v/>
      </c>
      <c r="G371" s="6" t="n"/>
      <c r="H371" s="7" t="n"/>
      <c r="I371" s="7" t="n"/>
      <c r="J371" s="6" t="n"/>
      <c r="K371" s="6" t="n"/>
      <c r="L371" s="6" t="n"/>
      <c r="M371" s="6" t="n"/>
      <c r="N371" s="6" t="n"/>
      <c r="O371" s="6" t="n"/>
      <c r="P371" s="8" t="n"/>
      <c r="Q371" s="7" t="n"/>
      <c r="R371" s="9" t="n"/>
      <c r="S371" s="10">
        <f>IF($C371="","",$I371*$R371)</f>
        <v/>
      </c>
      <c r="T371" s="10">
        <f>IF($C371="","",(IF($N371="Purchased",$H371,0)+$Q371))</f>
        <v/>
      </c>
      <c r="U371" s="10">
        <f>IF($C371="","",$S371-$T371)</f>
        <v/>
      </c>
      <c r="V371" s="11">
        <f>IF(OR($C371="",$I371=0),"",CEILING($T371/$I371,1))</f>
        <v/>
      </c>
      <c r="W371" s="6" t="n"/>
    </row>
    <row r="372">
      <c r="A372" t="inlineStr">
        <is>
          <t>W371</t>
        </is>
      </c>
      <c r="B372" s="6" t="n"/>
      <c r="C372" s="6" t="n"/>
      <c r="D372" s="6" t="n"/>
      <c r="E372" s="6" t="n"/>
      <c r="F372">
        <f>IF(E372="","",IMAGE(E372))</f>
        <v/>
      </c>
      <c r="G372" s="6" t="n"/>
      <c r="H372" s="7" t="n"/>
      <c r="I372" s="7" t="n"/>
      <c r="J372" s="6" t="n"/>
      <c r="K372" s="6" t="n"/>
      <c r="L372" s="6" t="n"/>
      <c r="M372" s="6" t="n"/>
      <c r="N372" s="6" t="n"/>
      <c r="O372" s="6" t="n"/>
      <c r="P372" s="8" t="n"/>
      <c r="Q372" s="7" t="n"/>
      <c r="R372" s="9" t="n"/>
      <c r="S372" s="10">
        <f>IF($C372="","",$I372*$R372)</f>
        <v/>
      </c>
      <c r="T372" s="10">
        <f>IF($C372="","",(IF($N372="Purchased",$H372,0)+$Q372))</f>
        <v/>
      </c>
      <c r="U372" s="10">
        <f>IF($C372="","",$S372-$T372)</f>
        <v/>
      </c>
      <c r="V372" s="11">
        <f>IF(OR($C372="",$I372=0),"",CEILING($T372/$I372,1))</f>
        <v/>
      </c>
      <c r="W372" s="6" t="n"/>
    </row>
    <row r="373">
      <c r="A373" t="inlineStr">
        <is>
          <t>W372</t>
        </is>
      </c>
      <c r="B373" s="6" t="n"/>
      <c r="C373" s="6" t="n"/>
      <c r="D373" s="6" t="n"/>
      <c r="E373" s="6" t="n"/>
      <c r="F373">
        <f>IF(E373="","",IMAGE(E373))</f>
        <v/>
      </c>
      <c r="G373" s="6" t="n"/>
      <c r="H373" s="7" t="n"/>
      <c r="I373" s="7" t="n"/>
      <c r="J373" s="6" t="n"/>
      <c r="K373" s="6" t="n"/>
      <c r="L373" s="6" t="n"/>
      <c r="M373" s="6" t="n"/>
      <c r="N373" s="6" t="n"/>
      <c r="O373" s="6" t="n"/>
      <c r="P373" s="8" t="n"/>
      <c r="Q373" s="7" t="n"/>
      <c r="R373" s="9" t="n"/>
      <c r="S373" s="10">
        <f>IF($C373="","",$I373*$R373)</f>
        <v/>
      </c>
      <c r="T373" s="10">
        <f>IF($C373="","",(IF($N373="Purchased",$H373,0)+$Q373))</f>
        <v/>
      </c>
      <c r="U373" s="10">
        <f>IF($C373="","",$S373-$T373)</f>
        <v/>
      </c>
      <c r="V373" s="11">
        <f>IF(OR($C373="",$I373=0),"",CEILING($T373/$I373,1))</f>
        <v/>
      </c>
      <c r="W373" s="6" t="n"/>
    </row>
    <row r="374">
      <c r="A374" t="inlineStr">
        <is>
          <t>W373</t>
        </is>
      </c>
      <c r="B374" s="6" t="n"/>
      <c r="C374" s="6" t="n"/>
      <c r="D374" s="6" t="n"/>
      <c r="E374" s="6" t="n"/>
      <c r="F374">
        <f>IF(E374="","",IMAGE(E374))</f>
        <v/>
      </c>
      <c r="G374" s="6" t="n"/>
      <c r="H374" s="7" t="n"/>
      <c r="I374" s="7" t="n"/>
      <c r="J374" s="6" t="n"/>
      <c r="K374" s="6" t="n"/>
      <c r="L374" s="6" t="n"/>
      <c r="M374" s="6" t="n"/>
      <c r="N374" s="6" t="n"/>
      <c r="O374" s="6" t="n"/>
      <c r="P374" s="8" t="n"/>
      <c r="Q374" s="7" t="n"/>
      <c r="R374" s="9" t="n"/>
      <c r="S374" s="10">
        <f>IF($C374="","",$I374*$R374)</f>
        <v/>
      </c>
      <c r="T374" s="10">
        <f>IF($C374="","",(IF($N374="Purchased",$H374,0)+$Q374))</f>
        <v/>
      </c>
      <c r="U374" s="10">
        <f>IF($C374="","",$S374-$T374)</f>
        <v/>
      </c>
      <c r="V374" s="11">
        <f>IF(OR($C374="",$I374=0),"",CEILING($T374/$I374,1))</f>
        <v/>
      </c>
      <c r="W374" s="6" t="n"/>
    </row>
    <row r="375">
      <c r="A375" t="inlineStr">
        <is>
          <t>W374</t>
        </is>
      </c>
      <c r="B375" s="6" t="n"/>
      <c r="C375" s="6" t="n"/>
      <c r="D375" s="6" t="n"/>
      <c r="E375" s="6" t="n"/>
      <c r="F375">
        <f>IF(E375="","",IMAGE(E375))</f>
        <v/>
      </c>
      <c r="G375" s="6" t="n"/>
      <c r="H375" s="7" t="n"/>
      <c r="I375" s="7" t="n"/>
      <c r="J375" s="6" t="n"/>
      <c r="K375" s="6" t="n"/>
      <c r="L375" s="6" t="n"/>
      <c r="M375" s="6" t="n"/>
      <c r="N375" s="6" t="n"/>
      <c r="O375" s="6" t="n"/>
      <c r="P375" s="8" t="n"/>
      <c r="Q375" s="7" t="n"/>
      <c r="R375" s="9" t="n"/>
      <c r="S375" s="10">
        <f>IF($C375="","",$I375*$R375)</f>
        <v/>
      </c>
      <c r="T375" s="10">
        <f>IF($C375="","",(IF($N375="Purchased",$H375,0)+$Q375))</f>
        <v/>
      </c>
      <c r="U375" s="10">
        <f>IF($C375="","",$S375-$T375)</f>
        <v/>
      </c>
      <c r="V375" s="11">
        <f>IF(OR($C375="",$I375=0),"",CEILING($T375/$I375,1))</f>
        <v/>
      </c>
      <c r="W375" s="6" t="n"/>
    </row>
    <row r="376">
      <c r="A376" t="inlineStr">
        <is>
          <t>W375</t>
        </is>
      </c>
      <c r="B376" s="6" t="n"/>
      <c r="C376" s="6" t="n"/>
      <c r="D376" s="6" t="n"/>
      <c r="E376" s="6" t="n"/>
      <c r="F376">
        <f>IF(E376="","",IMAGE(E376))</f>
        <v/>
      </c>
      <c r="G376" s="6" t="n"/>
      <c r="H376" s="7" t="n"/>
      <c r="I376" s="7" t="n"/>
      <c r="J376" s="6" t="n"/>
      <c r="K376" s="6" t="n"/>
      <c r="L376" s="6" t="n"/>
      <c r="M376" s="6" t="n"/>
      <c r="N376" s="6" t="n"/>
      <c r="O376" s="6" t="n"/>
      <c r="P376" s="8" t="n"/>
      <c r="Q376" s="7" t="n"/>
      <c r="R376" s="9" t="n"/>
      <c r="S376" s="10">
        <f>IF($C376="","",$I376*$R376)</f>
        <v/>
      </c>
      <c r="T376" s="10">
        <f>IF($C376="","",(IF($N376="Purchased",$H376,0)+$Q376))</f>
        <v/>
      </c>
      <c r="U376" s="10">
        <f>IF($C376="","",$S376-$T376)</f>
        <v/>
      </c>
      <c r="V376" s="11">
        <f>IF(OR($C376="",$I376=0),"",CEILING($T376/$I376,1))</f>
        <v/>
      </c>
      <c r="W376" s="6" t="n"/>
    </row>
    <row r="377">
      <c r="A377" t="inlineStr">
        <is>
          <t>W376</t>
        </is>
      </c>
      <c r="B377" s="6" t="n"/>
      <c r="C377" s="6" t="n"/>
      <c r="D377" s="6" t="n"/>
      <c r="E377" s="6" t="n"/>
      <c r="F377">
        <f>IF(E377="","",IMAGE(E377))</f>
        <v/>
      </c>
      <c r="G377" s="6" t="n"/>
      <c r="H377" s="7" t="n"/>
      <c r="I377" s="7" t="n"/>
      <c r="J377" s="6" t="n"/>
      <c r="K377" s="6" t="n"/>
      <c r="L377" s="6" t="n"/>
      <c r="M377" s="6" t="n"/>
      <c r="N377" s="6" t="n"/>
      <c r="O377" s="6" t="n"/>
      <c r="P377" s="8" t="n"/>
      <c r="Q377" s="7" t="n"/>
      <c r="R377" s="9" t="n"/>
      <c r="S377" s="10">
        <f>IF($C377="","",$I377*$R377)</f>
        <v/>
      </c>
      <c r="T377" s="10">
        <f>IF($C377="","",(IF($N377="Purchased",$H377,0)+$Q377))</f>
        <v/>
      </c>
      <c r="U377" s="10">
        <f>IF($C377="","",$S377-$T377)</f>
        <v/>
      </c>
      <c r="V377" s="11">
        <f>IF(OR($C377="",$I377=0),"",CEILING($T377/$I377,1))</f>
        <v/>
      </c>
      <c r="W377" s="6" t="n"/>
    </row>
    <row r="378">
      <c r="A378" t="inlineStr">
        <is>
          <t>W377</t>
        </is>
      </c>
      <c r="B378" s="6" t="n"/>
      <c r="C378" s="6" t="n"/>
      <c r="D378" s="6" t="n"/>
      <c r="E378" s="6" t="n"/>
      <c r="F378">
        <f>IF(E378="","",IMAGE(E378))</f>
        <v/>
      </c>
      <c r="G378" s="6" t="n"/>
      <c r="H378" s="7" t="n"/>
      <c r="I378" s="7" t="n"/>
      <c r="J378" s="6" t="n"/>
      <c r="K378" s="6" t="n"/>
      <c r="L378" s="6" t="n"/>
      <c r="M378" s="6" t="n"/>
      <c r="N378" s="6" t="n"/>
      <c r="O378" s="6" t="n"/>
      <c r="P378" s="8" t="n"/>
      <c r="Q378" s="7" t="n"/>
      <c r="R378" s="9" t="n"/>
      <c r="S378" s="10">
        <f>IF($C378="","",$I378*$R378)</f>
        <v/>
      </c>
      <c r="T378" s="10">
        <f>IF($C378="","",(IF($N378="Purchased",$H378,0)+$Q378))</f>
        <v/>
      </c>
      <c r="U378" s="10">
        <f>IF($C378="","",$S378-$T378)</f>
        <v/>
      </c>
      <c r="V378" s="11">
        <f>IF(OR($C378="",$I378=0),"",CEILING($T378/$I378,1))</f>
        <v/>
      </c>
      <c r="W378" s="6" t="n"/>
    </row>
    <row r="379">
      <c r="A379" t="inlineStr">
        <is>
          <t>W378</t>
        </is>
      </c>
      <c r="B379" s="6" t="n"/>
      <c r="C379" s="6" t="n"/>
      <c r="D379" s="6" t="n"/>
      <c r="E379" s="6" t="n"/>
      <c r="F379">
        <f>IF(E379="","",IMAGE(E379))</f>
        <v/>
      </c>
      <c r="G379" s="6" t="n"/>
      <c r="H379" s="7" t="n"/>
      <c r="I379" s="7" t="n"/>
      <c r="J379" s="6" t="n"/>
      <c r="K379" s="6" t="n"/>
      <c r="L379" s="6" t="n"/>
      <c r="M379" s="6" t="n"/>
      <c r="N379" s="6" t="n"/>
      <c r="O379" s="6" t="n"/>
      <c r="P379" s="8" t="n"/>
      <c r="Q379" s="7" t="n"/>
      <c r="R379" s="9" t="n"/>
      <c r="S379" s="10">
        <f>IF($C379="","",$I379*$R379)</f>
        <v/>
      </c>
      <c r="T379" s="10">
        <f>IF($C379="","",(IF($N379="Purchased",$H379,0)+$Q379))</f>
        <v/>
      </c>
      <c r="U379" s="10">
        <f>IF($C379="","",$S379-$T379)</f>
        <v/>
      </c>
      <c r="V379" s="11">
        <f>IF(OR($C379="",$I379=0),"",CEILING($T379/$I379,1))</f>
        <v/>
      </c>
      <c r="W379" s="6" t="n"/>
    </row>
    <row r="380">
      <c r="A380" t="inlineStr">
        <is>
          <t>W379</t>
        </is>
      </c>
      <c r="B380" s="6" t="n"/>
      <c r="C380" s="6" t="n"/>
      <c r="D380" s="6" t="n"/>
      <c r="E380" s="6" t="n"/>
      <c r="F380">
        <f>IF(E380="","",IMAGE(E380))</f>
        <v/>
      </c>
      <c r="G380" s="6" t="n"/>
      <c r="H380" s="7" t="n"/>
      <c r="I380" s="7" t="n"/>
      <c r="J380" s="6" t="n"/>
      <c r="K380" s="6" t="n"/>
      <c r="L380" s="6" t="n"/>
      <c r="M380" s="6" t="n"/>
      <c r="N380" s="6" t="n"/>
      <c r="O380" s="6" t="n"/>
      <c r="P380" s="8" t="n"/>
      <c r="Q380" s="7" t="n"/>
      <c r="R380" s="9" t="n"/>
      <c r="S380" s="10">
        <f>IF($C380="","",$I380*$R380)</f>
        <v/>
      </c>
      <c r="T380" s="10">
        <f>IF($C380="","",(IF($N380="Purchased",$H380,0)+$Q380))</f>
        <v/>
      </c>
      <c r="U380" s="10">
        <f>IF($C380="","",$S380-$T380)</f>
        <v/>
      </c>
      <c r="V380" s="11">
        <f>IF(OR($C380="",$I380=0),"",CEILING($T380/$I380,1))</f>
        <v/>
      </c>
      <c r="W380" s="6" t="n"/>
    </row>
    <row r="381">
      <c r="A381" t="inlineStr">
        <is>
          <t>W380</t>
        </is>
      </c>
      <c r="B381" s="6" t="n"/>
      <c r="C381" s="6" t="n"/>
      <c r="D381" s="6" t="n"/>
      <c r="E381" s="6" t="n"/>
      <c r="F381">
        <f>IF(E381="","",IMAGE(E381))</f>
        <v/>
      </c>
      <c r="G381" s="6" t="n"/>
      <c r="H381" s="7" t="n"/>
      <c r="I381" s="7" t="n"/>
      <c r="J381" s="6" t="n"/>
      <c r="K381" s="6" t="n"/>
      <c r="L381" s="6" t="n"/>
      <c r="M381" s="6" t="n"/>
      <c r="N381" s="6" t="n"/>
      <c r="O381" s="6" t="n"/>
      <c r="P381" s="8" t="n"/>
      <c r="Q381" s="7" t="n"/>
      <c r="R381" s="9" t="n"/>
      <c r="S381" s="10">
        <f>IF($C381="","",$I381*$R381)</f>
        <v/>
      </c>
      <c r="T381" s="10">
        <f>IF($C381="","",(IF($N381="Purchased",$H381,0)+$Q381))</f>
        <v/>
      </c>
      <c r="U381" s="10">
        <f>IF($C381="","",$S381-$T381)</f>
        <v/>
      </c>
      <c r="V381" s="11">
        <f>IF(OR($C381="",$I381=0),"",CEILING($T381/$I381,1))</f>
        <v/>
      </c>
      <c r="W381" s="6" t="n"/>
    </row>
    <row r="382">
      <c r="A382" t="inlineStr">
        <is>
          <t>W381</t>
        </is>
      </c>
      <c r="B382" s="6" t="n"/>
      <c r="C382" s="6" t="n"/>
      <c r="D382" s="6" t="n"/>
      <c r="E382" s="6" t="n"/>
      <c r="F382">
        <f>IF(E382="","",IMAGE(E382))</f>
        <v/>
      </c>
      <c r="G382" s="6" t="n"/>
      <c r="H382" s="7" t="n"/>
      <c r="I382" s="7" t="n"/>
      <c r="J382" s="6" t="n"/>
      <c r="K382" s="6" t="n"/>
      <c r="L382" s="6" t="n"/>
      <c r="M382" s="6" t="n"/>
      <c r="N382" s="6" t="n"/>
      <c r="O382" s="6" t="n"/>
      <c r="P382" s="8" t="n"/>
      <c r="Q382" s="7" t="n"/>
      <c r="R382" s="9" t="n"/>
      <c r="S382" s="10">
        <f>IF($C382="","",$I382*$R382)</f>
        <v/>
      </c>
      <c r="T382" s="10">
        <f>IF($C382="","",(IF($N382="Purchased",$H382,0)+$Q382))</f>
        <v/>
      </c>
      <c r="U382" s="10">
        <f>IF($C382="","",$S382-$T382)</f>
        <v/>
      </c>
      <c r="V382" s="11">
        <f>IF(OR($C382="",$I382=0),"",CEILING($T382/$I382,1))</f>
        <v/>
      </c>
      <c r="W382" s="6" t="n"/>
    </row>
    <row r="383">
      <c r="A383" t="inlineStr">
        <is>
          <t>W382</t>
        </is>
      </c>
      <c r="B383" s="6" t="n"/>
      <c r="C383" s="6" t="n"/>
      <c r="D383" s="6" t="n"/>
      <c r="E383" s="6" t="n"/>
      <c r="F383">
        <f>IF(E383="","",IMAGE(E383))</f>
        <v/>
      </c>
      <c r="G383" s="6" t="n"/>
      <c r="H383" s="7" t="n"/>
      <c r="I383" s="7" t="n"/>
      <c r="J383" s="6" t="n"/>
      <c r="K383" s="6" t="n"/>
      <c r="L383" s="6" t="n"/>
      <c r="M383" s="6" t="n"/>
      <c r="N383" s="6" t="n"/>
      <c r="O383" s="6" t="n"/>
      <c r="P383" s="8" t="n"/>
      <c r="Q383" s="7" t="n"/>
      <c r="R383" s="9" t="n"/>
      <c r="S383" s="10">
        <f>IF($C383="","",$I383*$R383)</f>
        <v/>
      </c>
      <c r="T383" s="10">
        <f>IF($C383="","",(IF($N383="Purchased",$H383,0)+$Q383))</f>
        <v/>
      </c>
      <c r="U383" s="10">
        <f>IF($C383="","",$S383-$T383)</f>
        <v/>
      </c>
      <c r="V383" s="11">
        <f>IF(OR($C383="",$I383=0),"",CEILING($T383/$I383,1))</f>
        <v/>
      </c>
      <c r="W383" s="6" t="n"/>
    </row>
    <row r="384">
      <c r="A384" t="inlineStr">
        <is>
          <t>W383</t>
        </is>
      </c>
      <c r="B384" s="6" t="n"/>
      <c r="C384" s="6" t="n"/>
      <c r="D384" s="6" t="n"/>
      <c r="E384" s="6" t="n"/>
      <c r="F384">
        <f>IF(E384="","",IMAGE(E384))</f>
        <v/>
      </c>
      <c r="G384" s="6" t="n"/>
      <c r="H384" s="7" t="n"/>
      <c r="I384" s="7" t="n"/>
      <c r="J384" s="6" t="n"/>
      <c r="K384" s="6" t="n"/>
      <c r="L384" s="6" t="n"/>
      <c r="M384" s="6" t="n"/>
      <c r="N384" s="6" t="n"/>
      <c r="O384" s="6" t="n"/>
      <c r="P384" s="8" t="n"/>
      <c r="Q384" s="7" t="n"/>
      <c r="R384" s="9" t="n"/>
      <c r="S384" s="10">
        <f>IF($C384="","",$I384*$R384)</f>
        <v/>
      </c>
      <c r="T384" s="10">
        <f>IF($C384="","",(IF($N384="Purchased",$H384,0)+$Q384))</f>
        <v/>
      </c>
      <c r="U384" s="10">
        <f>IF($C384="","",$S384-$T384)</f>
        <v/>
      </c>
      <c r="V384" s="11">
        <f>IF(OR($C384="",$I384=0),"",CEILING($T384/$I384,1))</f>
        <v/>
      </c>
      <c r="W384" s="6" t="n"/>
    </row>
    <row r="385">
      <c r="A385" t="inlineStr">
        <is>
          <t>W384</t>
        </is>
      </c>
      <c r="B385" s="6" t="n"/>
      <c r="C385" s="6" t="n"/>
      <c r="D385" s="6" t="n"/>
      <c r="E385" s="6" t="n"/>
      <c r="F385">
        <f>IF(E385="","",IMAGE(E385))</f>
        <v/>
      </c>
      <c r="G385" s="6" t="n"/>
      <c r="H385" s="7" t="n"/>
      <c r="I385" s="7" t="n"/>
      <c r="J385" s="6" t="n"/>
      <c r="K385" s="6" t="n"/>
      <c r="L385" s="6" t="n"/>
      <c r="M385" s="6" t="n"/>
      <c r="N385" s="6" t="n"/>
      <c r="O385" s="6" t="n"/>
      <c r="P385" s="8" t="n"/>
      <c r="Q385" s="7" t="n"/>
      <c r="R385" s="9" t="n"/>
      <c r="S385" s="10">
        <f>IF($C385="","",$I385*$R385)</f>
        <v/>
      </c>
      <c r="T385" s="10">
        <f>IF($C385="","",(IF($N385="Purchased",$H385,0)+$Q385))</f>
        <v/>
      </c>
      <c r="U385" s="10">
        <f>IF($C385="","",$S385-$T385)</f>
        <v/>
      </c>
      <c r="V385" s="11">
        <f>IF(OR($C385="",$I385=0),"",CEILING($T385/$I385,1))</f>
        <v/>
      </c>
      <c r="W385" s="6" t="n"/>
    </row>
    <row r="386">
      <c r="A386" t="inlineStr">
        <is>
          <t>W385</t>
        </is>
      </c>
      <c r="B386" s="6" t="n"/>
      <c r="C386" s="6" t="n"/>
      <c r="D386" s="6" t="n"/>
      <c r="E386" s="6" t="n"/>
      <c r="F386">
        <f>IF(E386="","",IMAGE(E386))</f>
        <v/>
      </c>
      <c r="G386" s="6" t="n"/>
      <c r="H386" s="7" t="n"/>
      <c r="I386" s="7" t="n"/>
      <c r="J386" s="6" t="n"/>
      <c r="K386" s="6" t="n"/>
      <c r="L386" s="6" t="n"/>
      <c r="M386" s="6" t="n"/>
      <c r="N386" s="6" t="n"/>
      <c r="O386" s="6" t="n"/>
      <c r="P386" s="8" t="n"/>
      <c r="Q386" s="7" t="n"/>
      <c r="R386" s="9" t="n"/>
      <c r="S386" s="10">
        <f>IF($C386="","",$I386*$R386)</f>
        <v/>
      </c>
      <c r="T386" s="10">
        <f>IF($C386="","",(IF($N386="Purchased",$H386,0)+$Q386))</f>
        <v/>
      </c>
      <c r="U386" s="10">
        <f>IF($C386="","",$S386-$T386)</f>
        <v/>
      </c>
      <c r="V386" s="11">
        <f>IF(OR($C386="",$I386=0),"",CEILING($T386/$I386,1))</f>
        <v/>
      </c>
      <c r="W386" s="6" t="n"/>
    </row>
    <row r="387">
      <c r="A387" t="inlineStr">
        <is>
          <t>W386</t>
        </is>
      </c>
      <c r="B387" s="6" t="n"/>
      <c r="C387" s="6" t="n"/>
      <c r="D387" s="6" t="n"/>
      <c r="E387" s="6" t="n"/>
      <c r="F387">
        <f>IF(E387="","",IMAGE(E387))</f>
        <v/>
      </c>
      <c r="G387" s="6" t="n"/>
      <c r="H387" s="7" t="n"/>
      <c r="I387" s="7" t="n"/>
      <c r="J387" s="6" t="n"/>
      <c r="K387" s="6" t="n"/>
      <c r="L387" s="6" t="n"/>
      <c r="M387" s="6" t="n"/>
      <c r="N387" s="6" t="n"/>
      <c r="O387" s="6" t="n"/>
      <c r="P387" s="8" t="n"/>
      <c r="Q387" s="7" t="n"/>
      <c r="R387" s="9" t="n"/>
      <c r="S387" s="10">
        <f>IF($C387="","",$I387*$R387)</f>
        <v/>
      </c>
      <c r="T387" s="10">
        <f>IF($C387="","",(IF($N387="Purchased",$H387,0)+$Q387))</f>
        <v/>
      </c>
      <c r="U387" s="10">
        <f>IF($C387="","",$S387-$T387)</f>
        <v/>
      </c>
      <c r="V387" s="11">
        <f>IF(OR($C387="",$I387=0),"",CEILING($T387/$I387,1))</f>
        <v/>
      </c>
      <c r="W387" s="6" t="n"/>
    </row>
    <row r="388">
      <c r="A388" t="inlineStr">
        <is>
          <t>W387</t>
        </is>
      </c>
      <c r="B388" s="6" t="n"/>
      <c r="C388" s="6" t="n"/>
      <c r="D388" s="6" t="n"/>
      <c r="E388" s="6" t="n"/>
      <c r="F388">
        <f>IF(E388="","",IMAGE(E388))</f>
        <v/>
      </c>
      <c r="G388" s="6" t="n"/>
      <c r="H388" s="7" t="n"/>
      <c r="I388" s="7" t="n"/>
      <c r="J388" s="6" t="n"/>
      <c r="K388" s="6" t="n"/>
      <c r="L388" s="6" t="n"/>
      <c r="M388" s="6" t="n"/>
      <c r="N388" s="6" t="n"/>
      <c r="O388" s="6" t="n"/>
      <c r="P388" s="8" t="n"/>
      <c r="Q388" s="7" t="n"/>
      <c r="R388" s="9" t="n"/>
      <c r="S388" s="10">
        <f>IF($C388="","",$I388*$R388)</f>
        <v/>
      </c>
      <c r="T388" s="10">
        <f>IF($C388="","",(IF($N388="Purchased",$H388,0)+$Q388))</f>
        <v/>
      </c>
      <c r="U388" s="10">
        <f>IF($C388="","",$S388-$T388)</f>
        <v/>
      </c>
      <c r="V388" s="11">
        <f>IF(OR($C388="",$I388=0),"",CEILING($T388/$I388,1))</f>
        <v/>
      </c>
      <c r="W388" s="6" t="n"/>
    </row>
    <row r="389">
      <c r="A389" t="inlineStr">
        <is>
          <t>W388</t>
        </is>
      </c>
      <c r="B389" s="6" t="n"/>
      <c r="C389" s="6" t="n"/>
      <c r="D389" s="6" t="n"/>
      <c r="E389" s="6" t="n"/>
      <c r="F389">
        <f>IF(E389="","",IMAGE(E389))</f>
        <v/>
      </c>
      <c r="G389" s="6" t="n"/>
      <c r="H389" s="7" t="n"/>
      <c r="I389" s="7" t="n"/>
      <c r="J389" s="6" t="n"/>
      <c r="K389" s="6" t="n"/>
      <c r="L389" s="6" t="n"/>
      <c r="M389" s="6" t="n"/>
      <c r="N389" s="6" t="n"/>
      <c r="O389" s="6" t="n"/>
      <c r="P389" s="8" t="n"/>
      <c r="Q389" s="7" t="n"/>
      <c r="R389" s="9" t="n"/>
      <c r="S389" s="10">
        <f>IF($C389="","",$I389*$R389)</f>
        <v/>
      </c>
      <c r="T389" s="10">
        <f>IF($C389="","",(IF($N389="Purchased",$H389,0)+$Q389))</f>
        <v/>
      </c>
      <c r="U389" s="10">
        <f>IF($C389="","",$S389-$T389)</f>
        <v/>
      </c>
      <c r="V389" s="11">
        <f>IF(OR($C389="",$I389=0),"",CEILING($T389/$I389,1))</f>
        <v/>
      </c>
      <c r="W389" s="6" t="n"/>
    </row>
    <row r="390">
      <c r="A390" t="inlineStr">
        <is>
          <t>W389</t>
        </is>
      </c>
      <c r="B390" s="6" t="n"/>
      <c r="C390" s="6" t="n"/>
      <c r="D390" s="6" t="n"/>
      <c r="E390" s="6" t="n"/>
      <c r="F390">
        <f>IF(E390="","",IMAGE(E390))</f>
        <v/>
      </c>
      <c r="G390" s="6" t="n"/>
      <c r="H390" s="7" t="n"/>
      <c r="I390" s="7" t="n"/>
      <c r="J390" s="6" t="n"/>
      <c r="K390" s="6" t="n"/>
      <c r="L390" s="6" t="n"/>
      <c r="M390" s="6" t="n"/>
      <c r="N390" s="6" t="n"/>
      <c r="O390" s="6" t="n"/>
      <c r="P390" s="8" t="n"/>
      <c r="Q390" s="7" t="n"/>
      <c r="R390" s="9" t="n"/>
      <c r="S390" s="10">
        <f>IF($C390="","",$I390*$R390)</f>
        <v/>
      </c>
      <c r="T390" s="10">
        <f>IF($C390="","",(IF($N390="Purchased",$H390,0)+$Q390))</f>
        <v/>
      </c>
      <c r="U390" s="10">
        <f>IF($C390="","",$S390-$T390)</f>
        <v/>
      </c>
      <c r="V390" s="11">
        <f>IF(OR($C390="",$I390=0),"",CEILING($T390/$I390,1))</f>
        <v/>
      </c>
      <c r="W390" s="6" t="n"/>
    </row>
    <row r="391">
      <c r="A391" t="inlineStr">
        <is>
          <t>W390</t>
        </is>
      </c>
      <c r="B391" s="6" t="n"/>
      <c r="C391" s="6" t="n"/>
      <c r="D391" s="6" t="n"/>
      <c r="E391" s="6" t="n"/>
      <c r="F391">
        <f>IF(E391="","",IMAGE(E391))</f>
        <v/>
      </c>
      <c r="G391" s="6" t="n"/>
      <c r="H391" s="7" t="n"/>
      <c r="I391" s="7" t="n"/>
      <c r="J391" s="6" t="n"/>
      <c r="K391" s="6" t="n"/>
      <c r="L391" s="6" t="n"/>
      <c r="M391" s="6" t="n"/>
      <c r="N391" s="6" t="n"/>
      <c r="O391" s="6" t="n"/>
      <c r="P391" s="8" t="n"/>
      <c r="Q391" s="7" t="n"/>
      <c r="R391" s="9" t="n"/>
      <c r="S391" s="10">
        <f>IF($C391="","",$I391*$R391)</f>
        <v/>
      </c>
      <c r="T391" s="10">
        <f>IF($C391="","",(IF($N391="Purchased",$H391,0)+$Q391))</f>
        <v/>
      </c>
      <c r="U391" s="10">
        <f>IF($C391="","",$S391-$T391)</f>
        <v/>
      </c>
      <c r="V391" s="11">
        <f>IF(OR($C391="",$I391=0),"",CEILING($T391/$I391,1))</f>
        <v/>
      </c>
      <c r="W391" s="6" t="n"/>
    </row>
    <row r="392">
      <c r="A392" t="inlineStr">
        <is>
          <t>W391</t>
        </is>
      </c>
      <c r="B392" s="6" t="n"/>
      <c r="C392" s="6" t="n"/>
      <c r="D392" s="6" t="n"/>
      <c r="E392" s="6" t="n"/>
      <c r="F392">
        <f>IF(E392="","",IMAGE(E392))</f>
        <v/>
      </c>
      <c r="G392" s="6" t="n"/>
      <c r="H392" s="7" t="n"/>
      <c r="I392" s="7" t="n"/>
      <c r="J392" s="6" t="n"/>
      <c r="K392" s="6" t="n"/>
      <c r="L392" s="6" t="n"/>
      <c r="M392" s="6" t="n"/>
      <c r="N392" s="6" t="n"/>
      <c r="O392" s="6" t="n"/>
      <c r="P392" s="8" t="n"/>
      <c r="Q392" s="7" t="n"/>
      <c r="R392" s="9" t="n"/>
      <c r="S392" s="10">
        <f>IF($C392="","",$I392*$R392)</f>
        <v/>
      </c>
      <c r="T392" s="10">
        <f>IF($C392="","",(IF($N392="Purchased",$H392,0)+$Q392))</f>
        <v/>
      </c>
      <c r="U392" s="10">
        <f>IF($C392="","",$S392-$T392)</f>
        <v/>
      </c>
      <c r="V392" s="11">
        <f>IF(OR($C392="",$I392=0),"",CEILING($T392/$I392,1))</f>
        <v/>
      </c>
      <c r="W392" s="6" t="n"/>
    </row>
    <row r="393">
      <c r="A393" t="inlineStr">
        <is>
          <t>W392</t>
        </is>
      </c>
      <c r="B393" s="6" t="n"/>
      <c r="C393" s="6" t="n"/>
      <c r="D393" s="6" t="n"/>
      <c r="E393" s="6" t="n"/>
      <c r="F393">
        <f>IF(E393="","",IMAGE(E393))</f>
        <v/>
      </c>
      <c r="G393" s="6" t="n"/>
      <c r="H393" s="7" t="n"/>
      <c r="I393" s="7" t="n"/>
      <c r="J393" s="6" t="n"/>
      <c r="K393" s="6" t="n"/>
      <c r="L393" s="6" t="n"/>
      <c r="M393" s="6" t="n"/>
      <c r="N393" s="6" t="n"/>
      <c r="O393" s="6" t="n"/>
      <c r="P393" s="8" t="n"/>
      <c r="Q393" s="7" t="n"/>
      <c r="R393" s="9" t="n"/>
      <c r="S393" s="10">
        <f>IF($C393="","",$I393*$R393)</f>
        <v/>
      </c>
      <c r="T393" s="10">
        <f>IF($C393="","",(IF($N393="Purchased",$H393,0)+$Q393))</f>
        <v/>
      </c>
      <c r="U393" s="10">
        <f>IF($C393="","",$S393-$T393)</f>
        <v/>
      </c>
      <c r="V393" s="11">
        <f>IF(OR($C393="",$I393=0),"",CEILING($T393/$I393,1))</f>
        <v/>
      </c>
      <c r="W393" s="6" t="n"/>
    </row>
    <row r="394">
      <c r="A394" t="inlineStr">
        <is>
          <t>W393</t>
        </is>
      </c>
      <c r="B394" s="6" t="n"/>
      <c r="C394" s="6" t="n"/>
      <c r="D394" s="6" t="n"/>
      <c r="E394" s="6" t="n"/>
      <c r="F394">
        <f>IF(E394="","",IMAGE(E394))</f>
        <v/>
      </c>
      <c r="G394" s="6" t="n"/>
      <c r="H394" s="7" t="n"/>
      <c r="I394" s="7" t="n"/>
      <c r="J394" s="6" t="n"/>
      <c r="K394" s="6" t="n"/>
      <c r="L394" s="6" t="n"/>
      <c r="M394" s="6" t="n"/>
      <c r="N394" s="6" t="n"/>
      <c r="O394" s="6" t="n"/>
      <c r="P394" s="8" t="n"/>
      <c r="Q394" s="7" t="n"/>
      <c r="R394" s="9" t="n"/>
      <c r="S394" s="10">
        <f>IF($C394="","",$I394*$R394)</f>
        <v/>
      </c>
      <c r="T394" s="10">
        <f>IF($C394="","",(IF($N394="Purchased",$H394,0)+$Q394))</f>
        <v/>
      </c>
      <c r="U394" s="10">
        <f>IF($C394="","",$S394-$T394)</f>
        <v/>
      </c>
      <c r="V394" s="11">
        <f>IF(OR($C394="",$I394=0),"",CEILING($T394/$I394,1))</f>
        <v/>
      </c>
      <c r="W394" s="6" t="n"/>
    </row>
    <row r="395">
      <c r="A395" t="inlineStr">
        <is>
          <t>W394</t>
        </is>
      </c>
      <c r="B395" s="6" t="n"/>
      <c r="C395" s="6" t="n"/>
      <c r="D395" s="6" t="n"/>
      <c r="E395" s="6" t="n"/>
      <c r="F395">
        <f>IF(E395="","",IMAGE(E395))</f>
        <v/>
      </c>
      <c r="G395" s="6" t="n"/>
      <c r="H395" s="7" t="n"/>
      <c r="I395" s="7" t="n"/>
      <c r="J395" s="6" t="n"/>
      <c r="K395" s="6" t="n"/>
      <c r="L395" s="6" t="n"/>
      <c r="M395" s="6" t="n"/>
      <c r="N395" s="6" t="n"/>
      <c r="O395" s="6" t="n"/>
      <c r="P395" s="8" t="n"/>
      <c r="Q395" s="7" t="n"/>
      <c r="R395" s="9" t="n"/>
      <c r="S395" s="10">
        <f>IF($C395="","",$I395*$R395)</f>
        <v/>
      </c>
      <c r="T395" s="10">
        <f>IF($C395="","",(IF($N395="Purchased",$H395,0)+$Q395))</f>
        <v/>
      </c>
      <c r="U395" s="10">
        <f>IF($C395="","",$S395-$T395)</f>
        <v/>
      </c>
      <c r="V395" s="11">
        <f>IF(OR($C395="",$I395=0),"",CEILING($T395/$I395,1))</f>
        <v/>
      </c>
      <c r="W395" s="6" t="n"/>
    </row>
    <row r="396">
      <c r="A396" t="inlineStr">
        <is>
          <t>W395</t>
        </is>
      </c>
      <c r="B396" s="6" t="n"/>
      <c r="C396" s="6" t="n"/>
      <c r="D396" s="6" t="n"/>
      <c r="E396" s="6" t="n"/>
      <c r="F396">
        <f>IF(E396="","",IMAGE(E396))</f>
        <v/>
      </c>
      <c r="G396" s="6" t="n"/>
      <c r="H396" s="7" t="n"/>
      <c r="I396" s="7" t="n"/>
      <c r="J396" s="6" t="n"/>
      <c r="K396" s="6" t="n"/>
      <c r="L396" s="6" t="n"/>
      <c r="M396" s="6" t="n"/>
      <c r="N396" s="6" t="n"/>
      <c r="O396" s="6" t="n"/>
      <c r="P396" s="8" t="n"/>
      <c r="Q396" s="7" t="n"/>
      <c r="R396" s="9" t="n"/>
      <c r="S396" s="10">
        <f>IF($C396="","",$I396*$R396)</f>
        <v/>
      </c>
      <c r="T396" s="10">
        <f>IF($C396="","",(IF($N396="Purchased",$H396,0)+$Q396))</f>
        <v/>
      </c>
      <c r="U396" s="10">
        <f>IF($C396="","",$S396-$T396)</f>
        <v/>
      </c>
      <c r="V396" s="11">
        <f>IF(OR($C396="",$I396=0),"",CEILING($T396/$I396,1))</f>
        <v/>
      </c>
      <c r="W396" s="6" t="n"/>
    </row>
    <row r="397">
      <c r="A397" t="inlineStr">
        <is>
          <t>W396</t>
        </is>
      </c>
      <c r="B397" s="6" t="n"/>
      <c r="C397" s="6" t="n"/>
      <c r="D397" s="6" t="n"/>
      <c r="E397" s="6" t="n"/>
      <c r="F397">
        <f>IF(E397="","",IMAGE(E397))</f>
        <v/>
      </c>
      <c r="G397" s="6" t="n"/>
      <c r="H397" s="7" t="n"/>
      <c r="I397" s="7" t="n"/>
      <c r="J397" s="6" t="n"/>
      <c r="K397" s="6" t="n"/>
      <c r="L397" s="6" t="n"/>
      <c r="M397" s="6" t="n"/>
      <c r="N397" s="6" t="n"/>
      <c r="O397" s="6" t="n"/>
      <c r="P397" s="8" t="n"/>
      <c r="Q397" s="7" t="n"/>
      <c r="R397" s="9" t="n"/>
      <c r="S397" s="10">
        <f>IF($C397="","",$I397*$R397)</f>
        <v/>
      </c>
      <c r="T397" s="10">
        <f>IF($C397="","",(IF($N397="Purchased",$H397,0)+$Q397))</f>
        <v/>
      </c>
      <c r="U397" s="10">
        <f>IF($C397="","",$S397-$T397)</f>
        <v/>
      </c>
      <c r="V397" s="11">
        <f>IF(OR($C397="",$I397=0),"",CEILING($T397/$I397,1))</f>
        <v/>
      </c>
      <c r="W397" s="6" t="n"/>
    </row>
    <row r="398">
      <c r="A398" t="inlineStr">
        <is>
          <t>W397</t>
        </is>
      </c>
      <c r="B398" s="6" t="n"/>
      <c r="C398" s="6" t="n"/>
      <c r="D398" s="6" t="n"/>
      <c r="E398" s="6" t="n"/>
      <c r="F398">
        <f>IF(E398="","",IMAGE(E398))</f>
        <v/>
      </c>
      <c r="G398" s="6" t="n"/>
      <c r="H398" s="7" t="n"/>
      <c r="I398" s="7" t="n"/>
      <c r="J398" s="6" t="n"/>
      <c r="K398" s="6" t="n"/>
      <c r="L398" s="6" t="n"/>
      <c r="M398" s="6" t="n"/>
      <c r="N398" s="6" t="n"/>
      <c r="O398" s="6" t="n"/>
      <c r="P398" s="8" t="n"/>
      <c r="Q398" s="7" t="n"/>
      <c r="R398" s="9" t="n"/>
      <c r="S398" s="10">
        <f>IF($C398="","",$I398*$R398)</f>
        <v/>
      </c>
      <c r="T398" s="10">
        <f>IF($C398="","",(IF($N398="Purchased",$H398,0)+$Q398))</f>
        <v/>
      </c>
      <c r="U398" s="10">
        <f>IF($C398="","",$S398-$T398)</f>
        <v/>
      </c>
      <c r="V398" s="11">
        <f>IF(OR($C398="",$I398=0),"",CEILING($T398/$I398,1))</f>
        <v/>
      </c>
      <c r="W398" s="6" t="n"/>
    </row>
    <row r="399">
      <c r="A399" t="inlineStr">
        <is>
          <t>W398</t>
        </is>
      </c>
      <c r="B399" s="6" t="n"/>
      <c r="C399" s="6" t="n"/>
      <c r="D399" s="6" t="n"/>
      <c r="E399" s="6" t="n"/>
      <c r="F399">
        <f>IF(E399="","",IMAGE(E399))</f>
        <v/>
      </c>
      <c r="G399" s="6" t="n"/>
      <c r="H399" s="7" t="n"/>
      <c r="I399" s="7" t="n"/>
      <c r="J399" s="6" t="n"/>
      <c r="K399" s="6" t="n"/>
      <c r="L399" s="6" t="n"/>
      <c r="M399" s="6" t="n"/>
      <c r="N399" s="6" t="n"/>
      <c r="O399" s="6" t="n"/>
      <c r="P399" s="8" t="n"/>
      <c r="Q399" s="7" t="n"/>
      <c r="R399" s="9" t="n"/>
      <c r="S399" s="10">
        <f>IF($C399="","",$I399*$R399)</f>
        <v/>
      </c>
      <c r="T399" s="10">
        <f>IF($C399="","",(IF($N399="Purchased",$H399,0)+$Q399))</f>
        <v/>
      </c>
      <c r="U399" s="10">
        <f>IF($C399="","",$S399-$T399)</f>
        <v/>
      </c>
      <c r="V399" s="11">
        <f>IF(OR($C399="",$I399=0),"",CEILING($T399/$I399,1))</f>
        <v/>
      </c>
      <c r="W399" s="6" t="n"/>
    </row>
    <row r="400">
      <c r="A400" t="inlineStr">
        <is>
          <t>W399</t>
        </is>
      </c>
      <c r="B400" s="6" t="n"/>
      <c r="C400" s="6" t="n"/>
      <c r="D400" s="6" t="n"/>
      <c r="E400" s="6" t="n"/>
      <c r="F400">
        <f>IF(E400="","",IMAGE(E400))</f>
        <v/>
      </c>
      <c r="G400" s="6" t="n"/>
      <c r="H400" s="7" t="n"/>
      <c r="I400" s="7" t="n"/>
      <c r="J400" s="6" t="n"/>
      <c r="K400" s="6" t="n"/>
      <c r="L400" s="6" t="n"/>
      <c r="M400" s="6" t="n"/>
      <c r="N400" s="6" t="n"/>
      <c r="O400" s="6" t="n"/>
      <c r="P400" s="8" t="n"/>
      <c r="Q400" s="7" t="n"/>
      <c r="R400" s="9" t="n"/>
      <c r="S400" s="10">
        <f>IF($C400="","",$I400*$R400)</f>
        <v/>
      </c>
      <c r="T400" s="10">
        <f>IF($C400="","",(IF($N400="Purchased",$H400,0)+$Q400))</f>
        <v/>
      </c>
      <c r="U400" s="10">
        <f>IF($C400="","",$S400-$T400)</f>
        <v/>
      </c>
      <c r="V400" s="11">
        <f>IF(OR($C400="",$I400=0),"",CEILING($T400/$I400,1))</f>
        <v/>
      </c>
      <c r="W400" s="6" t="n"/>
    </row>
    <row r="401">
      <c r="A401" t="inlineStr">
        <is>
          <t>W400</t>
        </is>
      </c>
      <c r="B401" s="6" t="n"/>
      <c r="C401" s="6" t="n"/>
      <c r="D401" s="6" t="n"/>
      <c r="E401" s="6" t="n"/>
      <c r="F401">
        <f>IF(E401="","",IMAGE(E401))</f>
        <v/>
      </c>
      <c r="G401" s="6" t="n"/>
      <c r="H401" s="7" t="n"/>
      <c r="I401" s="7" t="n"/>
      <c r="J401" s="6" t="n"/>
      <c r="K401" s="6" t="n"/>
      <c r="L401" s="6" t="n"/>
      <c r="M401" s="6" t="n"/>
      <c r="N401" s="6" t="n"/>
      <c r="O401" s="6" t="n"/>
      <c r="P401" s="8" t="n"/>
      <c r="Q401" s="7" t="n"/>
      <c r="R401" s="9" t="n"/>
      <c r="S401" s="10">
        <f>IF($C401="","",$I401*$R401)</f>
        <v/>
      </c>
      <c r="T401" s="10">
        <f>IF($C401="","",(IF($N401="Purchased",$H401,0)+$Q401))</f>
        <v/>
      </c>
      <c r="U401" s="10">
        <f>IF($C401="","",$S401-$T401)</f>
        <v/>
      </c>
      <c r="V401" s="11">
        <f>IF(OR($C401="",$I401=0),"",CEILING($T401/$I401,1))</f>
        <v/>
      </c>
      <c r="W401" s="6" t="n"/>
    </row>
    <row r="402">
      <c r="A402" t="inlineStr">
        <is>
          <t>W401</t>
        </is>
      </c>
      <c r="B402" s="6" t="n"/>
      <c r="C402" s="6" t="n"/>
      <c r="D402" s="6" t="n"/>
      <c r="E402" s="6" t="n"/>
      <c r="F402">
        <f>IF(E402="","",IMAGE(E402))</f>
        <v/>
      </c>
      <c r="G402" s="6" t="n"/>
      <c r="H402" s="7" t="n"/>
      <c r="I402" s="7" t="n"/>
      <c r="J402" s="6" t="n"/>
      <c r="K402" s="6" t="n"/>
      <c r="L402" s="6" t="n"/>
      <c r="M402" s="6" t="n"/>
      <c r="N402" s="6" t="n"/>
      <c r="O402" s="6" t="n"/>
      <c r="P402" s="8" t="n"/>
      <c r="Q402" s="7" t="n"/>
      <c r="R402" s="9" t="n"/>
      <c r="S402" s="10">
        <f>IF($C402="","",$I402*$R402)</f>
        <v/>
      </c>
      <c r="T402" s="10">
        <f>IF($C402="","",(IF($N402="Purchased",$H402,0)+$Q402))</f>
        <v/>
      </c>
      <c r="U402" s="10">
        <f>IF($C402="","",$S402-$T402)</f>
        <v/>
      </c>
      <c r="V402" s="11">
        <f>IF(OR($C402="",$I402=0),"",CEILING($T402/$I402,1))</f>
        <v/>
      </c>
      <c r="W402" s="6" t="n"/>
    </row>
    <row r="403">
      <c r="A403" t="inlineStr">
        <is>
          <t>W402</t>
        </is>
      </c>
      <c r="B403" s="6" t="n"/>
      <c r="C403" s="6" t="n"/>
      <c r="D403" s="6" t="n"/>
      <c r="E403" s="6" t="n"/>
      <c r="F403">
        <f>IF(E403="","",IMAGE(E403))</f>
        <v/>
      </c>
      <c r="G403" s="6" t="n"/>
      <c r="H403" s="7" t="n"/>
      <c r="I403" s="7" t="n"/>
      <c r="J403" s="6" t="n"/>
      <c r="K403" s="6" t="n"/>
      <c r="L403" s="6" t="n"/>
      <c r="M403" s="6" t="n"/>
      <c r="N403" s="6" t="n"/>
      <c r="O403" s="6" t="n"/>
      <c r="P403" s="8" t="n"/>
      <c r="Q403" s="7" t="n"/>
      <c r="R403" s="9" t="n"/>
      <c r="S403" s="10">
        <f>IF($C403="","",$I403*$R403)</f>
        <v/>
      </c>
      <c r="T403" s="10">
        <f>IF($C403="","",(IF($N403="Purchased",$H403,0)+$Q403))</f>
        <v/>
      </c>
      <c r="U403" s="10">
        <f>IF($C403="","",$S403-$T403)</f>
        <v/>
      </c>
      <c r="V403" s="11">
        <f>IF(OR($C403="",$I403=0),"",CEILING($T403/$I403,1))</f>
        <v/>
      </c>
      <c r="W403" s="6" t="n"/>
    </row>
    <row r="404">
      <c r="A404" t="inlineStr">
        <is>
          <t>W403</t>
        </is>
      </c>
      <c r="B404" s="6" t="n"/>
      <c r="C404" s="6" t="n"/>
      <c r="D404" s="6" t="n"/>
      <c r="E404" s="6" t="n"/>
      <c r="F404">
        <f>IF(E404="","",IMAGE(E404))</f>
        <v/>
      </c>
      <c r="G404" s="6" t="n"/>
      <c r="H404" s="7" t="n"/>
      <c r="I404" s="7" t="n"/>
      <c r="J404" s="6" t="n"/>
      <c r="K404" s="6" t="n"/>
      <c r="L404" s="6" t="n"/>
      <c r="M404" s="6" t="n"/>
      <c r="N404" s="6" t="n"/>
      <c r="O404" s="6" t="n"/>
      <c r="P404" s="8" t="n"/>
      <c r="Q404" s="7" t="n"/>
      <c r="R404" s="9" t="n"/>
      <c r="S404" s="10">
        <f>IF($C404="","",$I404*$R404)</f>
        <v/>
      </c>
      <c r="T404" s="10">
        <f>IF($C404="","",(IF($N404="Purchased",$H404,0)+$Q404))</f>
        <v/>
      </c>
      <c r="U404" s="10">
        <f>IF($C404="","",$S404-$T404)</f>
        <v/>
      </c>
      <c r="V404" s="11">
        <f>IF(OR($C404="",$I404=0),"",CEILING($T404/$I404,1))</f>
        <v/>
      </c>
      <c r="W404" s="6" t="n"/>
    </row>
    <row r="405">
      <c r="A405" t="inlineStr">
        <is>
          <t>W404</t>
        </is>
      </c>
      <c r="B405" s="6" t="n"/>
      <c r="C405" s="6" t="n"/>
      <c r="D405" s="6" t="n"/>
      <c r="E405" s="6" t="n"/>
      <c r="F405">
        <f>IF(E405="","",IMAGE(E405))</f>
        <v/>
      </c>
      <c r="G405" s="6" t="n"/>
      <c r="H405" s="7" t="n"/>
      <c r="I405" s="7" t="n"/>
      <c r="J405" s="6" t="n"/>
      <c r="K405" s="6" t="n"/>
      <c r="L405" s="6" t="n"/>
      <c r="M405" s="6" t="n"/>
      <c r="N405" s="6" t="n"/>
      <c r="O405" s="6" t="n"/>
      <c r="P405" s="8" t="n"/>
      <c r="Q405" s="7" t="n"/>
      <c r="R405" s="9" t="n"/>
      <c r="S405" s="10">
        <f>IF($C405="","",$I405*$R405)</f>
        <v/>
      </c>
      <c r="T405" s="10">
        <f>IF($C405="","",(IF($N405="Purchased",$H405,0)+$Q405))</f>
        <v/>
      </c>
      <c r="U405" s="10">
        <f>IF($C405="","",$S405-$T405)</f>
        <v/>
      </c>
      <c r="V405" s="11">
        <f>IF(OR($C405="",$I405=0),"",CEILING($T405/$I405,1))</f>
        <v/>
      </c>
      <c r="W405" s="6" t="n"/>
    </row>
    <row r="406">
      <c r="A406" t="inlineStr">
        <is>
          <t>W405</t>
        </is>
      </c>
      <c r="B406" s="6" t="n"/>
      <c r="C406" s="6" t="n"/>
      <c r="D406" s="6" t="n"/>
      <c r="E406" s="6" t="n"/>
      <c r="F406">
        <f>IF(E406="","",IMAGE(E406))</f>
        <v/>
      </c>
      <c r="G406" s="6" t="n"/>
      <c r="H406" s="7" t="n"/>
      <c r="I406" s="7" t="n"/>
      <c r="J406" s="6" t="n"/>
      <c r="K406" s="6" t="n"/>
      <c r="L406" s="6" t="n"/>
      <c r="M406" s="6" t="n"/>
      <c r="N406" s="6" t="n"/>
      <c r="O406" s="6" t="n"/>
      <c r="P406" s="8" t="n"/>
      <c r="Q406" s="7" t="n"/>
      <c r="R406" s="9" t="n"/>
      <c r="S406" s="10">
        <f>IF($C406="","",$I406*$R406)</f>
        <v/>
      </c>
      <c r="T406" s="10">
        <f>IF($C406="","",(IF($N406="Purchased",$H406,0)+$Q406))</f>
        <v/>
      </c>
      <c r="U406" s="10">
        <f>IF($C406="","",$S406-$T406)</f>
        <v/>
      </c>
      <c r="V406" s="11">
        <f>IF(OR($C406="",$I406=0),"",CEILING($T406/$I406,1))</f>
        <v/>
      </c>
      <c r="W406" s="6" t="n"/>
    </row>
    <row r="407">
      <c r="A407" t="inlineStr">
        <is>
          <t>W406</t>
        </is>
      </c>
      <c r="B407" s="6" t="n"/>
      <c r="C407" s="6" t="n"/>
      <c r="D407" s="6" t="n"/>
      <c r="E407" s="6" t="n"/>
      <c r="F407">
        <f>IF(E407="","",IMAGE(E407))</f>
        <v/>
      </c>
      <c r="G407" s="6" t="n"/>
      <c r="H407" s="7" t="n"/>
      <c r="I407" s="7" t="n"/>
      <c r="J407" s="6" t="n"/>
      <c r="K407" s="6" t="n"/>
      <c r="L407" s="6" t="n"/>
      <c r="M407" s="6" t="n"/>
      <c r="N407" s="6" t="n"/>
      <c r="O407" s="6" t="n"/>
      <c r="P407" s="8" t="n"/>
      <c r="Q407" s="7" t="n"/>
      <c r="R407" s="9" t="n"/>
      <c r="S407" s="10">
        <f>IF($C407="","",$I407*$R407)</f>
        <v/>
      </c>
      <c r="T407" s="10">
        <f>IF($C407="","",(IF($N407="Purchased",$H407,0)+$Q407))</f>
        <v/>
      </c>
      <c r="U407" s="10">
        <f>IF($C407="","",$S407-$T407)</f>
        <v/>
      </c>
      <c r="V407" s="11">
        <f>IF(OR($C407="",$I407=0),"",CEILING($T407/$I407,1))</f>
        <v/>
      </c>
      <c r="W407" s="6" t="n"/>
    </row>
    <row r="408">
      <c r="A408" t="inlineStr">
        <is>
          <t>W407</t>
        </is>
      </c>
      <c r="B408" s="6" t="n"/>
      <c r="C408" s="6" t="n"/>
      <c r="D408" s="6" t="n"/>
      <c r="E408" s="6" t="n"/>
      <c r="F408">
        <f>IF(E408="","",IMAGE(E408))</f>
        <v/>
      </c>
      <c r="G408" s="6" t="n"/>
      <c r="H408" s="7" t="n"/>
      <c r="I408" s="7" t="n"/>
      <c r="J408" s="6" t="n"/>
      <c r="K408" s="6" t="n"/>
      <c r="L408" s="6" t="n"/>
      <c r="M408" s="6" t="n"/>
      <c r="N408" s="6" t="n"/>
      <c r="O408" s="6" t="n"/>
      <c r="P408" s="8" t="n"/>
      <c r="Q408" s="7" t="n"/>
      <c r="R408" s="9" t="n"/>
      <c r="S408" s="10">
        <f>IF($C408="","",$I408*$R408)</f>
        <v/>
      </c>
      <c r="T408" s="10">
        <f>IF($C408="","",(IF($N408="Purchased",$H408,0)+$Q408))</f>
        <v/>
      </c>
      <c r="U408" s="10">
        <f>IF($C408="","",$S408-$T408)</f>
        <v/>
      </c>
      <c r="V408" s="11">
        <f>IF(OR($C408="",$I408=0),"",CEILING($T408/$I408,1))</f>
        <v/>
      </c>
      <c r="W408" s="6" t="n"/>
    </row>
    <row r="409">
      <c r="A409" t="inlineStr">
        <is>
          <t>W408</t>
        </is>
      </c>
      <c r="B409" s="6" t="n"/>
      <c r="C409" s="6" t="n"/>
      <c r="D409" s="6" t="n"/>
      <c r="E409" s="6" t="n"/>
      <c r="F409">
        <f>IF(E409="","",IMAGE(E409))</f>
        <v/>
      </c>
      <c r="G409" s="6" t="n"/>
      <c r="H409" s="7" t="n"/>
      <c r="I409" s="7" t="n"/>
      <c r="J409" s="6" t="n"/>
      <c r="K409" s="6" t="n"/>
      <c r="L409" s="6" t="n"/>
      <c r="M409" s="6" t="n"/>
      <c r="N409" s="6" t="n"/>
      <c r="O409" s="6" t="n"/>
      <c r="P409" s="8" t="n"/>
      <c r="Q409" s="7" t="n"/>
      <c r="R409" s="9" t="n"/>
      <c r="S409" s="10">
        <f>IF($C409="","",$I409*$R409)</f>
        <v/>
      </c>
      <c r="T409" s="10">
        <f>IF($C409="","",(IF($N409="Purchased",$H409,0)+$Q409))</f>
        <v/>
      </c>
      <c r="U409" s="10">
        <f>IF($C409="","",$S409-$T409)</f>
        <v/>
      </c>
      <c r="V409" s="11">
        <f>IF(OR($C409="",$I409=0),"",CEILING($T409/$I409,1))</f>
        <v/>
      </c>
      <c r="W409" s="6" t="n"/>
    </row>
    <row r="410">
      <c r="A410" t="inlineStr">
        <is>
          <t>W409</t>
        </is>
      </c>
      <c r="B410" s="6" t="n"/>
      <c r="C410" s="6" t="n"/>
      <c r="D410" s="6" t="n"/>
      <c r="E410" s="6" t="n"/>
      <c r="F410">
        <f>IF(E410="","",IMAGE(E410))</f>
        <v/>
      </c>
      <c r="G410" s="6" t="n"/>
      <c r="H410" s="7" t="n"/>
      <c r="I410" s="7" t="n"/>
      <c r="J410" s="6" t="n"/>
      <c r="K410" s="6" t="n"/>
      <c r="L410" s="6" t="n"/>
      <c r="M410" s="6" t="n"/>
      <c r="N410" s="6" t="n"/>
      <c r="O410" s="6" t="n"/>
      <c r="P410" s="8" t="n"/>
      <c r="Q410" s="7" t="n"/>
      <c r="R410" s="9" t="n"/>
      <c r="S410" s="10">
        <f>IF($C410="","",$I410*$R410)</f>
        <v/>
      </c>
      <c r="T410" s="10">
        <f>IF($C410="","",(IF($N410="Purchased",$H410,0)+$Q410))</f>
        <v/>
      </c>
      <c r="U410" s="10">
        <f>IF($C410="","",$S410-$T410)</f>
        <v/>
      </c>
      <c r="V410" s="11">
        <f>IF(OR($C410="",$I410=0),"",CEILING($T410/$I410,1))</f>
        <v/>
      </c>
      <c r="W410" s="6" t="n"/>
    </row>
    <row r="411">
      <c r="A411" t="inlineStr">
        <is>
          <t>W410</t>
        </is>
      </c>
      <c r="B411" s="6" t="n"/>
      <c r="C411" s="6" t="n"/>
      <c r="D411" s="6" t="n"/>
      <c r="E411" s="6" t="n"/>
      <c r="F411">
        <f>IF(E411="","",IMAGE(E411))</f>
        <v/>
      </c>
      <c r="G411" s="6" t="n"/>
      <c r="H411" s="7" t="n"/>
      <c r="I411" s="7" t="n"/>
      <c r="J411" s="6" t="n"/>
      <c r="K411" s="6" t="n"/>
      <c r="L411" s="6" t="n"/>
      <c r="M411" s="6" t="n"/>
      <c r="N411" s="6" t="n"/>
      <c r="O411" s="6" t="n"/>
      <c r="P411" s="8" t="n"/>
      <c r="Q411" s="7" t="n"/>
      <c r="R411" s="9" t="n"/>
      <c r="S411" s="10">
        <f>IF($C411="","",$I411*$R411)</f>
        <v/>
      </c>
      <c r="T411" s="10">
        <f>IF($C411="","",(IF($N411="Purchased",$H411,0)+$Q411))</f>
        <v/>
      </c>
      <c r="U411" s="10">
        <f>IF($C411="","",$S411-$T411)</f>
        <v/>
      </c>
      <c r="V411" s="11">
        <f>IF(OR($C411="",$I411=0),"",CEILING($T411/$I411,1))</f>
        <v/>
      </c>
      <c r="W411" s="6" t="n"/>
    </row>
    <row r="412">
      <c r="A412" t="inlineStr">
        <is>
          <t>W411</t>
        </is>
      </c>
      <c r="B412" s="6" t="n"/>
      <c r="C412" s="6" t="n"/>
      <c r="D412" s="6" t="n"/>
      <c r="E412" s="6" t="n"/>
      <c r="F412">
        <f>IF(E412="","",IMAGE(E412))</f>
        <v/>
      </c>
      <c r="G412" s="6" t="n"/>
      <c r="H412" s="7" t="n"/>
      <c r="I412" s="7" t="n"/>
      <c r="J412" s="6" t="n"/>
      <c r="K412" s="6" t="n"/>
      <c r="L412" s="6" t="n"/>
      <c r="M412" s="6" t="n"/>
      <c r="N412" s="6" t="n"/>
      <c r="O412" s="6" t="n"/>
      <c r="P412" s="8" t="n"/>
      <c r="Q412" s="7" t="n"/>
      <c r="R412" s="9" t="n"/>
      <c r="S412" s="10">
        <f>IF($C412="","",$I412*$R412)</f>
        <v/>
      </c>
      <c r="T412" s="10">
        <f>IF($C412="","",(IF($N412="Purchased",$H412,0)+$Q412))</f>
        <v/>
      </c>
      <c r="U412" s="10">
        <f>IF($C412="","",$S412-$T412)</f>
        <v/>
      </c>
      <c r="V412" s="11">
        <f>IF(OR($C412="",$I412=0),"",CEILING($T412/$I412,1))</f>
        <v/>
      </c>
      <c r="W412" s="6" t="n"/>
    </row>
    <row r="413">
      <c r="A413" t="inlineStr">
        <is>
          <t>W412</t>
        </is>
      </c>
      <c r="B413" s="6" t="n"/>
      <c r="C413" s="6" t="n"/>
      <c r="D413" s="6" t="n"/>
      <c r="E413" s="6" t="n"/>
      <c r="F413">
        <f>IF(E413="","",IMAGE(E413))</f>
        <v/>
      </c>
      <c r="G413" s="6" t="n"/>
      <c r="H413" s="7" t="n"/>
      <c r="I413" s="7" t="n"/>
      <c r="J413" s="6" t="n"/>
      <c r="K413" s="6" t="n"/>
      <c r="L413" s="6" t="n"/>
      <c r="M413" s="6" t="n"/>
      <c r="N413" s="6" t="n"/>
      <c r="O413" s="6" t="n"/>
      <c r="P413" s="8" t="n"/>
      <c r="Q413" s="7" t="n"/>
      <c r="R413" s="9" t="n"/>
      <c r="S413" s="10">
        <f>IF($C413="","",$I413*$R413)</f>
        <v/>
      </c>
      <c r="T413" s="10">
        <f>IF($C413="","",(IF($N413="Purchased",$H413,0)+$Q413))</f>
        <v/>
      </c>
      <c r="U413" s="10">
        <f>IF($C413="","",$S413-$T413)</f>
        <v/>
      </c>
      <c r="V413" s="11">
        <f>IF(OR($C413="",$I413=0),"",CEILING($T413/$I413,1))</f>
        <v/>
      </c>
      <c r="W413" s="6" t="n"/>
    </row>
    <row r="414">
      <c r="A414" t="inlineStr">
        <is>
          <t>W413</t>
        </is>
      </c>
      <c r="B414" s="6" t="n"/>
      <c r="C414" s="6" t="n"/>
      <c r="D414" s="6" t="n"/>
      <c r="E414" s="6" t="n"/>
      <c r="F414">
        <f>IF(E414="","",IMAGE(E414))</f>
        <v/>
      </c>
      <c r="G414" s="6" t="n"/>
      <c r="H414" s="7" t="n"/>
      <c r="I414" s="7" t="n"/>
      <c r="J414" s="6" t="n"/>
      <c r="K414" s="6" t="n"/>
      <c r="L414" s="6" t="n"/>
      <c r="M414" s="6" t="n"/>
      <c r="N414" s="6" t="n"/>
      <c r="O414" s="6" t="n"/>
      <c r="P414" s="8" t="n"/>
      <c r="Q414" s="7" t="n"/>
      <c r="R414" s="9" t="n"/>
      <c r="S414" s="10">
        <f>IF($C414="","",$I414*$R414)</f>
        <v/>
      </c>
      <c r="T414" s="10">
        <f>IF($C414="","",(IF($N414="Purchased",$H414,0)+$Q414))</f>
        <v/>
      </c>
      <c r="U414" s="10">
        <f>IF($C414="","",$S414-$T414)</f>
        <v/>
      </c>
      <c r="V414" s="11">
        <f>IF(OR($C414="",$I414=0),"",CEILING($T414/$I414,1))</f>
        <v/>
      </c>
      <c r="W414" s="6" t="n"/>
    </row>
    <row r="415">
      <c r="A415" t="inlineStr">
        <is>
          <t>W414</t>
        </is>
      </c>
      <c r="B415" s="6" t="n"/>
      <c r="C415" s="6" t="n"/>
      <c r="D415" s="6" t="n"/>
      <c r="E415" s="6" t="n"/>
      <c r="F415">
        <f>IF(E415="","",IMAGE(E415))</f>
        <v/>
      </c>
      <c r="G415" s="6" t="n"/>
      <c r="H415" s="7" t="n"/>
      <c r="I415" s="7" t="n"/>
      <c r="J415" s="6" t="n"/>
      <c r="K415" s="6" t="n"/>
      <c r="L415" s="6" t="n"/>
      <c r="M415" s="6" t="n"/>
      <c r="N415" s="6" t="n"/>
      <c r="O415" s="6" t="n"/>
      <c r="P415" s="8" t="n"/>
      <c r="Q415" s="7" t="n"/>
      <c r="R415" s="9" t="n"/>
      <c r="S415" s="10">
        <f>IF($C415="","",$I415*$R415)</f>
        <v/>
      </c>
      <c r="T415" s="10">
        <f>IF($C415="","",(IF($N415="Purchased",$H415,0)+$Q415))</f>
        <v/>
      </c>
      <c r="U415" s="10">
        <f>IF($C415="","",$S415-$T415)</f>
        <v/>
      </c>
      <c r="V415" s="11">
        <f>IF(OR($C415="",$I415=0),"",CEILING($T415/$I415,1))</f>
        <v/>
      </c>
      <c r="W415" s="6" t="n"/>
    </row>
    <row r="416">
      <c r="A416" t="inlineStr">
        <is>
          <t>W415</t>
        </is>
      </c>
      <c r="B416" s="6" t="n"/>
      <c r="C416" s="6" t="n"/>
      <c r="D416" s="6" t="n"/>
      <c r="E416" s="6" t="n"/>
      <c r="F416">
        <f>IF(E416="","",IMAGE(E416))</f>
        <v/>
      </c>
      <c r="G416" s="6" t="n"/>
      <c r="H416" s="7" t="n"/>
      <c r="I416" s="7" t="n"/>
      <c r="J416" s="6" t="n"/>
      <c r="K416" s="6" t="n"/>
      <c r="L416" s="6" t="n"/>
      <c r="M416" s="6" t="n"/>
      <c r="N416" s="6" t="n"/>
      <c r="O416" s="6" t="n"/>
      <c r="P416" s="8" t="n"/>
      <c r="Q416" s="7" t="n"/>
      <c r="R416" s="9" t="n"/>
      <c r="S416" s="10">
        <f>IF($C416="","",$I416*$R416)</f>
        <v/>
      </c>
      <c r="T416" s="10">
        <f>IF($C416="","",(IF($N416="Purchased",$H416,0)+$Q416))</f>
        <v/>
      </c>
      <c r="U416" s="10">
        <f>IF($C416="","",$S416-$T416)</f>
        <v/>
      </c>
      <c r="V416" s="11">
        <f>IF(OR($C416="",$I416=0),"",CEILING($T416/$I416,1))</f>
        <v/>
      </c>
      <c r="W416" s="6" t="n"/>
    </row>
    <row r="417">
      <c r="A417" t="inlineStr">
        <is>
          <t>W416</t>
        </is>
      </c>
      <c r="B417" s="6" t="n"/>
      <c r="C417" s="6" t="n"/>
      <c r="D417" s="6" t="n"/>
      <c r="E417" s="6" t="n"/>
      <c r="F417">
        <f>IF(E417="","",IMAGE(E417))</f>
        <v/>
      </c>
      <c r="G417" s="6" t="n"/>
      <c r="H417" s="7" t="n"/>
      <c r="I417" s="7" t="n"/>
      <c r="J417" s="6" t="n"/>
      <c r="K417" s="6" t="n"/>
      <c r="L417" s="6" t="n"/>
      <c r="M417" s="6" t="n"/>
      <c r="N417" s="6" t="n"/>
      <c r="O417" s="6" t="n"/>
      <c r="P417" s="8" t="n"/>
      <c r="Q417" s="7" t="n"/>
      <c r="R417" s="9" t="n"/>
      <c r="S417" s="10">
        <f>IF($C417="","",$I417*$R417)</f>
        <v/>
      </c>
      <c r="T417" s="10">
        <f>IF($C417="","",(IF($N417="Purchased",$H417,0)+$Q417))</f>
        <v/>
      </c>
      <c r="U417" s="10">
        <f>IF($C417="","",$S417-$T417)</f>
        <v/>
      </c>
      <c r="V417" s="11">
        <f>IF(OR($C417="",$I417=0),"",CEILING($T417/$I417,1))</f>
        <v/>
      </c>
      <c r="W417" s="6" t="n"/>
    </row>
    <row r="418">
      <c r="A418" t="inlineStr">
        <is>
          <t>W417</t>
        </is>
      </c>
      <c r="B418" s="6" t="n"/>
      <c r="C418" s="6" t="n"/>
      <c r="D418" s="6" t="n"/>
      <c r="E418" s="6" t="n"/>
      <c r="F418">
        <f>IF(E418="","",IMAGE(E418))</f>
        <v/>
      </c>
      <c r="G418" s="6" t="n"/>
      <c r="H418" s="7" t="n"/>
      <c r="I418" s="7" t="n"/>
      <c r="J418" s="6" t="n"/>
      <c r="K418" s="6" t="n"/>
      <c r="L418" s="6" t="n"/>
      <c r="M418" s="6" t="n"/>
      <c r="N418" s="6" t="n"/>
      <c r="O418" s="6" t="n"/>
      <c r="P418" s="8" t="n"/>
      <c r="Q418" s="7" t="n"/>
      <c r="R418" s="9" t="n"/>
      <c r="S418" s="10">
        <f>IF($C418="","",$I418*$R418)</f>
        <v/>
      </c>
      <c r="T418" s="10">
        <f>IF($C418="","",(IF($N418="Purchased",$H418,0)+$Q418))</f>
        <v/>
      </c>
      <c r="U418" s="10">
        <f>IF($C418="","",$S418-$T418)</f>
        <v/>
      </c>
      <c r="V418" s="11">
        <f>IF(OR($C418="",$I418=0),"",CEILING($T418/$I418,1))</f>
        <v/>
      </c>
      <c r="W418" s="6" t="n"/>
    </row>
    <row r="419">
      <c r="A419" t="inlineStr">
        <is>
          <t>W418</t>
        </is>
      </c>
      <c r="B419" s="6" t="n"/>
      <c r="C419" s="6" t="n"/>
      <c r="D419" s="6" t="n"/>
      <c r="E419" s="6" t="n"/>
      <c r="F419">
        <f>IF(E419="","",IMAGE(E419))</f>
        <v/>
      </c>
      <c r="G419" s="6" t="n"/>
      <c r="H419" s="7" t="n"/>
      <c r="I419" s="7" t="n"/>
      <c r="J419" s="6" t="n"/>
      <c r="K419" s="6" t="n"/>
      <c r="L419" s="6" t="n"/>
      <c r="M419" s="6" t="n"/>
      <c r="N419" s="6" t="n"/>
      <c r="O419" s="6" t="n"/>
      <c r="P419" s="8" t="n"/>
      <c r="Q419" s="7" t="n"/>
      <c r="R419" s="9" t="n"/>
      <c r="S419" s="10">
        <f>IF($C419="","",$I419*$R419)</f>
        <v/>
      </c>
      <c r="T419" s="10">
        <f>IF($C419="","",(IF($N419="Purchased",$H419,0)+$Q419))</f>
        <v/>
      </c>
      <c r="U419" s="10">
        <f>IF($C419="","",$S419-$T419)</f>
        <v/>
      </c>
      <c r="V419" s="11">
        <f>IF(OR($C419="",$I419=0),"",CEILING($T419/$I419,1))</f>
        <v/>
      </c>
      <c r="W419" s="6" t="n"/>
    </row>
    <row r="420">
      <c r="A420" t="inlineStr">
        <is>
          <t>W419</t>
        </is>
      </c>
      <c r="B420" s="6" t="n"/>
      <c r="C420" s="6" t="n"/>
      <c r="D420" s="6" t="n"/>
      <c r="E420" s="6" t="n"/>
      <c r="F420">
        <f>IF(E420="","",IMAGE(E420))</f>
        <v/>
      </c>
      <c r="G420" s="6" t="n"/>
      <c r="H420" s="7" t="n"/>
      <c r="I420" s="7" t="n"/>
      <c r="J420" s="6" t="n"/>
      <c r="K420" s="6" t="n"/>
      <c r="L420" s="6" t="n"/>
      <c r="M420" s="6" t="n"/>
      <c r="N420" s="6" t="n"/>
      <c r="O420" s="6" t="n"/>
      <c r="P420" s="8" t="n"/>
      <c r="Q420" s="7" t="n"/>
      <c r="R420" s="9" t="n"/>
      <c r="S420" s="10">
        <f>IF($C420="","",$I420*$R420)</f>
        <v/>
      </c>
      <c r="T420" s="10">
        <f>IF($C420="","",(IF($N420="Purchased",$H420,0)+$Q420))</f>
        <v/>
      </c>
      <c r="U420" s="10">
        <f>IF($C420="","",$S420-$T420)</f>
        <v/>
      </c>
      <c r="V420" s="11">
        <f>IF(OR($C420="",$I420=0),"",CEILING($T420/$I420,1))</f>
        <v/>
      </c>
      <c r="W420" s="6" t="n"/>
    </row>
    <row r="421">
      <c r="A421" t="inlineStr">
        <is>
          <t>W420</t>
        </is>
      </c>
      <c r="B421" s="6" t="n"/>
      <c r="C421" s="6" t="n"/>
      <c r="D421" s="6" t="n"/>
      <c r="E421" s="6" t="n"/>
      <c r="F421">
        <f>IF(E421="","",IMAGE(E421))</f>
        <v/>
      </c>
      <c r="G421" s="6" t="n"/>
      <c r="H421" s="7" t="n"/>
      <c r="I421" s="7" t="n"/>
      <c r="J421" s="6" t="n"/>
      <c r="K421" s="6" t="n"/>
      <c r="L421" s="6" t="n"/>
      <c r="M421" s="6" t="n"/>
      <c r="N421" s="6" t="n"/>
      <c r="O421" s="6" t="n"/>
      <c r="P421" s="8" t="n"/>
      <c r="Q421" s="7" t="n"/>
      <c r="R421" s="9" t="n"/>
      <c r="S421" s="10">
        <f>IF($C421="","",$I421*$R421)</f>
        <v/>
      </c>
      <c r="T421" s="10">
        <f>IF($C421="","",(IF($N421="Purchased",$H421,0)+$Q421))</f>
        <v/>
      </c>
      <c r="U421" s="10">
        <f>IF($C421="","",$S421-$T421)</f>
        <v/>
      </c>
      <c r="V421" s="11">
        <f>IF(OR($C421="",$I421=0),"",CEILING($T421/$I421,1))</f>
        <v/>
      </c>
      <c r="W421" s="6" t="n"/>
    </row>
    <row r="422">
      <c r="A422" t="inlineStr">
        <is>
          <t>W421</t>
        </is>
      </c>
      <c r="B422" s="6" t="n"/>
      <c r="C422" s="6" t="n"/>
      <c r="D422" s="6" t="n"/>
      <c r="E422" s="6" t="n"/>
      <c r="F422">
        <f>IF(E422="","",IMAGE(E422))</f>
        <v/>
      </c>
      <c r="G422" s="6" t="n"/>
      <c r="H422" s="7" t="n"/>
      <c r="I422" s="7" t="n"/>
      <c r="J422" s="6" t="n"/>
      <c r="K422" s="6" t="n"/>
      <c r="L422" s="6" t="n"/>
      <c r="M422" s="6" t="n"/>
      <c r="N422" s="6" t="n"/>
      <c r="O422" s="6" t="n"/>
      <c r="P422" s="8" t="n"/>
      <c r="Q422" s="7" t="n"/>
      <c r="R422" s="9" t="n"/>
      <c r="S422" s="10">
        <f>IF($C422="","",$I422*$R422)</f>
        <v/>
      </c>
      <c r="T422" s="10">
        <f>IF($C422="","",(IF($N422="Purchased",$H422,0)+$Q422))</f>
        <v/>
      </c>
      <c r="U422" s="10">
        <f>IF($C422="","",$S422-$T422)</f>
        <v/>
      </c>
      <c r="V422" s="11">
        <f>IF(OR($C422="",$I422=0),"",CEILING($T422/$I422,1))</f>
        <v/>
      </c>
      <c r="W422" s="6" t="n"/>
    </row>
    <row r="423">
      <c r="A423" t="inlineStr">
        <is>
          <t>W422</t>
        </is>
      </c>
      <c r="B423" s="6" t="n"/>
      <c r="C423" s="6" t="n"/>
      <c r="D423" s="6" t="n"/>
      <c r="E423" s="6" t="n"/>
      <c r="F423">
        <f>IF(E423="","",IMAGE(E423))</f>
        <v/>
      </c>
      <c r="G423" s="6" t="n"/>
      <c r="H423" s="7" t="n"/>
      <c r="I423" s="7" t="n"/>
      <c r="J423" s="6" t="n"/>
      <c r="K423" s="6" t="n"/>
      <c r="L423" s="6" t="n"/>
      <c r="M423" s="6" t="n"/>
      <c r="N423" s="6" t="n"/>
      <c r="O423" s="6" t="n"/>
      <c r="P423" s="8" t="n"/>
      <c r="Q423" s="7" t="n"/>
      <c r="R423" s="9" t="n"/>
      <c r="S423" s="10">
        <f>IF($C423="","",$I423*$R423)</f>
        <v/>
      </c>
      <c r="T423" s="10">
        <f>IF($C423="","",(IF($N423="Purchased",$H423,0)+$Q423))</f>
        <v/>
      </c>
      <c r="U423" s="10">
        <f>IF($C423="","",$S423-$T423)</f>
        <v/>
      </c>
      <c r="V423" s="11">
        <f>IF(OR($C423="",$I423=0),"",CEILING($T423/$I423,1))</f>
        <v/>
      </c>
      <c r="W423" s="6" t="n"/>
    </row>
    <row r="424">
      <c r="A424" t="inlineStr">
        <is>
          <t>W423</t>
        </is>
      </c>
      <c r="B424" s="6" t="n"/>
      <c r="C424" s="6" t="n"/>
      <c r="D424" s="6" t="n"/>
      <c r="E424" s="6" t="n"/>
      <c r="F424">
        <f>IF(E424="","",IMAGE(E424))</f>
        <v/>
      </c>
      <c r="G424" s="6" t="n"/>
      <c r="H424" s="7" t="n"/>
      <c r="I424" s="7" t="n"/>
      <c r="J424" s="6" t="n"/>
      <c r="K424" s="6" t="n"/>
      <c r="L424" s="6" t="n"/>
      <c r="M424" s="6" t="n"/>
      <c r="N424" s="6" t="n"/>
      <c r="O424" s="6" t="n"/>
      <c r="P424" s="8" t="n"/>
      <c r="Q424" s="7" t="n"/>
      <c r="R424" s="9" t="n"/>
      <c r="S424" s="10">
        <f>IF($C424="","",$I424*$R424)</f>
        <v/>
      </c>
      <c r="T424" s="10">
        <f>IF($C424="","",(IF($N424="Purchased",$H424,0)+$Q424))</f>
        <v/>
      </c>
      <c r="U424" s="10">
        <f>IF($C424="","",$S424-$T424)</f>
        <v/>
      </c>
      <c r="V424" s="11">
        <f>IF(OR($C424="",$I424=0),"",CEILING($T424/$I424,1))</f>
        <v/>
      </c>
      <c r="W424" s="6" t="n"/>
    </row>
    <row r="425">
      <c r="A425" t="inlineStr">
        <is>
          <t>W424</t>
        </is>
      </c>
      <c r="B425" s="6" t="n"/>
      <c r="C425" s="6" t="n"/>
      <c r="D425" s="6" t="n"/>
      <c r="E425" s="6" t="n"/>
      <c r="F425">
        <f>IF(E425="","",IMAGE(E425))</f>
        <v/>
      </c>
      <c r="G425" s="6" t="n"/>
      <c r="H425" s="7" t="n"/>
      <c r="I425" s="7" t="n"/>
      <c r="J425" s="6" t="n"/>
      <c r="K425" s="6" t="n"/>
      <c r="L425" s="6" t="n"/>
      <c r="M425" s="6" t="n"/>
      <c r="N425" s="6" t="n"/>
      <c r="O425" s="6" t="n"/>
      <c r="P425" s="8" t="n"/>
      <c r="Q425" s="7" t="n"/>
      <c r="R425" s="9" t="n"/>
      <c r="S425" s="10">
        <f>IF($C425="","",$I425*$R425)</f>
        <v/>
      </c>
      <c r="T425" s="10">
        <f>IF($C425="","",(IF($N425="Purchased",$H425,0)+$Q425))</f>
        <v/>
      </c>
      <c r="U425" s="10">
        <f>IF($C425="","",$S425-$T425)</f>
        <v/>
      </c>
      <c r="V425" s="11">
        <f>IF(OR($C425="",$I425=0),"",CEILING($T425/$I425,1))</f>
        <v/>
      </c>
      <c r="W425" s="6" t="n"/>
    </row>
    <row r="426">
      <c r="A426" t="inlineStr">
        <is>
          <t>W425</t>
        </is>
      </c>
      <c r="B426" s="6" t="n"/>
      <c r="C426" s="6" t="n"/>
      <c r="D426" s="6" t="n"/>
      <c r="E426" s="6" t="n"/>
      <c r="F426">
        <f>IF(E426="","",IMAGE(E426))</f>
        <v/>
      </c>
      <c r="G426" s="6" t="n"/>
      <c r="H426" s="7" t="n"/>
      <c r="I426" s="7" t="n"/>
      <c r="J426" s="6" t="n"/>
      <c r="K426" s="6" t="n"/>
      <c r="L426" s="6" t="n"/>
      <c r="M426" s="6" t="n"/>
      <c r="N426" s="6" t="n"/>
      <c r="O426" s="6" t="n"/>
      <c r="P426" s="8" t="n"/>
      <c r="Q426" s="7" t="n"/>
      <c r="R426" s="9" t="n"/>
      <c r="S426" s="10">
        <f>IF($C426="","",$I426*$R426)</f>
        <v/>
      </c>
      <c r="T426" s="10">
        <f>IF($C426="","",(IF($N426="Purchased",$H426,0)+$Q426))</f>
        <v/>
      </c>
      <c r="U426" s="10">
        <f>IF($C426="","",$S426-$T426)</f>
        <v/>
      </c>
      <c r="V426" s="11">
        <f>IF(OR($C426="",$I426=0),"",CEILING($T426/$I426,1))</f>
        <v/>
      </c>
      <c r="W426" s="6" t="n"/>
    </row>
    <row r="427">
      <c r="A427" t="inlineStr">
        <is>
          <t>W426</t>
        </is>
      </c>
      <c r="B427" s="6" t="n"/>
      <c r="C427" s="6" t="n"/>
      <c r="D427" s="6" t="n"/>
      <c r="E427" s="6" t="n"/>
      <c r="F427">
        <f>IF(E427="","",IMAGE(E427))</f>
        <v/>
      </c>
      <c r="G427" s="6" t="n"/>
      <c r="H427" s="7" t="n"/>
      <c r="I427" s="7" t="n"/>
      <c r="J427" s="6" t="n"/>
      <c r="K427" s="6" t="n"/>
      <c r="L427" s="6" t="n"/>
      <c r="M427" s="6" t="n"/>
      <c r="N427" s="6" t="n"/>
      <c r="O427" s="6" t="n"/>
      <c r="P427" s="8" t="n"/>
      <c r="Q427" s="7" t="n"/>
      <c r="R427" s="9" t="n"/>
      <c r="S427" s="10">
        <f>IF($C427="","",$I427*$R427)</f>
        <v/>
      </c>
      <c r="T427" s="10">
        <f>IF($C427="","",(IF($N427="Purchased",$H427,0)+$Q427))</f>
        <v/>
      </c>
      <c r="U427" s="10">
        <f>IF($C427="","",$S427-$T427)</f>
        <v/>
      </c>
      <c r="V427" s="11">
        <f>IF(OR($C427="",$I427=0),"",CEILING($T427/$I427,1))</f>
        <v/>
      </c>
      <c r="W427" s="6" t="n"/>
    </row>
    <row r="428">
      <c r="A428" t="inlineStr">
        <is>
          <t>W427</t>
        </is>
      </c>
      <c r="B428" s="6" t="n"/>
      <c r="C428" s="6" t="n"/>
      <c r="D428" s="6" t="n"/>
      <c r="E428" s="6" t="n"/>
      <c r="F428">
        <f>IF(E428="","",IMAGE(E428))</f>
        <v/>
      </c>
      <c r="G428" s="6" t="n"/>
      <c r="H428" s="7" t="n"/>
      <c r="I428" s="7" t="n"/>
      <c r="J428" s="6" t="n"/>
      <c r="K428" s="6" t="n"/>
      <c r="L428" s="6" t="n"/>
      <c r="M428" s="6" t="n"/>
      <c r="N428" s="6" t="n"/>
      <c r="O428" s="6" t="n"/>
      <c r="P428" s="8" t="n"/>
      <c r="Q428" s="7" t="n"/>
      <c r="R428" s="9" t="n"/>
      <c r="S428" s="10">
        <f>IF($C428="","",$I428*$R428)</f>
        <v/>
      </c>
      <c r="T428" s="10">
        <f>IF($C428="","",(IF($N428="Purchased",$H428,0)+$Q428))</f>
        <v/>
      </c>
      <c r="U428" s="10">
        <f>IF($C428="","",$S428-$T428)</f>
        <v/>
      </c>
      <c r="V428" s="11">
        <f>IF(OR($C428="",$I428=0),"",CEILING($T428/$I428,1))</f>
        <v/>
      </c>
      <c r="W428" s="6" t="n"/>
    </row>
    <row r="429">
      <c r="A429" t="inlineStr">
        <is>
          <t>W428</t>
        </is>
      </c>
      <c r="B429" s="6" t="n"/>
      <c r="C429" s="6" t="n"/>
      <c r="D429" s="6" t="n"/>
      <c r="E429" s="6" t="n"/>
      <c r="F429">
        <f>IF(E429="","",IMAGE(E429))</f>
        <v/>
      </c>
      <c r="G429" s="6" t="n"/>
      <c r="H429" s="7" t="n"/>
      <c r="I429" s="7" t="n"/>
      <c r="J429" s="6" t="n"/>
      <c r="K429" s="6" t="n"/>
      <c r="L429" s="6" t="n"/>
      <c r="M429" s="6" t="n"/>
      <c r="N429" s="6" t="n"/>
      <c r="O429" s="6" t="n"/>
      <c r="P429" s="8" t="n"/>
      <c r="Q429" s="7" t="n"/>
      <c r="R429" s="9" t="n"/>
      <c r="S429" s="10">
        <f>IF($C429="","",$I429*$R429)</f>
        <v/>
      </c>
      <c r="T429" s="10">
        <f>IF($C429="","",(IF($N429="Purchased",$H429,0)+$Q429))</f>
        <v/>
      </c>
      <c r="U429" s="10">
        <f>IF($C429="","",$S429-$T429)</f>
        <v/>
      </c>
      <c r="V429" s="11">
        <f>IF(OR($C429="",$I429=0),"",CEILING($T429/$I429,1))</f>
        <v/>
      </c>
      <c r="W429" s="6" t="n"/>
    </row>
    <row r="430">
      <c r="A430" t="inlineStr">
        <is>
          <t>W429</t>
        </is>
      </c>
      <c r="B430" s="6" t="n"/>
      <c r="C430" s="6" t="n"/>
      <c r="D430" s="6" t="n"/>
      <c r="E430" s="6" t="n"/>
      <c r="F430">
        <f>IF(E430="","",IMAGE(E430))</f>
        <v/>
      </c>
      <c r="G430" s="6" t="n"/>
      <c r="H430" s="7" t="n"/>
      <c r="I430" s="7" t="n"/>
      <c r="J430" s="6" t="n"/>
      <c r="K430" s="6" t="n"/>
      <c r="L430" s="6" t="n"/>
      <c r="M430" s="6" t="n"/>
      <c r="N430" s="6" t="n"/>
      <c r="O430" s="6" t="n"/>
      <c r="P430" s="8" t="n"/>
      <c r="Q430" s="7" t="n"/>
      <c r="R430" s="9" t="n"/>
      <c r="S430" s="10">
        <f>IF($C430="","",$I430*$R430)</f>
        <v/>
      </c>
      <c r="T430" s="10">
        <f>IF($C430="","",(IF($N430="Purchased",$H430,0)+$Q430))</f>
        <v/>
      </c>
      <c r="U430" s="10">
        <f>IF($C430="","",$S430-$T430)</f>
        <v/>
      </c>
      <c r="V430" s="11">
        <f>IF(OR($C430="",$I430=0),"",CEILING($T430/$I430,1))</f>
        <v/>
      </c>
      <c r="W430" s="6" t="n"/>
    </row>
    <row r="431">
      <c r="A431" t="inlineStr">
        <is>
          <t>W430</t>
        </is>
      </c>
      <c r="B431" s="6" t="n"/>
      <c r="C431" s="6" t="n"/>
      <c r="D431" s="6" t="n"/>
      <c r="E431" s="6" t="n"/>
      <c r="F431">
        <f>IF(E431="","",IMAGE(E431))</f>
        <v/>
      </c>
      <c r="G431" s="6" t="n"/>
      <c r="H431" s="7" t="n"/>
      <c r="I431" s="7" t="n"/>
      <c r="J431" s="6" t="n"/>
      <c r="K431" s="6" t="n"/>
      <c r="L431" s="6" t="n"/>
      <c r="M431" s="6" t="n"/>
      <c r="N431" s="6" t="n"/>
      <c r="O431" s="6" t="n"/>
      <c r="P431" s="8" t="n"/>
      <c r="Q431" s="7" t="n"/>
      <c r="R431" s="9" t="n"/>
      <c r="S431" s="10">
        <f>IF($C431="","",$I431*$R431)</f>
        <v/>
      </c>
      <c r="T431" s="10">
        <f>IF($C431="","",(IF($N431="Purchased",$H431,0)+$Q431))</f>
        <v/>
      </c>
      <c r="U431" s="10">
        <f>IF($C431="","",$S431-$T431)</f>
        <v/>
      </c>
      <c r="V431" s="11">
        <f>IF(OR($C431="",$I431=0),"",CEILING($T431/$I431,1))</f>
        <v/>
      </c>
      <c r="W431" s="6" t="n"/>
    </row>
    <row r="432">
      <c r="A432" t="inlineStr">
        <is>
          <t>W431</t>
        </is>
      </c>
      <c r="B432" s="6" t="n"/>
      <c r="C432" s="6" t="n"/>
      <c r="D432" s="6" t="n"/>
      <c r="E432" s="6" t="n"/>
      <c r="F432">
        <f>IF(E432="","",IMAGE(E432))</f>
        <v/>
      </c>
      <c r="G432" s="6" t="n"/>
      <c r="H432" s="7" t="n"/>
      <c r="I432" s="7" t="n"/>
      <c r="J432" s="6" t="n"/>
      <c r="K432" s="6" t="n"/>
      <c r="L432" s="6" t="n"/>
      <c r="M432" s="6" t="n"/>
      <c r="N432" s="6" t="n"/>
      <c r="O432" s="6" t="n"/>
      <c r="P432" s="8" t="n"/>
      <c r="Q432" s="7" t="n"/>
      <c r="R432" s="9" t="n"/>
      <c r="S432" s="10">
        <f>IF($C432="","",$I432*$R432)</f>
        <v/>
      </c>
      <c r="T432" s="10">
        <f>IF($C432="","",(IF($N432="Purchased",$H432,0)+$Q432))</f>
        <v/>
      </c>
      <c r="U432" s="10">
        <f>IF($C432="","",$S432-$T432)</f>
        <v/>
      </c>
      <c r="V432" s="11">
        <f>IF(OR($C432="",$I432=0),"",CEILING($T432/$I432,1))</f>
        <v/>
      </c>
      <c r="W432" s="6" t="n"/>
    </row>
    <row r="433">
      <c r="A433" t="inlineStr">
        <is>
          <t>W432</t>
        </is>
      </c>
      <c r="B433" s="6" t="n"/>
      <c r="C433" s="6" t="n"/>
      <c r="D433" s="6" t="n"/>
      <c r="E433" s="6" t="n"/>
      <c r="F433">
        <f>IF(E433="","",IMAGE(E433))</f>
        <v/>
      </c>
      <c r="G433" s="6" t="n"/>
      <c r="H433" s="7" t="n"/>
      <c r="I433" s="7" t="n"/>
      <c r="J433" s="6" t="n"/>
      <c r="K433" s="6" t="n"/>
      <c r="L433" s="6" t="n"/>
      <c r="M433" s="6" t="n"/>
      <c r="N433" s="6" t="n"/>
      <c r="O433" s="6" t="n"/>
      <c r="P433" s="8" t="n"/>
      <c r="Q433" s="7" t="n"/>
      <c r="R433" s="9" t="n"/>
      <c r="S433" s="10">
        <f>IF($C433="","",$I433*$R433)</f>
        <v/>
      </c>
      <c r="T433" s="10">
        <f>IF($C433="","",(IF($N433="Purchased",$H433,0)+$Q433))</f>
        <v/>
      </c>
      <c r="U433" s="10">
        <f>IF($C433="","",$S433-$T433)</f>
        <v/>
      </c>
      <c r="V433" s="11">
        <f>IF(OR($C433="",$I433=0),"",CEILING($T433/$I433,1))</f>
        <v/>
      </c>
      <c r="W433" s="6" t="n"/>
    </row>
    <row r="434">
      <c r="A434" t="inlineStr">
        <is>
          <t>W433</t>
        </is>
      </c>
      <c r="B434" s="6" t="n"/>
      <c r="C434" s="6" t="n"/>
      <c r="D434" s="6" t="n"/>
      <c r="E434" s="6" t="n"/>
      <c r="F434">
        <f>IF(E434="","",IMAGE(E434))</f>
        <v/>
      </c>
      <c r="G434" s="6" t="n"/>
      <c r="H434" s="7" t="n"/>
      <c r="I434" s="7" t="n"/>
      <c r="J434" s="6" t="n"/>
      <c r="K434" s="6" t="n"/>
      <c r="L434" s="6" t="n"/>
      <c r="M434" s="6" t="n"/>
      <c r="N434" s="6" t="n"/>
      <c r="O434" s="6" t="n"/>
      <c r="P434" s="8" t="n"/>
      <c r="Q434" s="7" t="n"/>
      <c r="R434" s="9" t="n"/>
      <c r="S434" s="10">
        <f>IF($C434="","",$I434*$R434)</f>
        <v/>
      </c>
      <c r="T434" s="10">
        <f>IF($C434="","",(IF($N434="Purchased",$H434,0)+$Q434))</f>
        <v/>
      </c>
      <c r="U434" s="10">
        <f>IF($C434="","",$S434-$T434)</f>
        <v/>
      </c>
      <c r="V434" s="11">
        <f>IF(OR($C434="",$I434=0),"",CEILING($T434/$I434,1))</f>
        <v/>
      </c>
      <c r="W434" s="6" t="n"/>
    </row>
    <row r="435">
      <c r="A435" t="inlineStr">
        <is>
          <t>W434</t>
        </is>
      </c>
      <c r="B435" s="6" t="n"/>
      <c r="C435" s="6" t="n"/>
      <c r="D435" s="6" t="n"/>
      <c r="E435" s="6" t="n"/>
      <c r="F435">
        <f>IF(E435="","",IMAGE(E435))</f>
        <v/>
      </c>
      <c r="G435" s="6" t="n"/>
      <c r="H435" s="7" t="n"/>
      <c r="I435" s="7" t="n"/>
      <c r="J435" s="6" t="n"/>
      <c r="K435" s="6" t="n"/>
      <c r="L435" s="6" t="n"/>
      <c r="M435" s="6" t="n"/>
      <c r="N435" s="6" t="n"/>
      <c r="O435" s="6" t="n"/>
      <c r="P435" s="8" t="n"/>
      <c r="Q435" s="7" t="n"/>
      <c r="R435" s="9" t="n"/>
      <c r="S435" s="10">
        <f>IF($C435="","",$I435*$R435)</f>
        <v/>
      </c>
      <c r="T435" s="10">
        <f>IF($C435="","",(IF($N435="Purchased",$H435,0)+$Q435))</f>
        <v/>
      </c>
      <c r="U435" s="10">
        <f>IF($C435="","",$S435-$T435)</f>
        <v/>
      </c>
      <c r="V435" s="11">
        <f>IF(OR($C435="",$I435=0),"",CEILING($T435/$I435,1))</f>
        <v/>
      </c>
      <c r="W435" s="6" t="n"/>
    </row>
    <row r="436">
      <c r="A436" t="inlineStr">
        <is>
          <t>W435</t>
        </is>
      </c>
      <c r="B436" s="6" t="n"/>
      <c r="C436" s="6" t="n"/>
      <c r="D436" s="6" t="n"/>
      <c r="E436" s="6" t="n"/>
      <c r="F436">
        <f>IF(E436="","",IMAGE(E436))</f>
        <v/>
      </c>
      <c r="G436" s="6" t="n"/>
      <c r="H436" s="7" t="n"/>
      <c r="I436" s="7" t="n"/>
      <c r="J436" s="6" t="n"/>
      <c r="K436" s="6" t="n"/>
      <c r="L436" s="6" t="n"/>
      <c r="M436" s="6" t="n"/>
      <c r="N436" s="6" t="n"/>
      <c r="O436" s="6" t="n"/>
      <c r="P436" s="8" t="n"/>
      <c r="Q436" s="7" t="n"/>
      <c r="R436" s="9" t="n"/>
      <c r="S436" s="10">
        <f>IF($C436="","",$I436*$R436)</f>
        <v/>
      </c>
      <c r="T436" s="10">
        <f>IF($C436="","",(IF($N436="Purchased",$H436,0)+$Q436))</f>
        <v/>
      </c>
      <c r="U436" s="10">
        <f>IF($C436="","",$S436-$T436)</f>
        <v/>
      </c>
      <c r="V436" s="11">
        <f>IF(OR($C436="",$I436=0),"",CEILING($T436/$I436,1))</f>
        <v/>
      </c>
      <c r="W436" s="6" t="n"/>
    </row>
    <row r="437">
      <c r="A437" t="inlineStr">
        <is>
          <t>W436</t>
        </is>
      </c>
      <c r="B437" s="6" t="n"/>
      <c r="C437" s="6" t="n"/>
      <c r="D437" s="6" t="n"/>
      <c r="E437" s="6" t="n"/>
      <c r="F437">
        <f>IF(E437="","",IMAGE(E437))</f>
        <v/>
      </c>
      <c r="G437" s="6" t="n"/>
      <c r="H437" s="7" t="n"/>
      <c r="I437" s="7" t="n"/>
      <c r="J437" s="6" t="n"/>
      <c r="K437" s="6" t="n"/>
      <c r="L437" s="6" t="n"/>
      <c r="M437" s="6" t="n"/>
      <c r="N437" s="6" t="n"/>
      <c r="O437" s="6" t="n"/>
      <c r="P437" s="8" t="n"/>
      <c r="Q437" s="7" t="n"/>
      <c r="R437" s="9" t="n"/>
      <c r="S437" s="10">
        <f>IF($C437="","",$I437*$R437)</f>
        <v/>
      </c>
      <c r="T437" s="10">
        <f>IF($C437="","",(IF($N437="Purchased",$H437,0)+$Q437))</f>
        <v/>
      </c>
      <c r="U437" s="10">
        <f>IF($C437="","",$S437-$T437)</f>
        <v/>
      </c>
      <c r="V437" s="11">
        <f>IF(OR($C437="",$I437=0),"",CEILING($T437/$I437,1))</f>
        <v/>
      </c>
      <c r="W437" s="6" t="n"/>
    </row>
    <row r="438">
      <c r="A438" t="inlineStr">
        <is>
          <t>W437</t>
        </is>
      </c>
      <c r="B438" s="6" t="n"/>
      <c r="C438" s="6" t="n"/>
      <c r="D438" s="6" t="n"/>
      <c r="E438" s="6" t="n"/>
      <c r="F438">
        <f>IF(E438="","",IMAGE(E438))</f>
        <v/>
      </c>
      <c r="G438" s="6" t="n"/>
      <c r="H438" s="7" t="n"/>
      <c r="I438" s="7" t="n"/>
      <c r="J438" s="6" t="n"/>
      <c r="K438" s="6" t="n"/>
      <c r="L438" s="6" t="n"/>
      <c r="M438" s="6" t="n"/>
      <c r="N438" s="6" t="n"/>
      <c r="O438" s="6" t="n"/>
      <c r="P438" s="8" t="n"/>
      <c r="Q438" s="7" t="n"/>
      <c r="R438" s="9" t="n"/>
      <c r="S438" s="10">
        <f>IF($C438="","",$I438*$R438)</f>
        <v/>
      </c>
      <c r="T438" s="10">
        <f>IF($C438="","",(IF($N438="Purchased",$H438,0)+$Q438))</f>
        <v/>
      </c>
      <c r="U438" s="10">
        <f>IF($C438="","",$S438-$T438)</f>
        <v/>
      </c>
      <c r="V438" s="11">
        <f>IF(OR($C438="",$I438=0),"",CEILING($T438/$I438,1))</f>
        <v/>
      </c>
      <c r="W438" s="6" t="n"/>
    </row>
    <row r="439">
      <c r="A439" t="inlineStr">
        <is>
          <t>W438</t>
        </is>
      </c>
      <c r="B439" s="6" t="n"/>
      <c r="C439" s="6" t="n"/>
      <c r="D439" s="6" t="n"/>
      <c r="E439" s="6" t="n"/>
      <c r="F439">
        <f>IF(E439="","",IMAGE(E439))</f>
        <v/>
      </c>
      <c r="G439" s="6" t="n"/>
      <c r="H439" s="7" t="n"/>
      <c r="I439" s="7" t="n"/>
      <c r="J439" s="6" t="n"/>
      <c r="K439" s="6" t="n"/>
      <c r="L439" s="6" t="n"/>
      <c r="M439" s="6" t="n"/>
      <c r="N439" s="6" t="n"/>
      <c r="O439" s="6" t="n"/>
      <c r="P439" s="8" t="n"/>
      <c r="Q439" s="7" t="n"/>
      <c r="R439" s="9" t="n"/>
      <c r="S439" s="10">
        <f>IF($C439="","",$I439*$R439)</f>
        <v/>
      </c>
      <c r="T439" s="10">
        <f>IF($C439="","",(IF($N439="Purchased",$H439,0)+$Q439))</f>
        <v/>
      </c>
      <c r="U439" s="10">
        <f>IF($C439="","",$S439-$T439)</f>
        <v/>
      </c>
      <c r="V439" s="11">
        <f>IF(OR($C439="",$I439=0),"",CEILING($T439/$I439,1))</f>
        <v/>
      </c>
      <c r="W439" s="6" t="n"/>
    </row>
    <row r="440">
      <c r="A440" t="inlineStr">
        <is>
          <t>W439</t>
        </is>
      </c>
      <c r="B440" s="6" t="n"/>
      <c r="C440" s="6" t="n"/>
      <c r="D440" s="6" t="n"/>
      <c r="E440" s="6" t="n"/>
      <c r="F440">
        <f>IF(E440="","",IMAGE(E440))</f>
        <v/>
      </c>
      <c r="G440" s="6" t="n"/>
      <c r="H440" s="7" t="n"/>
      <c r="I440" s="7" t="n"/>
      <c r="J440" s="6" t="n"/>
      <c r="K440" s="6" t="n"/>
      <c r="L440" s="6" t="n"/>
      <c r="M440" s="6" t="n"/>
      <c r="N440" s="6" t="n"/>
      <c r="O440" s="6" t="n"/>
      <c r="P440" s="8" t="n"/>
      <c r="Q440" s="7" t="n"/>
      <c r="R440" s="9" t="n"/>
      <c r="S440" s="10">
        <f>IF($C440="","",$I440*$R440)</f>
        <v/>
      </c>
      <c r="T440" s="10">
        <f>IF($C440="","",(IF($N440="Purchased",$H440,0)+$Q440))</f>
        <v/>
      </c>
      <c r="U440" s="10">
        <f>IF($C440="","",$S440-$T440)</f>
        <v/>
      </c>
      <c r="V440" s="11">
        <f>IF(OR($C440="",$I440=0),"",CEILING($T440/$I440,1))</f>
        <v/>
      </c>
      <c r="W440" s="6" t="n"/>
    </row>
    <row r="441">
      <c r="A441" t="inlineStr">
        <is>
          <t>W440</t>
        </is>
      </c>
      <c r="B441" s="6" t="n"/>
      <c r="C441" s="6" t="n"/>
      <c r="D441" s="6" t="n"/>
      <c r="E441" s="6" t="n"/>
      <c r="F441">
        <f>IF(E441="","",IMAGE(E441))</f>
        <v/>
      </c>
      <c r="G441" s="6" t="n"/>
      <c r="H441" s="7" t="n"/>
      <c r="I441" s="7" t="n"/>
      <c r="J441" s="6" t="n"/>
      <c r="K441" s="6" t="n"/>
      <c r="L441" s="6" t="n"/>
      <c r="M441" s="6" t="n"/>
      <c r="N441" s="6" t="n"/>
      <c r="O441" s="6" t="n"/>
      <c r="P441" s="8" t="n"/>
      <c r="Q441" s="7" t="n"/>
      <c r="R441" s="9" t="n"/>
      <c r="S441" s="10">
        <f>IF($C441="","",$I441*$R441)</f>
        <v/>
      </c>
      <c r="T441" s="10">
        <f>IF($C441="","",(IF($N441="Purchased",$H441,0)+$Q441))</f>
        <v/>
      </c>
      <c r="U441" s="10">
        <f>IF($C441="","",$S441-$T441)</f>
        <v/>
      </c>
      <c r="V441" s="11">
        <f>IF(OR($C441="",$I441=0),"",CEILING($T441/$I441,1))</f>
        <v/>
      </c>
      <c r="W441" s="6" t="n"/>
    </row>
    <row r="442">
      <c r="A442" t="inlineStr">
        <is>
          <t>W441</t>
        </is>
      </c>
      <c r="B442" s="6" t="n"/>
      <c r="C442" s="6" t="n"/>
      <c r="D442" s="6" t="n"/>
      <c r="E442" s="6" t="n"/>
      <c r="F442">
        <f>IF(E442="","",IMAGE(E442))</f>
        <v/>
      </c>
      <c r="G442" s="6" t="n"/>
      <c r="H442" s="7" t="n"/>
      <c r="I442" s="7" t="n"/>
      <c r="J442" s="6" t="n"/>
      <c r="K442" s="6" t="n"/>
      <c r="L442" s="6" t="n"/>
      <c r="M442" s="6" t="n"/>
      <c r="N442" s="6" t="n"/>
      <c r="O442" s="6" t="n"/>
      <c r="P442" s="8" t="n"/>
      <c r="Q442" s="7" t="n"/>
      <c r="R442" s="9" t="n"/>
      <c r="S442" s="10">
        <f>IF($C442="","",$I442*$R442)</f>
        <v/>
      </c>
      <c r="T442" s="10">
        <f>IF($C442="","",(IF($N442="Purchased",$H442,0)+$Q442))</f>
        <v/>
      </c>
      <c r="U442" s="10">
        <f>IF($C442="","",$S442-$T442)</f>
        <v/>
      </c>
      <c r="V442" s="11">
        <f>IF(OR($C442="",$I442=0),"",CEILING($T442/$I442,1))</f>
        <v/>
      </c>
      <c r="W442" s="6" t="n"/>
    </row>
    <row r="443">
      <c r="A443" t="inlineStr">
        <is>
          <t>W442</t>
        </is>
      </c>
      <c r="B443" s="6" t="n"/>
      <c r="C443" s="6" t="n"/>
      <c r="D443" s="6" t="n"/>
      <c r="E443" s="6" t="n"/>
      <c r="F443">
        <f>IF(E443="","",IMAGE(E443))</f>
        <v/>
      </c>
      <c r="G443" s="6" t="n"/>
      <c r="H443" s="7" t="n"/>
      <c r="I443" s="7" t="n"/>
      <c r="J443" s="6" t="n"/>
      <c r="K443" s="6" t="n"/>
      <c r="L443" s="6" t="n"/>
      <c r="M443" s="6" t="n"/>
      <c r="N443" s="6" t="n"/>
      <c r="O443" s="6" t="n"/>
      <c r="P443" s="8" t="n"/>
      <c r="Q443" s="7" t="n"/>
      <c r="R443" s="9" t="n"/>
      <c r="S443" s="10">
        <f>IF($C443="","",$I443*$R443)</f>
        <v/>
      </c>
      <c r="T443" s="10">
        <f>IF($C443="","",(IF($N443="Purchased",$H443,0)+$Q443))</f>
        <v/>
      </c>
      <c r="U443" s="10">
        <f>IF($C443="","",$S443-$T443)</f>
        <v/>
      </c>
      <c r="V443" s="11">
        <f>IF(OR($C443="",$I443=0),"",CEILING($T443/$I443,1))</f>
        <v/>
      </c>
      <c r="W443" s="6" t="n"/>
    </row>
    <row r="444">
      <c r="A444" t="inlineStr">
        <is>
          <t>W443</t>
        </is>
      </c>
      <c r="B444" s="6" t="n"/>
      <c r="C444" s="6" t="n"/>
      <c r="D444" s="6" t="n"/>
      <c r="E444" s="6" t="n"/>
      <c r="F444">
        <f>IF(E444="","",IMAGE(E444))</f>
        <v/>
      </c>
      <c r="G444" s="6" t="n"/>
      <c r="H444" s="7" t="n"/>
      <c r="I444" s="7" t="n"/>
      <c r="J444" s="6" t="n"/>
      <c r="K444" s="6" t="n"/>
      <c r="L444" s="6" t="n"/>
      <c r="M444" s="6" t="n"/>
      <c r="N444" s="6" t="n"/>
      <c r="O444" s="6" t="n"/>
      <c r="P444" s="8" t="n"/>
      <c r="Q444" s="7" t="n"/>
      <c r="R444" s="9" t="n"/>
      <c r="S444" s="10">
        <f>IF($C444="","",$I444*$R444)</f>
        <v/>
      </c>
      <c r="T444" s="10">
        <f>IF($C444="","",(IF($N444="Purchased",$H444,0)+$Q444))</f>
        <v/>
      </c>
      <c r="U444" s="10">
        <f>IF($C444="","",$S444-$T444)</f>
        <v/>
      </c>
      <c r="V444" s="11">
        <f>IF(OR($C444="",$I444=0),"",CEILING($T444/$I444,1))</f>
        <v/>
      </c>
      <c r="W444" s="6" t="n"/>
    </row>
    <row r="445">
      <c r="A445" t="inlineStr">
        <is>
          <t>W444</t>
        </is>
      </c>
      <c r="B445" s="6" t="n"/>
      <c r="C445" s="6" t="n"/>
      <c r="D445" s="6" t="n"/>
      <c r="E445" s="6" t="n"/>
      <c r="F445">
        <f>IF(E445="","",IMAGE(E445))</f>
        <v/>
      </c>
      <c r="G445" s="6" t="n"/>
      <c r="H445" s="7" t="n"/>
      <c r="I445" s="7" t="n"/>
      <c r="J445" s="6" t="n"/>
      <c r="K445" s="6" t="n"/>
      <c r="L445" s="6" t="n"/>
      <c r="M445" s="6" t="n"/>
      <c r="N445" s="6" t="n"/>
      <c r="O445" s="6" t="n"/>
      <c r="P445" s="8" t="n"/>
      <c r="Q445" s="7" t="n"/>
      <c r="R445" s="9" t="n"/>
      <c r="S445" s="10">
        <f>IF($C445="","",$I445*$R445)</f>
        <v/>
      </c>
      <c r="T445" s="10">
        <f>IF($C445="","",(IF($N445="Purchased",$H445,0)+$Q445))</f>
        <v/>
      </c>
      <c r="U445" s="10">
        <f>IF($C445="","",$S445-$T445)</f>
        <v/>
      </c>
      <c r="V445" s="11">
        <f>IF(OR($C445="",$I445=0),"",CEILING($T445/$I445,1))</f>
        <v/>
      </c>
      <c r="W445" s="6" t="n"/>
    </row>
    <row r="446">
      <c r="A446" t="inlineStr">
        <is>
          <t>W445</t>
        </is>
      </c>
      <c r="B446" s="6" t="n"/>
      <c r="C446" s="6" t="n"/>
      <c r="D446" s="6" t="n"/>
      <c r="E446" s="6" t="n"/>
      <c r="F446">
        <f>IF(E446="","",IMAGE(E446))</f>
        <v/>
      </c>
      <c r="G446" s="6" t="n"/>
      <c r="H446" s="7" t="n"/>
      <c r="I446" s="7" t="n"/>
      <c r="J446" s="6" t="n"/>
      <c r="K446" s="6" t="n"/>
      <c r="L446" s="6" t="n"/>
      <c r="M446" s="6" t="n"/>
      <c r="N446" s="6" t="n"/>
      <c r="O446" s="6" t="n"/>
      <c r="P446" s="8" t="n"/>
      <c r="Q446" s="7" t="n"/>
      <c r="R446" s="9" t="n"/>
      <c r="S446" s="10">
        <f>IF($C446="","",$I446*$R446)</f>
        <v/>
      </c>
      <c r="T446" s="10">
        <f>IF($C446="","",(IF($N446="Purchased",$H446,0)+$Q446))</f>
        <v/>
      </c>
      <c r="U446" s="10">
        <f>IF($C446="","",$S446-$T446)</f>
        <v/>
      </c>
      <c r="V446" s="11">
        <f>IF(OR($C446="",$I446=0),"",CEILING($T446/$I446,1))</f>
        <v/>
      </c>
      <c r="W446" s="6" t="n"/>
    </row>
    <row r="447">
      <c r="A447" t="inlineStr">
        <is>
          <t>W446</t>
        </is>
      </c>
      <c r="B447" s="6" t="n"/>
      <c r="C447" s="6" t="n"/>
      <c r="D447" s="6" t="n"/>
      <c r="E447" s="6" t="n"/>
      <c r="F447">
        <f>IF(E447="","",IMAGE(E447))</f>
        <v/>
      </c>
      <c r="G447" s="6" t="n"/>
      <c r="H447" s="7" t="n"/>
      <c r="I447" s="7" t="n"/>
      <c r="J447" s="6" t="n"/>
      <c r="K447" s="6" t="n"/>
      <c r="L447" s="6" t="n"/>
      <c r="M447" s="6" t="n"/>
      <c r="N447" s="6" t="n"/>
      <c r="O447" s="6" t="n"/>
      <c r="P447" s="8" t="n"/>
      <c r="Q447" s="7" t="n"/>
      <c r="R447" s="9" t="n"/>
      <c r="S447" s="10">
        <f>IF($C447="","",$I447*$R447)</f>
        <v/>
      </c>
      <c r="T447" s="10">
        <f>IF($C447="","",(IF($N447="Purchased",$H447,0)+$Q447))</f>
        <v/>
      </c>
      <c r="U447" s="10">
        <f>IF($C447="","",$S447-$T447)</f>
        <v/>
      </c>
      <c r="V447" s="11">
        <f>IF(OR($C447="",$I447=0),"",CEILING($T447/$I447,1))</f>
        <v/>
      </c>
      <c r="W447" s="6" t="n"/>
    </row>
    <row r="448">
      <c r="A448" t="inlineStr">
        <is>
          <t>W447</t>
        </is>
      </c>
      <c r="B448" s="6" t="n"/>
      <c r="C448" s="6" t="n"/>
      <c r="D448" s="6" t="n"/>
      <c r="E448" s="6" t="n"/>
      <c r="F448">
        <f>IF(E448="","",IMAGE(E448))</f>
        <v/>
      </c>
      <c r="G448" s="6" t="n"/>
      <c r="H448" s="7" t="n"/>
      <c r="I448" s="7" t="n"/>
      <c r="J448" s="6" t="n"/>
      <c r="K448" s="6" t="n"/>
      <c r="L448" s="6" t="n"/>
      <c r="M448" s="6" t="n"/>
      <c r="N448" s="6" t="n"/>
      <c r="O448" s="6" t="n"/>
      <c r="P448" s="8" t="n"/>
      <c r="Q448" s="7" t="n"/>
      <c r="R448" s="9" t="n"/>
      <c r="S448" s="10">
        <f>IF($C448="","",$I448*$R448)</f>
        <v/>
      </c>
      <c r="T448" s="10">
        <f>IF($C448="","",(IF($N448="Purchased",$H448,0)+$Q448))</f>
        <v/>
      </c>
      <c r="U448" s="10">
        <f>IF($C448="","",$S448-$T448)</f>
        <v/>
      </c>
      <c r="V448" s="11">
        <f>IF(OR($C448="",$I448=0),"",CEILING($T448/$I448,1))</f>
        <v/>
      </c>
      <c r="W448" s="6" t="n"/>
    </row>
    <row r="449">
      <c r="A449" t="inlineStr">
        <is>
          <t>W448</t>
        </is>
      </c>
      <c r="B449" s="6" t="n"/>
      <c r="C449" s="6" t="n"/>
      <c r="D449" s="6" t="n"/>
      <c r="E449" s="6" t="n"/>
      <c r="F449">
        <f>IF(E449="","",IMAGE(E449))</f>
        <v/>
      </c>
      <c r="G449" s="6" t="n"/>
      <c r="H449" s="7" t="n"/>
      <c r="I449" s="7" t="n"/>
      <c r="J449" s="6" t="n"/>
      <c r="K449" s="6" t="n"/>
      <c r="L449" s="6" t="n"/>
      <c r="M449" s="6" t="n"/>
      <c r="N449" s="6" t="n"/>
      <c r="O449" s="6" t="n"/>
      <c r="P449" s="8" t="n"/>
      <c r="Q449" s="7" t="n"/>
      <c r="R449" s="9" t="n"/>
      <c r="S449" s="10">
        <f>IF($C449="","",$I449*$R449)</f>
        <v/>
      </c>
      <c r="T449" s="10">
        <f>IF($C449="","",(IF($N449="Purchased",$H449,0)+$Q449))</f>
        <v/>
      </c>
      <c r="U449" s="10">
        <f>IF($C449="","",$S449-$T449)</f>
        <v/>
      </c>
      <c r="V449" s="11">
        <f>IF(OR($C449="",$I449=0),"",CEILING($T449/$I449,1))</f>
        <v/>
      </c>
      <c r="W449" s="6" t="n"/>
    </row>
    <row r="450">
      <c r="A450" t="inlineStr">
        <is>
          <t>W449</t>
        </is>
      </c>
      <c r="B450" s="6" t="n"/>
      <c r="C450" s="6" t="n"/>
      <c r="D450" s="6" t="n"/>
      <c r="E450" s="6" t="n"/>
      <c r="F450">
        <f>IF(E450="","",IMAGE(E450))</f>
        <v/>
      </c>
      <c r="G450" s="6" t="n"/>
      <c r="H450" s="7" t="n"/>
      <c r="I450" s="7" t="n"/>
      <c r="J450" s="6" t="n"/>
      <c r="K450" s="6" t="n"/>
      <c r="L450" s="6" t="n"/>
      <c r="M450" s="6" t="n"/>
      <c r="N450" s="6" t="n"/>
      <c r="O450" s="6" t="n"/>
      <c r="P450" s="8" t="n"/>
      <c r="Q450" s="7" t="n"/>
      <c r="R450" s="9" t="n"/>
      <c r="S450" s="10">
        <f>IF($C450="","",$I450*$R450)</f>
        <v/>
      </c>
      <c r="T450" s="10">
        <f>IF($C450="","",(IF($N450="Purchased",$H450,0)+$Q450))</f>
        <v/>
      </c>
      <c r="U450" s="10">
        <f>IF($C450="","",$S450-$T450)</f>
        <v/>
      </c>
      <c r="V450" s="11">
        <f>IF(OR($C450="",$I450=0),"",CEILING($T450/$I450,1))</f>
        <v/>
      </c>
      <c r="W450" s="6" t="n"/>
    </row>
    <row r="451">
      <c r="A451" t="inlineStr">
        <is>
          <t>W450</t>
        </is>
      </c>
      <c r="B451" s="6" t="n"/>
      <c r="C451" s="6" t="n"/>
      <c r="D451" s="6" t="n"/>
      <c r="E451" s="6" t="n"/>
      <c r="F451">
        <f>IF(E451="","",IMAGE(E451))</f>
        <v/>
      </c>
      <c r="G451" s="6" t="n"/>
      <c r="H451" s="7" t="n"/>
      <c r="I451" s="7" t="n"/>
      <c r="J451" s="6" t="n"/>
      <c r="K451" s="6" t="n"/>
      <c r="L451" s="6" t="n"/>
      <c r="M451" s="6" t="n"/>
      <c r="N451" s="6" t="n"/>
      <c r="O451" s="6" t="n"/>
      <c r="P451" s="8" t="n"/>
      <c r="Q451" s="7" t="n"/>
      <c r="R451" s="9" t="n"/>
      <c r="S451" s="10">
        <f>IF($C451="","",$I451*$R451)</f>
        <v/>
      </c>
      <c r="T451" s="10">
        <f>IF($C451="","",(IF($N451="Purchased",$H451,0)+$Q451))</f>
        <v/>
      </c>
      <c r="U451" s="10">
        <f>IF($C451="","",$S451-$T451)</f>
        <v/>
      </c>
      <c r="V451" s="11">
        <f>IF(OR($C451="",$I451=0),"",CEILING($T451/$I451,1))</f>
        <v/>
      </c>
      <c r="W451" s="6" t="n"/>
    </row>
    <row r="452">
      <c r="A452" t="inlineStr">
        <is>
          <t>W451</t>
        </is>
      </c>
      <c r="B452" s="6" t="n"/>
      <c r="C452" s="6" t="n"/>
      <c r="D452" s="6" t="n"/>
      <c r="E452" s="6" t="n"/>
      <c r="F452">
        <f>IF(E452="","",IMAGE(E452))</f>
        <v/>
      </c>
      <c r="G452" s="6" t="n"/>
      <c r="H452" s="7" t="n"/>
      <c r="I452" s="7" t="n"/>
      <c r="J452" s="6" t="n"/>
      <c r="K452" s="6" t="n"/>
      <c r="L452" s="6" t="n"/>
      <c r="M452" s="6" t="n"/>
      <c r="N452" s="6" t="n"/>
      <c r="O452" s="6" t="n"/>
      <c r="P452" s="8" t="n"/>
      <c r="Q452" s="7" t="n"/>
      <c r="R452" s="9" t="n"/>
      <c r="S452" s="10">
        <f>IF($C452="","",$I452*$R452)</f>
        <v/>
      </c>
      <c r="T452" s="10">
        <f>IF($C452="","",(IF($N452="Purchased",$H452,0)+$Q452))</f>
        <v/>
      </c>
      <c r="U452" s="10">
        <f>IF($C452="","",$S452-$T452)</f>
        <v/>
      </c>
      <c r="V452" s="11">
        <f>IF(OR($C452="",$I452=0),"",CEILING($T452/$I452,1))</f>
        <v/>
      </c>
      <c r="W452" s="6" t="n"/>
    </row>
    <row r="453">
      <c r="A453" t="inlineStr">
        <is>
          <t>W452</t>
        </is>
      </c>
      <c r="B453" s="6" t="n"/>
      <c r="C453" s="6" t="n"/>
      <c r="D453" s="6" t="n"/>
      <c r="E453" s="6" t="n"/>
      <c r="F453">
        <f>IF(E453="","",IMAGE(E453))</f>
        <v/>
      </c>
      <c r="G453" s="6" t="n"/>
      <c r="H453" s="7" t="n"/>
      <c r="I453" s="7" t="n"/>
      <c r="J453" s="6" t="n"/>
      <c r="K453" s="6" t="n"/>
      <c r="L453" s="6" t="n"/>
      <c r="M453" s="6" t="n"/>
      <c r="N453" s="6" t="n"/>
      <c r="O453" s="6" t="n"/>
      <c r="P453" s="8" t="n"/>
      <c r="Q453" s="7" t="n"/>
      <c r="R453" s="9" t="n"/>
      <c r="S453" s="10">
        <f>IF($C453="","",$I453*$R453)</f>
        <v/>
      </c>
      <c r="T453" s="10">
        <f>IF($C453="","",(IF($N453="Purchased",$H453,0)+$Q453))</f>
        <v/>
      </c>
      <c r="U453" s="10">
        <f>IF($C453="","",$S453-$T453)</f>
        <v/>
      </c>
      <c r="V453" s="11">
        <f>IF(OR($C453="",$I453=0),"",CEILING($T453/$I453,1))</f>
        <v/>
      </c>
      <c r="W453" s="6" t="n"/>
    </row>
    <row r="454">
      <c r="A454" t="inlineStr">
        <is>
          <t>W453</t>
        </is>
      </c>
      <c r="B454" s="6" t="n"/>
      <c r="C454" s="6" t="n"/>
      <c r="D454" s="6" t="n"/>
      <c r="E454" s="6" t="n"/>
      <c r="F454">
        <f>IF(E454="","",IMAGE(E454))</f>
        <v/>
      </c>
      <c r="G454" s="6" t="n"/>
      <c r="H454" s="7" t="n"/>
      <c r="I454" s="7" t="n"/>
      <c r="J454" s="6" t="n"/>
      <c r="K454" s="6" t="n"/>
      <c r="L454" s="6" t="n"/>
      <c r="M454" s="6" t="n"/>
      <c r="N454" s="6" t="n"/>
      <c r="O454" s="6" t="n"/>
      <c r="P454" s="8" t="n"/>
      <c r="Q454" s="7" t="n"/>
      <c r="R454" s="9" t="n"/>
      <c r="S454" s="10">
        <f>IF($C454="","",$I454*$R454)</f>
        <v/>
      </c>
      <c r="T454" s="10">
        <f>IF($C454="","",(IF($N454="Purchased",$H454,0)+$Q454))</f>
        <v/>
      </c>
      <c r="U454" s="10">
        <f>IF($C454="","",$S454-$T454)</f>
        <v/>
      </c>
      <c r="V454" s="11">
        <f>IF(OR($C454="",$I454=0),"",CEILING($T454/$I454,1))</f>
        <v/>
      </c>
      <c r="W454" s="6" t="n"/>
    </row>
    <row r="455">
      <c r="A455" t="inlineStr">
        <is>
          <t>W454</t>
        </is>
      </c>
      <c r="B455" s="6" t="n"/>
      <c r="C455" s="6" t="n"/>
      <c r="D455" s="6" t="n"/>
      <c r="E455" s="6" t="n"/>
      <c r="F455">
        <f>IF(E455="","",IMAGE(E455))</f>
        <v/>
      </c>
      <c r="G455" s="6" t="n"/>
      <c r="H455" s="7" t="n"/>
      <c r="I455" s="7" t="n"/>
      <c r="J455" s="6" t="n"/>
      <c r="K455" s="6" t="n"/>
      <c r="L455" s="6" t="n"/>
      <c r="M455" s="6" t="n"/>
      <c r="N455" s="6" t="n"/>
      <c r="O455" s="6" t="n"/>
      <c r="P455" s="8" t="n"/>
      <c r="Q455" s="7" t="n"/>
      <c r="R455" s="9" t="n"/>
      <c r="S455" s="10">
        <f>IF($C455="","",$I455*$R455)</f>
        <v/>
      </c>
      <c r="T455" s="10">
        <f>IF($C455="","",(IF($N455="Purchased",$H455,0)+$Q455))</f>
        <v/>
      </c>
      <c r="U455" s="10">
        <f>IF($C455="","",$S455-$T455)</f>
        <v/>
      </c>
      <c r="V455" s="11">
        <f>IF(OR($C455="",$I455=0),"",CEILING($T455/$I455,1))</f>
        <v/>
      </c>
      <c r="W455" s="6" t="n"/>
    </row>
    <row r="456">
      <c r="A456" t="inlineStr">
        <is>
          <t>W455</t>
        </is>
      </c>
      <c r="B456" s="6" t="n"/>
      <c r="C456" s="6" t="n"/>
      <c r="D456" s="6" t="n"/>
      <c r="E456" s="6" t="n"/>
      <c r="F456">
        <f>IF(E456="","",IMAGE(E456))</f>
        <v/>
      </c>
      <c r="G456" s="6" t="n"/>
      <c r="H456" s="7" t="n"/>
      <c r="I456" s="7" t="n"/>
      <c r="J456" s="6" t="n"/>
      <c r="K456" s="6" t="n"/>
      <c r="L456" s="6" t="n"/>
      <c r="M456" s="6" t="n"/>
      <c r="N456" s="6" t="n"/>
      <c r="O456" s="6" t="n"/>
      <c r="P456" s="8" t="n"/>
      <c r="Q456" s="7" t="n"/>
      <c r="R456" s="9" t="n"/>
      <c r="S456" s="10">
        <f>IF($C456="","",$I456*$R456)</f>
        <v/>
      </c>
      <c r="T456" s="10">
        <f>IF($C456="","",(IF($N456="Purchased",$H456,0)+$Q456))</f>
        <v/>
      </c>
      <c r="U456" s="10">
        <f>IF($C456="","",$S456-$T456)</f>
        <v/>
      </c>
      <c r="V456" s="11">
        <f>IF(OR($C456="",$I456=0),"",CEILING($T456/$I456,1))</f>
        <v/>
      </c>
      <c r="W456" s="6" t="n"/>
    </row>
    <row r="457">
      <c r="A457" t="inlineStr">
        <is>
          <t>W456</t>
        </is>
      </c>
      <c r="B457" s="6" t="n"/>
      <c r="C457" s="6" t="n"/>
      <c r="D457" s="6" t="n"/>
      <c r="E457" s="6" t="n"/>
      <c r="F457">
        <f>IF(E457="","",IMAGE(E457))</f>
        <v/>
      </c>
      <c r="G457" s="6" t="n"/>
      <c r="H457" s="7" t="n"/>
      <c r="I457" s="7" t="n"/>
      <c r="J457" s="6" t="n"/>
      <c r="K457" s="6" t="n"/>
      <c r="L457" s="6" t="n"/>
      <c r="M457" s="6" t="n"/>
      <c r="N457" s="6" t="n"/>
      <c r="O457" s="6" t="n"/>
      <c r="P457" s="8" t="n"/>
      <c r="Q457" s="7" t="n"/>
      <c r="R457" s="9" t="n"/>
      <c r="S457" s="10">
        <f>IF($C457="","",$I457*$R457)</f>
        <v/>
      </c>
      <c r="T457" s="10">
        <f>IF($C457="","",(IF($N457="Purchased",$H457,0)+$Q457))</f>
        <v/>
      </c>
      <c r="U457" s="10">
        <f>IF($C457="","",$S457-$T457)</f>
        <v/>
      </c>
      <c r="V457" s="11">
        <f>IF(OR($C457="",$I457=0),"",CEILING($T457/$I457,1))</f>
        <v/>
      </c>
      <c r="W457" s="6" t="n"/>
    </row>
    <row r="458">
      <c r="A458" t="inlineStr">
        <is>
          <t>W457</t>
        </is>
      </c>
      <c r="B458" s="6" t="n"/>
      <c r="C458" s="6" t="n"/>
      <c r="D458" s="6" t="n"/>
      <c r="E458" s="6" t="n"/>
      <c r="F458">
        <f>IF(E458="","",IMAGE(E458))</f>
        <v/>
      </c>
      <c r="G458" s="6" t="n"/>
      <c r="H458" s="7" t="n"/>
      <c r="I458" s="7" t="n"/>
      <c r="J458" s="6" t="n"/>
      <c r="K458" s="6" t="n"/>
      <c r="L458" s="6" t="n"/>
      <c r="M458" s="6" t="n"/>
      <c r="N458" s="6" t="n"/>
      <c r="O458" s="6" t="n"/>
      <c r="P458" s="8" t="n"/>
      <c r="Q458" s="7" t="n"/>
      <c r="R458" s="9" t="n"/>
      <c r="S458" s="10">
        <f>IF($C458="","",$I458*$R458)</f>
        <v/>
      </c>
      <c r="T458" s="10">
        <f>IF($C458="","",(IF($N458="Purchased",$H458,0)+$Q458))</f>
        <v/>
      </c>
      <c r="U458" s="10">
        <f>IF($C458="","",$S458-$T458)</f>
        <v/>
      </c>
      <c r="V458" s="11">
        <f>IF(OR($C458="",$I458=0),"",CEILING($T458/$I458,1))</f>
        <v/>
      </c>
      <c r="W458" s="6" t="n"/>
    </row>
    <row r="459">
      <c r="A459" t="inlineStr">
        <is>
          <t>W458</t>
        </is>
      </c>
      <c r="B459" s="6" t="n"/>
      <c r="C459" s="6" t="n"/>
      <c r="D459" s="6" t="n"/>
      <c r="E459" s="6" t="n"/>
      <c r="F459">
        <f>IF(E459="","",IMAGE(E459))</f>
        <v/>
      </c>
      <c r="G459" s="6" t="n"/>
      <c r="H459" s="7" t="n"/>
      <c r="I459" s="7" t="n"/>
      <c r="J459" s="6" t="n"/>
      <c r="K459" s="6" t="n"/>
      <c r="L459" s="6" t="n"/>
      <c r="M459" s="6" t="n"/>
      <c r="N459" s="6" t="n"/>
      <c r="O459" s="6" t="n"/>
      <c r="P459" s="8" t="n"/>
      <c r="Q459" s="7" t="n"/>
      <c r="R459" s="9" t="n"/>
      <c r="S459" s="10">
        <f>IF($C459="","",$I459*$R459)</f>
        <v/>
      </c>
      <c r="T459" s="10">
        <f>IF($C459="","",(IF($N459="Purchased",$H459,0)+$Q459))</f>
        <v/>
      </c>
      <c r="U459" s="10">
        <f>IF($C459="","",$S459-$T459)</f>
        <v/>
      </c>
      <c r="V459" s="11">
        <f>IF(OR($C459="",$I459=0),"",CEILING($T459/$I459,1))</f>
        <v/>
      </c>
      <c r="W459" s="6" t="n"/>
    </row>
    <row r="460">
      <c r="A460" t="inlineStr">
        <is>
          <t>W459</t>
        </is>
      </c>
      <c r="B460" s="6" t="n"/>
      <c r="C460" s="6" t="n"/>
      <c r="D460" s="6" t="n"/>
      <c r="E460" s="6" t="n"/>
      <c r="F460">
        <f>IF(E460="","",IMAGE(E460))</f>
        <v/>
      </c>
      <c r="G460" s="6" t="n"/>
      <c r="H460" s="7" t="n"/>
      <c r="I460" s="7" t="n"/>
      <c r="J460" s="6" t="n"/>
      <c r="K460" s="6" t="n"/>
      <c r="L460" s="6" t="n"/>
      <c r="M460" s="6" t="n"/>
      <c r="N460" s="6" t="n"/>
      <c r="O460" s="6" t="n"/>
      <c r="P460" s="8" t="n"/>
      <c r="Q460" s="7" t="n"/>
      <c r="R460" s="9" t="n"/>
      <c r="S460" s="10">
        <f>IF($C460="","",$I460*$R460)</f>
        <v/>
      </c>
      <c r="T460" s="10">
        <f>IF($C460="","",(IF($N460="Purchased",$H460,0)+$Q460))</f>
        <v/>
      </c>
      <c r="U460" s="10">
        <f>IF($C460="","",$S460-$T460)</f>
        <v/>
      </c>
      <c r="V460" s="11">
        <f>IF(OR($C460="",$I460=0),"",CEILING($T460/$I460,1))</f>
        <v/>
      </c>
      <c r="W460" s="6" t="n"/>
    </row>
    <row r="461">
      <c r="A461" t="inlineStr">
        <is>
          <t>W460</t>
        </is>
      </c>
      <c r="B461" s="6" t="n"/>
      <c r="C461" s="6" t="n"/>
      <c r="D461" s="6" t="n"/>
      <c r="E461" s="6" t="n"/>
      <c r="F461">
        <f>IF(E461="","",IMAGE(E461))</f>
        <v/>
      </c>
      <c r="G461" s="6" t="n"/>
      <c r="H461" s="7" t="n"/>
      <c r="I461" s="7" t="n"/>
      <c r="J461" s="6" t="n"/>
      <c r="K461" s="6" t="n"/>
      <c r="L461" s="6" t="n"/>
      <c r="M461" s="6" t="n"/>
      <c r="N461" s="6" t="n"/>
      <c r="O461" s="6" t="n"/>
      <c r="P461" s="8" t="n"/>
      <c r="Q461" s="7" t="n"/>
      <c r="R461" s="9" t="n"/>
      <c r="S461" s="10">
        <f>IF($C461="","",$I461*$R461)</f>
        <v/>
      </c>
      <c r="T461" s="10">
        <f>IF($C461="","",(IF($N461="Purchased",$H461,0)+$Q461))</f>
        <v/>
      </c>
      <c r="U461" s="10">
        <f>IF($C461="","",$S461-$T461)</f>
        <v/>
      </c>
      <c r="V461" s="11">
        <f>IF(OR($C461="",$I461=0),"",CEILING($T461/$I461,1))</f>
        <v/>
      </c>
      <c r="W461" s="6" t="n"/>
    </row>
    <row r="462">
      <c r="A462" t="inlineStr">
        <is>
          <t>W461</t>
        </is>
      </c>
      <c r="B462" s="6" t="n"/>
      <c r="C462" s="6" t="n"/>
      <c r="D462" s="6" t="n"/>
      <c r="E462" s="6" t="n"/>
      <c r="F462">
        <f>IF(E462="","",IMAGE(E462))</f>
        <v/>
      </c>
      <c r="G462" s="6" t="n"/>
      <c r="H462" s="7" t="n"/>
      <c r="I462" s="7" t="n"/>
      <c r="J462" s="6" t="n"/>
      <c r="K462" s="6" t="n"/>
      <c r="L462" s="6" t="n"/>
      <c r="M462" s="6" t="n"/>
      <c r="N462" s="6" t="n"/>
      <c r="O462" s="6" t="n"/>
      <c r="P462" s="8" t="n"/>
      <c r="Q462" s="7" t="n"/>
      <c r="R462" s="9" t="n"/>
      <c r="S462" s="10">
        <f>IF($C462="","",$I462*$R462)</f>
        <v/>
      </c>
      <c r="T462" s="10">
        <f>IF($C462="","",(IF($N462="Purchased",$H462,0)+$Q462))</f>
        <v/>
      </c>
      <c r="U462" s="10">
        <f>IF($C462="","",$S462-$T462)</f>
        <v/>
      </c>
      <c r="V462" s="11">
        <f>IF(OR($C462="",$I462=0),"",CEILING($T462/$I462,1))</f>
        <v/>
      </c>
      <c r="W462" s="6" t="n"/>
    </row>
    <row r="463">
      <c r="A463" t="inlineStr">
        <is>
          <t>W462</t>
        </is>
      </c>
      <c r="B463" s="6" t="n"/>
      <c r="C463" s="6" t="n"/>
      <c r="D463" s="6" t="n"/>
      <c r="E463" s="6" t="n"/>
      <c r="F463">
        <f>IF(E463="","",IMAGE(E463))</f>
        <v/>
      </c>
      <c r="G463" s="6" t="n"/>
      <c r="H463" s="7" t="n"/>
      <c r="I463" s="7" t="n"/>
      <c r="J463" s="6" t="n"/>
      <c r="K463" s="6" t="n"/>
      <c r="L463" s="6" t="n"/>
      <c r="M463" s="6" t="n"/>
      <c r="N463" s="6" t="n"/>
      <c r="O463" s="6" t="n"/>
      <c r="P463" s="8" t="n"/>
      <c r="Q463" s="7" t="n"/>
      <c r="R463" s="9" t="n"/>
      <c r="S463" s="10">
        <f>IF($C463="","",$I463*$R463)</f>
        <v/>
      </c>
      <c r="T463" s="10">
        <f>IF($C463="","",(IF($N463="Purchased",$H463,0)+$Q463))</f>
        <v/>
      </c>
      <c r="U463" s="10">
        <f>IF($C463="","",$S463-$T463)</f>
        <v/>
      </c>
      <c r="V463" s="11">
        <f>IF(OR($C463="",$I463=0),"",CEILING($T463/$I463,1))</f>
        <v/>
      </c>
      <c r="W463" s="6" t="n"/>
    </row>
    <row r="464">
      <c r="A464" t="inlineStr">
        <is>
          <t>W463</t>
        </is>
      </c>
      <c r="B464" s="6" t="n"/>
      <c r="C464" s="6" t="n"/>
      <c r="D464" s="6" t="n"/>
      <c r="E464" s="6" t="n"/>
      <c r="F464">
        <f>IF(E464="","",IMAGE(E464))</f>
        <v/>
      </c>
      <c r="G464" s="6" t="n"/>
      <c r="H464" s="7" t="n"/>
      <c r="I464" s="7" t="n"/>
      <c r="J464" s="6" t="n"/>
      <c r="K464" s="6" t="n"/>
      <c r="L464" s="6" t="n"/>
      <c r="M464" s="6" t="n"/>
      <c r="N464" s="6" t="n"/>
      <c r="O464" s="6" t="n"/>
      <c r="P464" s="8" t="n"/>
      <c r="Q464" s="7" t="n"/>
      <c r="R464" s="9" t="n"/>
      <c r="S464" s="10">
        <f>IF($C464="","",$I464*$R464)</f>
        <v/>
      </c>
      <c r="T464" s="10">
        <f>IF($C464="","",(IF($N464="Purchased",$H464,0)+$Q464))</f>
        <v/>
      </c>
      <c r="U464" s="10">
        <f>IF($C464="","",$S464-$T464)</f>
        <v/>
      </c>
      <c r="V464" s="11">
        <f>IF(OR($C464="",$I464=0),"",CEILING($T464/$I464,1))</f>
        <v/>
      </c>
      <c r="W464" s="6" t="n"/>
    </row>
    <row r="465">
      <c r="A465" t="inlineStr">
        <is>
          <t>W464</t>
        </is>
      </c>
      <c r="B465" s="6" t="n"/>
      <c r="C465" s="6" t="n"/>
      <c r="D465" s="6" t="n"/>
      <c r="E465" s="6" t="n"/>
      <c r="F465">
        <f>IF(E465="","",IMAGE(E465))</f>
        <v/>
      </c>
      <c r="G465" s="6" t="n"/>
      <c r="H465" s="7" t="n"/>
      <c r="I465" s="7" t="n"/>
      <c r="J465" s="6" t="n"/>
      <c r="K465" s="6" t="n"/>
      <c r="L465" s="6" t="n"/>
      <c r="M465" s="6" t="n"/>
      <c r="N465" s="6" t="n"/>
      <c r="O465" s="6" t="n"/>
      <c r="P465" s="8" t="n"/>
      <c r="Q465" s="7" t="n"/>
      <c r="R465" s="9" t="n"/>
      <c r="S465" s="10">
        <f>IF($C465="","",$I465*$R465)</f>
        <v/>
      </c>
      <c r="T465" s="10">
        <f>IF($C465="","",(IF($N465="Purchased",$H465,0)+$Q465))</f>
        <v/>
      </c>
      <c r="U465" s="10">
        <f>IF($C465="","",$S465-$T465)</f>
        <v/>
      </c>
      <c r="V465" s="11">
        <f>IF(OR($C465="",$I465=0),"",CEILING($T465/$I465,1))</f>
        <v/>
      </c>
      <c r="W465" s="6" t="n"/>
    </row>
    <row r="466">
      <c r="A466" t="inlineStr">
        <is>
          <t>W465</t>
        </is>
      </c>
      <c r="B466" s="6" t="n"/>
      <c r="C466" s="6" t="n"/>
      <c r="D466" s="6" t="n"/>
      <c r="E466" s="6" t="n"/>
      <c r="F466">
        <f>IF(E466="","",IMAGE(E466))</f>
        <v/>
      </c>
      <c r="G466" s="6" t="n"/>
      <c r="H466" s="7" t="n"/>
      <c r="I466" s="7" t="n"/>
      <c r="J466" s="6" t="n"/>
      <c r="K466" s="6" t="n"/>
      <c r="L466" s="6" t="n"/>
      <c r="M466" s="6" t="n"/>
      <c r="N466" s="6" t="n"/>
      <c r="O466" s="6" t="n"/>
      <c r="P466" s="8" t="n"/>
      <c r="Q466" s="7" t="n"/>
      <c r="R466" s="9" t="n"/>
      <c r="S466" s="10">
        <f>IF($C466="","",$I466*$R466)</f>
        <v/>
      </c>
      <c r="T466" s="10">
        <f>IF($C466="","",(IF($N466="Purchased",$H466,0)+$Q466))</f>
        <v/>
      </c>
      <c r="U466" s="10">
        <f>IF($C466="","",$S466-$T466)</f>
        <v/>
      </c>
      <c r="V466" s="11">
        <f>IF(OR($C466="",$I466=0),"",CEILING($T466/$I466,1))</f>
        <v/>
      </c>
      <c r="W466" s="6" t="n"/>
    </row>
    <row r="467">
      <c r="A467" t="inlineStr">
        <is>
          <t>W466</t>
        </is>
      </c>
      <c r="B467" s="6" t="n"/>
      <c r="C467" s="6" t="n"/>
      <c r="D467" s="6" t="n"/>
      <c r="E467" s="6" t="n"/>
      <c r="F467">
        <f>IF(E467="","",IMAGE(E467))</f>
        <v/>
      </c>
      <c r="G467" s="6" t="n"/>
      <c r="H467" s="7" t="n"/>
      <c r="I467" s="7" t="n"/>
      <c r="J467" s="6" t="n"/>
      <c r="K467" s="6" t="n"/>
      <c r="L467" s="6" t="n"/>
      <c r="M467" s="6" t="n"/>
      <c r="N467" s="6" t="n"/>
      <c r="O467" s="6" t="n"/>
      <c r="P467" s="8" t="n"/>
      <c r="Q467" s="7" t="n"/>
      <c r="R467" s="9" t="n"/>
      <c r="S467" s="10">
        <f>IF($C467="","",$I467*$R467)</f>
        <v/>
      </c>
      <c r="T467" s="10">
        <f>IF($C467="","",(IF($N467="Purchased",$H467,0)+$Q467))</f>
        <v/>
      </c>
      <c r="U467" s="10">
        <f>IF($C467="","",$S467-$T467)</f>
        <v/>
      </c>
      <c r="V467" s="11">
        <f>IF(OR($C467="",$I467=0),"",CEILING($T467/$I467,1))</f>
        <v/>
      </c>
      <c r="W467" s="6" t="n"/>
    </row>
    <row r="468">
      <c r="A468" t="inlineStr">
        <is>
          <t>W467</t>
        </is>
      </c>
      <c r="B468" s="6" t="n"/>
      <c r="C468" s="6" t="n"/>
      <c r="D468" s="6" t="n"/>
      <c r="E468" s="6" t="n"/>
      <c r="F468">
        <f>IF(E468="","",IMAGE(E468))</f>
        <v/>
      </c>
      <c r="G468" s="6" t="n"/>
      <c r="H468" s="7" t="n"/>
      <c r="I468" s="7" t="n"/>
      <c r="J468" s="6" t="n"/>
      <c r="K468" s="6" t="n"/>
      <c r="L468" s="6" t="n"/>
      <c r="M468" s="6" t="n"/>
      <c r="N468" s="6" t="n"/>
      <c r="O468" s="6" t="n"/>
      <c r="P468" s="8" t="n"/>
      <c r="Q468" s="7" t="n"/>
      <c r="R468" s="9" t="n"/>
      <c r="S468" s="10">
        <f>IF($C468="","",$I468*$R468)</f>
        <v/>
      </c>
      <c r="T468" s="10">
        <f>IF($C468="","",(IF($N468="Purchased",$H468,0)+$Q468))</f>
        <v/>
      </c>
      <c r="U468" s="10">
        <f>IF($C468="","",$S468-$T468)</f>
        <v/>
      </c>
      <c r="V468" s="11">
        <f>IF(OR($C468="",$I468=0),"",CEILING($T468/$I468,1))</f>
        <v/>
      </c>
      <c r="W468" s="6" t="n"/>
    </row>
    <row r="469">
      <c r="A469" t="inlineStr">
        <is>
          <t>W468</t>
        </is>
      </c>
      <c r="B469" s="6" t="n"/>
      <c r="C469" s="6" t="n"/>
      <c r="D469" s="6" t="n"/>
      <c r="E469" s="6" t="n"/>
      <c r="F469">
        <f>IF(E469="","",IMAGE(E469))</f>
        <v/>
      </c>
      <c r="G469" s="6" t="n"/>
      <c r="H469" s="7" t="n"/>
      <c r="I469" s="7" t="n"/>
      <c r="J469" s="6" t="n"/>
      <c r="K469" s="6" t="n"/>
      <c r="L469" s="6" t="n"/>
      <c r="M469" s="6" t="n"/>
      <c r="N469" s="6" t="n"/>
      <c r="O469" s="6" t="n"/>
      <c r="P469" s="8" t="n"/>
      <c r="Q469" s="7" t="n"/>
      <c r="R469" s="9" t="n"/>
      <c r="S469" s="10">
        <f>IF($C469="","",$I469*$R469)</f>
        <v/>
      </c>
      <c r="T469" s="10">
        <f>IF($C469="","",(IF($N469="Purchased",$H469,0)+$Q469))</f>
        <v/>
      </c>
      <c r="U469" s="10">
        <f>IF($C469="","",$S469-$T469)</f>
        <v/>
      </c>
      <c r="V469" s="11">
        <f>IF(OR($C469="",$I469=0),"",CEILING($T469/$I469,1))</f>
        <v/>
      </c>
      <c r="W469" s="6" t="n"/>
    </row>
    <row r="470">
      <c r="A470" t="inlineStr">
        <is>
          <t>W469</t>
        </is>
      </c>
      <c r="B470" s="6" t="n"/>
      <c r="C470" s="6" t="n"/>
      <c r="D470" s="6" t="n"/>
      <c r="E470" s="6" t="n"/>
      <c r="F470">
        <f>IF(E470="","",IMAGE(E470))</f>
        <v/>
      </c>
      <c r="G470" s="6" t="n"/>
      <c r="H470" s="7" t="n"/>
      <c r="I470" s="7" t="n"/>
      <c r="J470" s="6" t="n"/>
      <c r="K470" s="6" t="n"/>
      <c r="L470" s="6" t="n"/>
      <c r="M470" s="6" t="n"/>
      <c r="N470" s="6" t="n"/>
      <c r="O470" s="6" t="n"/>
      <c r="P470" s="8" t="n"/>
      <c r="Q470" s="7" t="n"/>
      <c r="R470" s="9" t="n"/>
      <c r="S470" s="10">
        <f>IF($C470="","",$I470*$R470)</f>
        <v/>
      </c>
      <c r="T470" s="10">
        <f>IF($C470="","",(IF($N470="Purchased",$H470,0)+$Q470))</f>
        <v/>
      </c>
      <c r="U470" s="10">
        <f>IF($C470="","",$S470-$T470)</f>
        <v/>
      </c>
      <c r="V470" s="11">
        <f>IF(OR($C470="",$I470=0),"",CEILING($T470/$I470,1))</f>
        <v/>
      </c>
      <c r="W470" s="6" t="n"/>
    </row>
    <row r="471">
      <c r="A471" t="inlineStr">
        <is>
          <t>W470</t>
        </is>
      </c>
      <c r="B471" s="6" t="n"/>
      <c r="C471" s="6" t="n"/>
      <c r="D471" s="6" t="n"/>
      <c r="E471" s="6" t="n"/>
      <c r="F471">
        <f>IF(E471="","",IMAGE(E471))</f>
        <v/>
      </c>
      <c r="G471" s="6" t="n"/>
      <c r="H471" s="7" t="n"/>
      <c r="I471" s="7" t="n"/>
      <c r="J471" s="6" t="n"/>
      <c r="K471" s="6" t="n"/>
      <c r="L471" s="6" t="n"/>
      <c r="M471" s="6" t="n"/>
      <c r="N471" s="6" t="n"/>
      <c r="O471" s="6" t="n"/>
      <c r="P471" s="8" t="n"/>
      <c r="Q471" s="7" t="n"/>
      <c r="R471" s="9" t="n"/>
      <c r="S471" s="10">
        <f>IF($C471="","",$I471*$R471)</f>
        <v/>
      </c>
      <c r="T471" s="10">
        <f>IF($C471="","",(IF($N471="Purchased",$H471,0)+$Q471))</f>
        <v/>
      </c>
      <c r="U471" s="10">
        <f>IF($C471="","",$S471-$T471)</f>
        <v/>
      </c>
      <c r="V471" s="11">
        <f>IF(OR($C471="",$I471=0),"",CEILING($T471/$I471,1))</f>
        <v/>
      </c>
      <c r="W471" s="6" t="n"/>
    </row>
    <row r="472">
      <c r="A472" t="inlineStr">
        <is>
          <t>W471</t>
        </is>
      </c>
      <c r="B472" s="6" t="n"/>
      <c r="C472" s="6" t="n"/>
      <c r="D472" s="6" t="n"/>
      <c r="E472" s="6" t="n"/>
      <c r="F472">
        <f>IF(E472="","",IMAGE(E472))</f>
        <v/>
      </c>
      <c r="G472" s="6" t="n"/>
      <c r="H472" s="7" t="n"/>
      <c r="I472" s="7" t="n"/>
      <c r="J472" s="6" t="n"/>
      <c r="K472" s="6" t="n"/>
      <c r="L472" s="6" t="n"/>
      <c r="M472" s="6" t="n"/>
      <c r="N472" s="6" t="n"/>
      <c r="O472" s="6" t="n"/>
      <c r="P472" s="8" t="n"/>
      <c r="Q472" s="7" t="n"/>
      <c r="R472" s="9" t="n"/>
      <c r="S472" s="10">
        <f>IF($C472="","",$I472*$R472)</f>
        <v/>
      </c>
      <c r="T472" s="10">
        <f>IF($C472="","",(IF($N472="Purchased",$H472,0)+$Q472))</f>
        <v/>
      </c>
      <c r="U472" s="10">
        <f>IF($C472="","",$S472-$T472)</f>
        <v/>
      </c>
      <c r="V472" s="11">
        <f>IF(OR($C472="",$I472=0),"",CEILING($T472/$I472,1))</f>
        <v/>
      </c>
      <c r="W472" s="6" t="n"/>
    </row>
    <row r="473">
      <c r="A473" t="inlineStr">
        <is>
          <t>W472</t>
        </is>
      </c>
      <c r="B473" s="6" t="n"/>
      <c r="C473" s="6" t="n"/>
      <c r="D473" s="6" t="n"/>
      <c r="E473" s="6" t="n"/>
      <c r="F473">
        <f>IF(E473="","",IMAGE(E473))</f>
        <v/>
      </c>
      <c r="G473" s="6" t="n"/>
      <c r="H473" s="7" t="n"/>
      <c r="I473" s="7" t="n"/>
      <c r="J473" s="6" t="n"/>
      <c r="K473" s="6" t="n"/>
      <c r="L473" s="6" t="n"/>
      <c r="M473" s="6" t="n"/>
      <c r="N473" s="6" t="n"/>
      <c r="O473" s="6" t="n"/>
      <c r="P473" s="8" t="n"/>
      <c r="Q473" s="7" t="n"/>
      <c r="R473" s="9" t="n"/>
      <c r="S473" s="10">
        <f>IF($C473="","",$I473*$R473)</f>
        <v/>
      </c>
      <c r="T473" s="10">
        <f>IF($C473="","",(IF($N473="Purchased",$H473,0)+$Q473))</f>
        <v/>
      </c>
      <c r="U473" s="10">
        <f>IF($C473="","",$S473-$T473)</f>
        <v/>
      </c>
      <c r="V473" s="11">
        <f>IF(OR($C473="",$I473=0),"",CEILING($T473/$I473,1))</f>
        <v/>
      </c>
      <c r="W473" s="6" t="n"/>
    </row>
    <row r="474">
      <c r="A474" t="inlineStr">
        <is>
          <t>W473</t>
        </is>
      </c>
      <c r="B474" s="6" t="n"/>
      <c r="C474" s="6" t="n"/>
      <c r="D474" s="6" t="n"/>
      <c r="E474" s="6" t="n"/>
      <c r="F474">
        <f>IF(E474="","",IMAGE(E474))</f>
        <v/>
      </c>
      <c r="G474" s="6" t="n"/>
      <c r="H474" s="7" t="n"/>
      <c r="I474" s="7" t="n"/>
      <c r="J474" s="6" t="n"/>
      <c r="K474" s="6" t="n"/>
      <c r="L474" s="6" t="n"/>
      <c r="M474" s="6" t="n"/>
      <c r="N474" s="6" t="n"/>
      <c r="O474" s="6" t="n"/>
      <c r="P474" s="8" t="n"/>
      <c r="Q474" s="7" t="n"/>
      <c r="R474" s="9" t="n"/>
      <c r="S474" s="10">
        <f>IF($C474="","",$I474*$R474)</f>
        <v/>
      </c>
      <c r="T474" s="10">
        <f>IF($C474="","",(IF($N474="Purchased",$H474,0)+$Q474))</f>
        <v/>
      </c>
      <c r="U474" s="10">
        <f>IF($C474="","",$S474-$T474)</f>
        <v/>
      </c>
      <c r="V474" s="11">
        <f>IF(OR($C474="",$I474=0),"",CEILING($T474/$I474,1))</f>
        <v/>
      </c>
      <c r="W474" s="6" t="n"/>
    </row>
    <row r="475">
      <c r="A475" t="inlineStr">
        <is>
          <t>W474</t>
        </is>
      </c>
      <c r="B475" s="6" t="n"/>
      <c r="C475" s="6" t="n"/>
      <c r="D475" s="6" t="n"/>
      <c r="E475" s="6" t="n"/>
      <c r="F475">
        <f>IF(E475="","",IMAGE(E475))</f>
        <v/>
      </c>
      <c r="G475" s="6" t="n"/>
      <c r="H475" s="7" t="n"/>
      <c r="I475" s="7" t="n"/>
      <c r="J475" s="6" t="n"/>
      <c r="K475" s="6" t="n"/>
      <c r="L475" s="6" t="n"/>
      <c r="M475" s="6" t="n"/>
      <c r="N475" s="6" t="n"/>
      <c r="O475" s="6" t="n"/>
      <c r="P475" s="8" t="n"/>
      <c r="Q475" s="7" t="n"/>
      <c r="R475" s="9" t="n"/>
      <c r="S475" s="10">
        <f>IF($C475="","",$I475*$R475)</f>
        <v/>
      </c>
      <c r="T475" s="10">
        <f>IF($C475="","",(IF($N475="Purchased",$H475,0)+$Q475))</f>
        <v/>
      </c>
      <c r="U475" s="10">
        <f>IF($C475="","",$S475-$T475)</f>
        <v/>
      </c>
      <c r="V475" s="11">
        <f>IF(OR($C475="",$I475=0),"",CEILING($T475/$I475,1))</f>
        <v/>
      </c>
      <c r="W475" s="6" t="n"/>
    </row>
    <row r="476">
      <c r="A476" t="inlineStr">
        <is>
          <t>W475</t>
        </is>
      </c>
      <c r="B476" s="6" t="n"/>
      <c r="C476" s="6" t="n"/>
      <c r="D476" s="6" t="n"/>
      <c r="E476" s="6" t="n"/>
      <c r="F476">
        <f>IF(E476="","",IMAGE(E476))</f>
        <v/>
      </c>
      <c r="G476" s="6" t="n"/>
      <c r="H476" s="7" t="n"/>
      <c r="I476" s="7" t="n"/>
      <c r="J476" s="6" t="n"/>
      <c r="K476" s="6" t="n"/>
      <c r="L476" s="6" t="n"/>
      <c r="M476" s="6" t="n"/>
      <c r="N476" s="6" t="n"/>
      <c r="O476" s="6" t="n"/>
      <c r="P476" s="8" t="n"/>
      <c r="Q476" s="7" t="n"/>
      <c r="R476" s="9" t="n"/>
      <c r="S476" s="10">
        <f>IF($C476="","",$I476*$R476)</f>
        <v/>
      </c>
      <c r="T476" s="10">
        <f>IF($C476="","",(IF($N476="Purchased",$H476,0)+$Q476))</f>
        <v/>
      </c>
      <c r="U476" s="10">
        <f>IF($C476="","",$S476-$T476)</f>
        <v/>
      </c>
      <c r="V476" s="11">
        <f>IF(OR($C476="",$I476=0),"",CEILING($T476/$I476,1))</f>
        <v/>
      </c>
      <c r="W476" s="6" t="n"/>
    </row>
    <row r="477">
      <c r="A477" t="inlineStr">
        <is>
          <t>W476</t>
        </is>
      </c>
      <c r="B477" s="6" t="n"/>
      <c r="C477" s="6" t="n"/>
      <c r="D477" s="6" t="n"/>
      <c r="E477" s="6" t="n"/>
      <c r="F477">
        <f>IF(E477="","",IMAGE(E477))</f>
        <v/>
      </c>
      <c r="G477" s="6" t="n"/>
      <c r="H477" s="7" t="n"/>
      <c r="I477" s="7" t="n"/>
      <c r="J477" s="6" t="n"/>
      <c r="K477" s="6" t="n"/>
      <c r="L477" s="6" t="n"/>
      <c r="M477" s="6" t="n"/>
      <c r="N477" s="6" t="n"/>
      <c r="O477" s="6" t="n"/>
      <c r="P477" s="8" t="n"/>
      <c r="Q477" s="7" t="n"/>
      <c r="R477" s="9" t="n"/>
      <c r="S477" s="10">
        <f>IF($C477="","",$I477*$R477)</f>
        <v/>
      </c>
      <c r="T477" s="10">
        <f>IF($C477="","",(IF($N477="Purchased",$H477,0)+$Q477))</f>
        <v/>
      </c>
      <c r="U477" s="10">
        <f>IF($C477="","",$S477-$T477)</f>
        <v/>
      </c>
      <c r="V477" s="11">
        <f>IF(OR($C477="",$I477=0),"",CEILING($T477/$I477,1))</f>
        <v/>
      </c>
      <c r="W477" s="6" t="n"/>
    </row>
    <row r="478">
      <c r="A478" t="inlineStr">
        <is>
          <t>W477</t>
        </is>
      </c>
      <c r="B478" s="6" t="n"/>
      <c r="C478" s="6" t="n"/>
      <c r="D478" s="6" t="n"/>
      <c r="E478" s="6" t="n"/>
      <c r="F478">
        <f>IF(E478="","",IMAGE(E478))</f>
        <v/>
      </c>
      <c r="G478" s="6" t="n"/>
      <c r="H478" s="7" t="n"/>
      <c r="I478" s="7" t="n"/>
      <c r="J478" s="6" t="n"/>
      <c r="K478" s="6" t="n"/>
      <c r="L478" s="6" t="n"/>
      <c r="M478" s="6" t="n"/>
      <c r="N478" s="6" t="n"/>
      <c r="O478" s="6" t="n"/>
      <c r="P478" s="8" t="n"/>
      <c r="Q478" s="7" t="n"/>
      <c r="R478" s="9" t="n"/>
      <c r="S478" s="10">
        <f>IF($C478="","",$I478*$R478)</f>
        <v/>
      </c>
      <c r="T478" s="10">
        <f>IF($C478="","",(IF($N478="Purchased",$H478,0)+$Q478))</f>
        <v/>
      </c>
      <c r="U478" s="10">
        <f>IF($C478="","",$S478-$T478)</f>
        <v/>
      </c>
      <c r="V478" s="11">
        <f>IF(OR($C478="",$I478=0),"",CEILING($T478/$I478,1))</f>
        <v/>
      </c>
      <c r="W478" s="6" t="n"/>
    </row>
    <row r="479">
      <c r="A479" t="inlineStr">
        <is>
          <t>W478</t>
        </is>
      </c>
      <c r="B479" s="6" t="n"/>
      <c r="C479" s="6" t="n"/>
      <c r="D479" s="6" t="n"/>
      <c r="E479" s="6" t="n"/>
      <c r="F479">
        <f>IF(E479="","",IMAGE(E479))</f>
        <v/>
      </c>
      <c r="G479" s="6" t="n"/>
      <c r="H479" s="7" t="n"/>
      <c r="I479" s="7" t="n"/>
      <c r="J479" s="6" t="n"/>
      <c r="K479" s="6" t="n"/>
      <c r="L479" s="6" t="n"/>
      <c r="M479" s="6" t="n"/>
      <c r="N479" s="6" t="n"/>
      <c r="O479" s="6" t="n"/>
      <c r="P479" s="8" t="n"/>
      <c r="Q479" s="7" t="n"/>
      <c r="R479" s="9" t="n"/>
      <c r="S479" s="10">
        <f>IF($C479="","",$I479*$R479)</f>
        <v/>
      </c>
      <c r="T479" s="10">
        <f>IF($C479="","",(IF($N479="Purchased",$H479,0)+$Q479))</f>
        <v/>
      </c>
      <c r="U479" s="10">
        <f>IF($C479="","",$S479-$T479)</f>
        <v/>
      </c>
      <c r="V479" s="11">
        <f>IF(OR($C479="",$I479=0),"",CEILING($T479/$I479,1))</f>
        <v/>
      </c>
      <c r="W479" s="6" t="n"/>
    </row>
    <row r="480">
      <c r="A480" t="inlineStr">
        <is>
          <t>W479</t>
        </is>
      </c>
      <c r="B480" s="6" t="n"/>
      <c r="C480" s="6" t="n"/>
      <c r="D480" s="6" t="n"/>
      <c r="E480" s="6" t="n"/>
      <c r="F480">
        <f>IF(E480="","",IMAGE(E480))</f>
        <v/>
      </c>
      <c r="G480" s="6" t="n"/>
      <c r="H480" s="7" t="n"/>
      <c r="I480" s="7" t="n"/>
      <c r="J480" s="6" t="n"/>
      <c r="K480" s="6" t="n"/>
      <c r="L480" s="6" t="n"/>
      <c r="M480" s="6" t="n"/>
      <c r="N480" s="6" t="n"/>
      <c r="O480" s="6" t="n"/>
      <c r="P480" s="8" t="n"/>
      <c r="Q480" s="7" t="n"/>
      <c r="R480" s="9" t="n"/>
      <c r="S480" s="10">
        <f>IF($C480="","",$I480*$R480)</f>
        <v/>
      </c>
      <c r="T480" s="10">
        <f>IF($C480="","",(IF($N480="Purchased",$H480,0)+$Q480))</f>
        <v/>
      </c>
      <c r="U480" s="10">
        <f>IF($C480="","",$S480-$T480)</f>
        <v/>
      </c>
      <c r="V480" s="11">
        <f>IF(OR($C480="",$I480=0),"",CEILING($T480/$I480,1))</f>
        <v/>
      </c>
      <c r="W480" s="6" t="n"/>
    </row>
    <row r="481">
      <c r="A481" t="inlineStr">
        <is>
          <t>W480</t>
        </is>
      </c>
      <c r="B481" s="6" t="n"/>
      <c r="C481" s="6" t="n"/>
      <c r="D481" s="6" t="n"/>
      <c r="E481" s="6" t="n"/>
      <c r="F481">
        <f>IF(E481="","",IMAGE(E481))</f>
        <v/>
      </c>
      <c r="G481" s="6" t="n"/>
      <c r="H481" s="7" t="n"/>
      <c r="I481" s="7" t="n"/>
      <c r="J481" s="6" t="n"/>
      <c r="K481" s="6" t="n"/>
      <c r="L481" s="6" t="n"/>
      <c r="M481" s="6" t="n"/>
      <c r="N481" s="6" t="n"/>
      <c r="O481" s="6" t="n"/>
      <c r="P481" s="8" t="n"/>
      <c r="Q481" s="7" t="n"/>
      <c r="R481" s="9" t="n"/>
      <c r="S481" s="10">
        <f>IF($C481="","",$I481*$R481)</f>
        <v/>
      </c>
      <c r="T481" s="10">
        <f>IF($C481="","",(IF($N481="Purchased",$H481,0)+$Q481))</f>
        <v/>
      </c>
      <c r="U481" s="10">
        <f>IF($C481="","",$S481-$T481)</f>
        <v/>
      </c>
      <c r="V481" s="11">
        <f>IF(OR($C481="",$I481=0),"",CEILING($T481/$I481,1))</f>
        <v/>
      </c>
      <c r="W481" s="6" t="n"/>
    </row>
    <row r="482">
      <c r="A482" t="inlineStr">
        <is>
          <t>W481</t>
        </is>
      </c>
      <c r="B482" s="6" t="n"/>
      <c r="C482" s="6" t="n"/>
      <c r="D482" s="6" t="n"/>
      <c r="E482" s="6" t="n"/>
      <c r="F482">
        <f>IF(E482="","",IMAGE(E482))</f>
        <v/>
      </c>
      <c r="G482" s="6" t="n"/>
      <c r="H482" s="7" t="n"/>
      <c r="I482" s="7" t="n"/>
      <c r="J482" s="6" t="n"/>
      <c r="K482" s="6" t="n"/>
      <c r="L482" s="6" t="n"/>
      <c r="M482" s="6" t="n"/>
      <c r="N482" s="6" t="n"/>
      <c r="O482" s="6" t="n"/>
      <c r="P482" s="8" t="n"/>
      <c r="Q482" s="7" t="n"/>
      <c r="R482" s="9" t="n"/>
      <c r="S482" s="10">
        <f>IF($C482="","",$I482*$R482)</f>
        <v/>
      </c>
      <c r="T482" s="10">
        <f>IF($C482="","",(IF($N482="Purchased",$H482,0)+$Q482))</f>
        <v/>
      </c>
      <c r="U482" s="10">
        <f>IF($C482="","",$S482-$T482)</f>
        <v/>
      </c>
      <c r="V482" s="11">
        <f>IF(OR($C482="",$I482=0),"",CEILING($T482/$I482,1))</f>
        <v/>
      </c>
      <c r="W482" s="6" t="n"/>
    </row>
    <row r="483">
      <c r="A483" t="inlineStr">
        <is>
          <t>W482</t>
        </is>
      </c>
      <c r="B483" s="6" t="n"/>
      <c r="C483" s="6" t="n"/>
      <c r="D483" s="6" t="n"/>
      <c r="E483" s="6" t="n"/>
      <c r="F483">
        <f>IF(E483="","",IMAGE(E483))</f>
        <v/>
      </c>
      <c r="G483" s="6" t="n"/>
      <c r="H483" s="7" t="n"/>
      <c r="I483" s="7" t="n"/>
      <c r="J483" s="6" t="n"/>
      <c r="K483" s="6" t="n"/>
      <c r="L483" s="6" t="n"/>
      <c r="M483" s="6" t="n"/>
      <c r="N483" s="6" t="n"/>
      <c r="O483" s="6" t="n"/>
      <c r="P483" s="8" t="n"/>
      <c r="Q483" s="7" t="n"/>
      <c r="R483" s="9" t="n"/>
      <c r="S483" s="10">
        <f>IF($C483="","",$I483*$R483)</f>
        <v/>
      </c>
      <c r="T483" s="10">
        <f>IF($C483="","",(IF($N483="Purchased",$H483,0)+$Q483))</f>
        <v/>
      </c>
      <c r="U483" s="10">
        <f>IF($C483="","",$S483-$T483)</f>
        <v/>
      </c>
      <c r="V483" s="11">
        <f>IF(OR($C483="",$I483=0),"",CEILING($T483/$I483,1))</f>
        <v/>
      </c>
      <c r="W483" s="6" t="n"/>
    </row>
    <row r="484">
      <c r="A484" t="inlineStr">
        <is>
          <t>W483</t>
        </is>
      </c>
      <c r="B484" s="6" t="n"/>
      <c r="C484" s="6" t="n"/>
      <c r="D484" s="6" t="n"/>
      <c r="E484" s="6" t="n"/>
      <c r="F484">
        <f>IF(E484="","",IMAGE(E484))</f>
        <v/>
      </c>
      <c r="G484" s="6" t="n"/>
      <c r="H484" s="7" t="n"/>
      <c r="I484" s="7" t="n"/>
      <c r="J484" s="6" t="n"/>
      <c r="K484" s="6" t="n"/>
      <c r="L484" s="6" t="n"/>
      <c r="M484" s="6" t="n"/>
      <c r="N484" s="6" t="n"/>
      <c r="O484" s="6" t="n"/>
      <c r="P484" s="8" t="n"/>
      <c r="Q484" s="7" t="n"/>
      <c r="R484" s="9" t="n"/>
      <c r="S484" s="10">
        <f>IF($C484="","",$I484*$R484)</f>
        <v/>
      </c>
      <c r="T484" s="10">
        <f>IF($C484="","",(IF($N484="Purchased",$H484,0)+$Q484))</f>
        <v/>
      </c>
      <c r="U484" s="10">
        <f>IF($C484="","",$S484-$T484)</f>
        <v/>
      </c>
      <c r="V484" s="11">
        <f>IF(OR($C484="",$I484=0),"",CEILING($T484/$I484,1))</f>
        <v/>
      </c>
      <c r="W484" s="6" t="n"/>
    </row>
    <row r="485">
      <c r="A485" t="inlineStr">
        <is>
          <t>W484</t>
        </is>
      </c>
      <c r="B485" s="6" t="n"/>
      <c r="C485" s="6" t="n"/>
      <c r="D485" s="6" t="n"/>
      <c r="E485" s="6" t="n"/>
      <c r="F485">
        <f>IF(E485="","",IMAGE(E485))</f>
        <v/>
      </c>
      <c r="G485" s="6" t="n"/>
      <c r="H485" s="7" t="n"/>
      <c r="I485" s="7" t="n"/>
      <c r="J485" s="6" t="n"/>
      <c r="K485" s="6" t="n"/>
      <c r="L485" s="6" t="n"/>
      <c r="M485" s="6" t="n"/>
      <c r="N485" s="6" t="n"/>
      <c r="O485" s="6" t="n"/>
      <c r="P485" s="8" t="n"/>
      <c r="Q485" s="7" t="n"/>
      <c r="R485" s="9" t="n"/>
      <c r="S485" s="10">
        <f>IF($C485="","",$I485*$R485)</f>
        <v/>
      </c>
      <c r="T485" s="10">
        <f>IF($C485="","",(IF($N485="Purchased",$H485,0)+$Q485))</f>
        <v/>
      </c>
      <c r="U485" s="10">
        <f>IF($C485="","",$S485-$T485)</f>
        <v/>
      </c>
      <c r="V485" s="11">
        <f>IF(OR($C485="",$I485=0),"",CEILING($T485/$I485,1))</f>
        <v/>
      </c>
      <c r="W485" s="6" t="n"/>
    </row>
    <row r="486">
      <c r="A486" t="inlineStr">
        <is>
          <t>W485</t>
        </is>
      </c>
      <c r="B486" s="6" t="n"/>
      <c r="C486" s="6" t="n"/>
      <c r="D486" s="6" t="n"/>
      <c r="E486" s="6" t="n"/>
      <c r="F486">
        <f>IF(E486="","",IMAGE(E486))</f>
        <v/>
      </c>
      <c r="G486" s="6" t="n"/>
      <c r="H486" s="7" t="n"/>
      <c r="I486" s="7" t="n"/>
      <c r="J486" s="6" t="n"/>
      <c r="K486" s="6" t="n"/>
      <c r="L486" s="6" t="n"/>
      <c r="M486" s="6" t="n"/>
      <c r="N486" s="6" t="n"/>
      <c r="O486" s="6" t="n"/>
      <c r="P486" s="8" t="n"/>
      <c r="Q486" s="7" t="n"/>
      <c r="R486" s="9" t="n"/>
      <c r="S486" s="10">
        <f>IF($C486="","",$I486*$R486)</f>
        <v/>
      </c>
      <c r="T486" s="10">
        <f>IF($C486="","",(IF($N486="Purchased",$H486,0)+$Q486))</f>
        <v/>
      </c>
      <c r="U486" s="10">
        <f>IF($C486="","",$S486-$T486)</f>
        <v/>
      </c>
      <c r="V486" s="11">
        <f>IF(OR($C486="",$I486=0),"",CEILING($T486/$I486,1))</f>
        <v/>
      </c>
      <c r="W486" s="6" t="n"/>
    </row>
    <row r="487">
      <c r="A487" t="inlineStr">
        <is>
          <t>W486</t>
        </is>
      </c>
      <c r="B487" s="6" t="n"/>
      <c r="C487" s="6" t="n"/>
      <c r="D487" s="6" t="n"/>
      <c r="E487" s="6" t="n"/>
      <c r="F487">
        <f>IF(E487="","",IMAGE(E487))</f>
        <v/>
      </c>
      <c r="G487" s="6" t="n"/>
      <c r="H487" s="7" t="n"/>
      <c r="I487" s="7" t="n"/>
      <c r="J487" s="6" t="n"/>
      <c r="K487" s="6" t="n"/>
      <c r="L487" s="6" t="n"/>
      <c r="M487" s="6" t="n"/>
      <c r="N487" s="6" t="n"/>
      <c r="O487" s="6" t="n"/>
      <c r="P487" s="8" t="n"/>
      <c r="Q487" s="7" t="n"/>
      <c r="R487" s="9" t="n"/>
      <c r="S487" s="10">
        <f>IF($C487="","",$I487*$R487)</f>
        <v/>
      </c>
      <c r="T487" s="10">
        <f>IF($C487="","",(IF($N487="Purchased",$H487,0)+$Q487))</f>
        <v/>
      </c>
      <c r="U487" s="10">
        <f>IF($C487="","",$S487-$T487)</f>
        <v/>
      </c>
      <c r="V487" s="11">
        <f>IF(OR($C487="",$I487=0),"",CEILING($T487/$I487,1))</f>
        <v/>
      </c>
      <c r="W487" s="6" t="n"/>
    </row>
    <row r="488">
      <c r="A488" t="inlineStr">
        <is>
          <t>W487</t>
        </is>
      </c>
      <c r="B488" s="6" t="n"/>
      <c r="C488" s="6" t="n"/>
      <c r="D488" s="6" t="n"/>
      <c r="E488" s="6" t="n"/>
      <c r="F488">
        <f>IF(E488="","",IMAGE(E488))</f>
        <v/>
      </c>
      <c r="G488" s="6" t="n"/>
      <c r="H488" s="7" t="n"/>
      <c r="I488" s="7" t="n"/>
      <c r="J488" s="6" t="n"/>
      <c r="K488" s="6" t="n"/>
      <c r="L488" s="6" t="n"/>
      <c r="M488" s="6" t="n"/>
      <c r="N488" s="6" t="n"/>
      <c r="O488" s="6" t="n"/>
      <c r="P488" s="8" t="n"/>
      <c r="Q488" s="7" t="n"/>
      <c r="R488" s="9" t="n"/>
      <c r="S488" s="10">
        <f>IF($C488="","",$I488*$R488)</f>
        <v/>
      </c>
      <c r="T488" s="10">
        <f>IF($C488="","",(IF($N488="Purchased",$H488,0)+$Q488))</f>
        <v/>
      </c>
      <c r="U488" s="10">
        <f>IF($C488="","",$S488-$T488)</f>
        <v/>
      </c>
      <c r="V488" s="11">
        <f>IF(OR($C488="",$I488=0),"",CEILING($T488/$I488,1))</f>
        <v/>
      </c>
      <c r="W488" s="6" t="n"/>
    </row>
    <row r="489">
      <c r="A489" t="inlineStr">
        <is>
          <t>W488</t>
        </is>
      </c>
      <c r="B489" s="6" t="n"/>
      <c r="C489" s="6" t="n"/>
      <c r="D489" s="6" t="n"/>
      <c r="E489" s="6" t="n"/>
      <c r="F489">
        <f>IF(E489="","",IMAGE(E489))</f>
        <v/>
      </c>
      <c r="G489" s="6" t="n"/>
      <c r="H489" s="7" t="n"/>
      <c r="I489" s="7" t="n"/>
      <c r="J489" s="6" t="n"/>
      <c r="K489" s="6" t="n"/>
      <c r="L489" s="6" t="n"/>
      <c r="M489" s="6" t="n"/>
      <c r="N489" s="6" t="n"/>
      <c r="O489" s="6" t="n"/>
      <c r="P489" s="8" t="n"/>
      <c r="Q489" s="7" t="n"/>
      <c r="R489" s="9" t="n"/>
      <c r="S489" s="10">
        <f>IF($C489="","",$I489*$R489)</f>
        <v/>
      </c>
      <c r="T489" s="10">
        <f>IF($C489="","",(IF($N489="Purchased",$H489,0)+$Q489))</f>
        <v/>
      </c>
      <c r="U489" s="10">
        <f>IF($C489="","",$S489-$T489)</f>
        <v/>
      </c>
      <c r="V489" s="11">
        <f>IF(OR($C489="",$I489=0),"",CEILING($T489/$I489,1))</f>
        <v/>
      </c>
      <c r="W489" s="6" t="n"/>
    </row>
    <row r="490">
      <c r="A490" t="inlineStr">
        <is>
          <t>W489</t>
        </is>
      </c>
      <c r="B490" s="6" t="n"/>
      <c r="C490" s="6" t="n"/>
      <c r="D490" s="6" t="n"/>
      <c r="E490" s="6" t="n"/>
      <c r="F490">
        <f>IF(E490="","",IMAGE(E490))</f>
        <v/>
      </c>
      <c r="G490" s="6" t="n"/>
      <c r="H490" s="7" t="n"/>
      <c r="I490" s="7" t="n"/>
      <c r="J490" s="6" t="n"/>
      <c r="K490" s="6" t="n"/>
      <c r="L490" s="6" t="n"/>
      <c r="M490" s="6" t="n"/>
      <c r="N490" s="6" t="n"/>
      <c r="O490" s="6" t="n"/>
      <c r="P490" s="8" t="n"/>
      <c r="Q490" s="7" t="n"/>
      <c r="R490" s="9" t="n"/>
      <c r="S490" s="10">
        <f>IF($C490="","",$I490*$R490)</f>
        <v/>
      </c>
      <c r="T490" s="10">
        <f>IF($C490="","",(IF($N490="Purchased",$H490,0)+$Q490))</f>
        <v/>
      </c>
      <c r="U490" s="10">
        <f>IF($C490="","",$S490-$T490)</f>
        <v/>
      </c>
      <c r="V490" s="11">
        <f>IF(OR($C490="",$I490=0),"",CEILING($T490/$I490,1))</f>
        <v/>
      </c>
      <c r="W490" s="6" t="n"/>
    </row>
    <row r="491">
      <c r="A491" t="inlineStr">
        <is>
          <t>W490</t>
        </is>
      </c>
      <c r="B491" s="6" t="n"/>
      <c r="C491" s="6" t="n"/>
      <c r="D491" s="6" t="n"/>
      <c r="E491" s="6" t="n"/>
      <c r="F491">
        <f>IF(E491="","",IMAGE(E491))</f>
        <v/>
      </c>
      <c r="G491" s="6" t="n"/>
      <c r="H491" s="7" t="n"/>
      <c r="I491" s="7" t="n"/>
      <c r="J491" s="6" t="n"/>
      <c r="K491" s="6" t="n"/>
      <c r="L491" s="6" t="n"/>
      <c r="M491" s="6" t="n"/>
      <c r="N491" s="6" t="n"/>
      <c r="O491" s="6" t="n"/>
      <c r="P491" s="8" t="n"/>
      <c r="Q491" s="7" t="n"/>
      <c r="R491" s="9" t="n"/>
      <c r="S491" s="10">
        <f>IF($C491="","",$I491*$R491)</f>
        <v/>
      </c>
      <c r="T491" s="10">
        <f>IF($C491="","",(IF($N491="Purchased",$H491,0)+$Q491))</f>
        <v/>
      </c>
      <c r="U491" s="10">
        <f>IF($C491="","",$S491-$T491)</f>
        <v/>
      </c>
      <c r="V491" s="11">
        <f>IF(OR($C491="",$I491=0),"",CEILING($T491/$I491,1))</f>
        <v/>
      </c>
      <c r="W491" s="6" t="n"/>
    </row>
    <row r="492">
      <c r="A492" t="inlineStr">
        <is>
          <t>W491</t>
        </is>
      </c>
      <c r="B492" s="6" t="n"/>
      <c r="C492" s="6" t="n"/>
      <c r="D492" s="6" t="n"/>
      <c r="E492" s="6" t="n"/>
      <c r="F492">
        <f>IF(E492="","",IMAGE(E492))</f>
        <v/>
      </c>
      <c r="G492" s="6" t="n"/>
      <c r="H492" s="7" t="n"/>
      <c r="I492" s="7" t="n"/>
      <c r="J492" s="6" t="n"/>
      <c r="K492" s="6" t="n"/>
      <c r="L492" s="6" t="n"/>
      <c r="M492" s="6" t="n"/>
      <c r="N492" s="6" t="n"/>
      <c r="O492" s="6" t="n"/>
      <c r="P492" s="8" t="n"/>
      <c r="Q492" s="7" t="n"/>
      <c r="R492" s="9" t="n"/>
      <c r="S492" s="10">
        <f>IF($C492="","",$I492*$R492)</f>
        <v/>
      </c>
      <c r="T492" s="10">
        <f>IF($C492="","",(IF($N492="Purchased",$H492,0)+$Q492))</f>
        <v/>
      </c>
      <c r="U492" s="10">
        <f>IF($C492="","",$S492-$T492)</f>
        <v/>
      </c>
      <c r="V492" s="11">
        <f>IF(OR($C492="",$I492=0),"",CEILING($T492/$I492,1))</f>
        <v/>
      </c>
      <c r="W492" s="6" t="n"/>
    </row>
    <row r="493">
      <c r="A493" t="inlineStr">
        <is>
          <t>W492</t>
        </is>
      </c>
      <c r="B493" s="6" t="n"/>
      <c r="C493" s="6" t="n"/>
      <c r="D493" s="6" t="n"/>
      <c r="E493" s="6" t="n"/>
      <c r="F493">
        <f>IF(E493="","",IMAGE(E493))</f>
        <v/>
      </c>
      <c r="G493" s="6" t="n"/>
      <c r="H493" s="7" t="n"/>
      <c r="I493" s="7" t="n"/>
      <c r="J493" s="6" t="n"/>
      <c r="K493" s="6" t="n"/>
      <c r="L493" s="6" t="n"/>
      <c r="M493" s="6" t="n"/>
      <c r="N493" s="6" t="n"/>
      <c r="O493" s="6" t="n"/>
      <c r="P493" s="8" t="n"/>
      <c r="Q493" s="7" t="n"/>
      <c r="R493" s="9" t="n"/>
      <c r="S493" s="10">
        <f>IF($C493="","",$I493*$R493)</f>
        <v/>
      </c>
      <c r="T493" s="10">
        <f>IF($C493="","",(IF($N493="Purchased",$H493,0)+$Q493))</f>
        <v/>
      </c>
      <c r="U493" s="10">
        <f>IF($C493="","",$S493-$T493)</f>
        <v/>
      </c>
      <c r="V493" s="11">
        <f>IF(OR($C493="",$I493=0),"",CEILING($T493/$I493,1))</f>
        <v/>
      </c>
      <c r="W493" s="6" t="n"/>
    </row>
    <row r="494">
      <c r="A494" t="inlineStr">
        <is>
          <t>W493</t>
        </is>
      </c>
      <c r="B494" s="6" t="n"/>
      <c r="C494" s="6" t="n"/>
      <c r="D494" s="6" t="n"/>
      <c r="E494" s="6" t="n"/>
      <c r="F494">
        <f>IF(E494="","",IMAGE(E494))</f>
        <v/>
      </c>
      <c r="G494" s="6" t="n"/>
      <c r="H494" s="7" t="n"/>
      <c r="I494" s="7" t="n"/>
      <c r="J494" s="6" t="n"/>
      <c r="K494" s="6" t="n"/>
      <c r="L494" s="6" t="n"/>
      <c r="M494" s="6" t="n"/>
      <c r="N494" s="6" t="n"/>
      <c r="O494" s="6" t="n"/>
      <c r="P494" s="8" t="n"/>
      <c r="Q494" s="7" t="n"/>
      <c r="R494" s="9" t="n"/>
      <c r="S494" s="10">
        <f>IF($C494="","",$I494*$R494)</f>
        <v/>
      </c>
      <c r="T494" s="10">
        <f>IF($C494="","",(IF($N494="Purchased",$H494,0)+$Q494))</f>
        <v/>
      </c>
      <c r="U494" s="10">
        <f>IF($C494="","",$S494-$T494)</f>
        <v/>
      </c>
      <c r="V494" s="11">
        <f>IF(OR($C494="",$I494=0),"",CEILING($T494/$I494,1))</f>
        <v/>
      </c>
      <c r="W494" s="6" t="n"/>
    </row>
    <row r="495">
      <c r="A495" t="inlineStr">
        <is>
          <t>W494</t>
        </is>
      </c>
      <c r="B495" s="6" t="n"/>
      <c r="C495" s="6" t="n"/>
      <c r="D495" s="6" t="n"/>
      <c r="E495" s="6" t="n"/>
      <c r="F495">
        <f>IF(E495="","",IMAGE(E495))</f>
        <v/>
      </c>
      <c r="G495" s="6" t="n"/>
      <c r="H495" s="7" t="n"/>
      <c r="I495" s="7" t="n"/>
      <c r="J495" s="6" t="n"/>
      <c r="K495" s="6" t="n"/>
      <c r="L495" s="6" t="n"/>
      <c r="M495" s="6" t="n"/>
      <c r="N495" s="6" t="n"/>
      <c r="O495" s="6" t="n"/>
      <c r="P495" s="8" t="n"/>
      <c r="Q495" s="7" t="n"/>
      <c r="R495" s="9" t="n"/>
      <c r="S495" s="10">
        <f>IF($C495="","",$I495*$R495)</f>
        <v/>
      </c>
      <c r="T495" s="10">
        <f>IF($C495="","",(IF($N495="Purchased",$H495,0)+$Q495))</f>
        <v/>
      </c>
      <c r="U495" s="10">
        <f>IF($C495="","",$S495-$T495)</f>
        <v/>
      </c>
      <c r="V495" s="11">
        <f>IF(OR($C495="",$I495=0),"",CEILING($T495/$I495,1))</f>
        <v/>
      </c>
      <c r="W495" s="6" t="n"/>
    </row>
    <row r="496">
      <c r="A496" t="inlineStr">
        <is>
          <t>W495</t>
        </is>
      </c>
      <c r="B496" s="6" t="n"/>
      <c r="C496" s="6" t="n"/>
      <c r="D496" s="6" t="n"/>
      <c r="E496" s="6" t="n"/>
      <c r="F496">
        <f>IF(E496="","",IMAGE(E496))</f>
        <v/>
      </c>
      <c r="G496" s="6" t="n"/>
      <c r="H496" s="7" t="n"/>
      <c r="I496" s="7" t="n"/>
      <c r="J496" s="6" t="n"/>
      <c r="K496" s="6" t="n"/>
      <c r="L496" s="6" t="n"/>
      <c r="M496" s="6" t="n"/>
      <c r="N496" s="6" t="n"/>
      <c r="O496" s="6" t="n"/>
      <c r="P496" s="8" t="n"/>
      <c r="Q496" s="7" t="n"/>
      <c r="R496" s="9" t="n"/>
      <c r="S496" s="10">
        <f>IF($C496="","",$I496*$R496)</f>
        <v/>
      </c>
      <c r="T496" s="10">
        <f>IF($C496="","",(IF($N496="Purchased",$H496,0)+$Q496))</f>
        <v/>
      </c>
      <c r="U496" s="10">
        <f>IF($C496="","",$S496-$T496)</f>
        <v/>
      </c>
      <c r="V496" s="11">
        <f>IF(OR($C496="",$I496=0),"",CEILING($T496/$I496,1))</f>
        <v/>
      </c>
      <c r="W496" s="6" t="n"/>
    </row>
    <row r="497">
      <c r="A497" t="inlineStr">
        <is>
          <t>W496</t>
        </is>
      </c>
      <c r="B497" s="6" t="n"/>
      <c r="C497" s="6" t="n"/>
      <c r="D497" s="6" t="n"/>
      <c r="E497" s="6" t="n"/>
      <c r="F497">
        <f>IF(E497="","",IMAGE(E497))</f>
        <v/>
      </c>
      <c r="G497" s="6" t="n"/>
      <c r="H497" s="7" t="n"/>
      <c r="I497" s="7" t="n"/>
      <c r="J497" s="6" t="n"/>
      <c r="K497" s="6" t="n"/>
      <c r="L497" s="6" t="n"/>
      <c r="M497" s="6" t="n"/>
      <c r="N497" s="6" t="n"/>
      <c r="O497" s="6" t="n"/>
      <c r="P497" s="8" t="n"/>
      <c r="Q497" s="7" t="n"/>
      <c r="R497" s="9" t="n"/>
      <c r="S497" s="10">
        <f>IF($C497="","",$I497*$R497)</f>
        <v/>
      </c>
      <c r="T497" s="10">
        <f>IF($C497="","",(IF($N497="Purchased",$H497,0)+$Q497))</f>
        <v/>
      </c>
      <c r="U497" s="10">
        <f>IF($C497="","",$S497-$T497)</f>
        <v/>
      </c>
      <c r="V497" s="11">
        <f>IF(OR($C497="",$I497=0),"",CEILING($T497/$I497,1))</f>
        <v/>
      </c>
      <c r="W497" s="6" t="n"/>
    </row>
    <row r="498">
      <c r="A498" t="inlineStr">
        <is>
          <t>W497</t>
        </is>
      </c>
      <c r="B498" s="6" t="n"/>
      <c r="C498" s="6" t="n"/>
      <c r="D498" s="6" t="n"/>
      <c r="E498" s="6" t="n"/>
      <c r="F498">
        <f>IF(E498="","",IMAGE(E498))</f>
        <v/>
      </c>
      <c r="G498" s="6" t="n"/>
      <c r="H498" s="7" t="n"/>
      <c r="I498" s="7" t="n"/>
      <c r="J498" s="6" t="n"/>
      <c r="K498" s="6" t="n"/>
      <c r="L498" s="6" t="n"/>
      <c r="M498" s="6" t="n"/>
      <c r="N498" s="6" t="n"/>
      <c r="O498" s="6" t="n"/>
      <c r="P498" s="8" t="n"/>
      <c r="Q498" s="7" t="n"/>
      <c r="R498" s="9" t="n"/>
      <c r="S498" s="10">
        <f>IF($C498="","",$I498*$R498)</f>
        <v/>
      </c>
      <c r="T498" s="10">
        <f>IF($C498="","",(IF($N498="Purchased",$H498,0)+$Q498))</f>
        <v/>
      </c>
      <c r="U498" s="10">
        <f>IF($C498="","",$S498-$T498)</f>
        <v/>
      </c>
      <c r="V498" s="11">
        <f>IF(OR($C498="",$I498=0),"",CEILING($T498/$I498,1))</f>
        <v/>
      </c>
      <c r="W498" s="6" t="n"/>
    </row>
    <row r="499">
      <c r="A499" t="inlineStr">
        <is>
          <t>W498</t>
        </is>
      </c>
      <c r="B499" s="6" t="n"/>
      <c r="C499" s="6" t="n"/>
      <c r="D499" s="6" t="n"/>
      <c r="E499" s="6" t="n"/>
      <c r="F499">
        <f>IF(E499="","",IMAGE(E499))</f>
        <v/>
      </c>
      <c r="G499" s="6" t="n"/>
      <c r="H499" s="7" t="n"/>
      <c r="I499" s="7" t="n"/>
      <c r="J499" s="6" t="n"/>
      <c r="K499" s="6" t="n"/>
      <c r="L499" s="6" t="n"/>
      <c r="M499" s="6" t="n"/>
      <c r="N499" s="6" t="n"/>
      <c r="O499" s="6" t="n"/>
      <c r="P499" s="8" t="n"/>
      <c r="Q499" s="7" t="n"/>
      <c r="R499" s="9" t="n"/>
      <c r="S499" s="10">
        <f>IF($C499="","",$I499*$R499)</f>
        <v/>
      </c>
      <c r="T499" s="10">
        <f>IF($C499="","",(IF($N499="Purchased",$H499,0)+$Q499))</f>
        <v/>
      </c>
      <c r="U499" s="10">
        <f>IF($C499="","",$S499-$T499)</f>
        <v/>
      </c>
      <c r="V499" s="11">
        <f>IF(OR($C499="",$I499=0),"",CEILING($T499/$I499,1))</f>
        <v/>
      </c>
      <c r="W499" s="6" t="n"/>
    </row>
    <row r="500">
      <c r="A500" t="inlineStr">
        <is>
          <t>W499</t>
        </is>
      </c>
      <c r="B500" s="6" t="n"/>
      <c r="C500" s="6" t="n"/>
      <c r="D500" s="6" t="n"/>
      <c r="E500" s="6" t="n"/>
      <c r="F500">
        <f>IF(E500="","",IMAGE(E500))</f>
        <v/>
      </c>
      <c r="G500" s="6" t="n"/>
      <c r="H500" s="7" t="n"/>
      <c r="I500" s="7" t="n"/>
      <c r="J500" s="6" t="n"/>
      <c r="K500" s="6" t="n"/>
      <c r="L500" s="6" t="n"/>
      <c r="M500" s="6" t="n"/>
      <c r="N500" s="6" t="n"/>
      <c r="O500" s="6" t="n"/>
      <c r="P500" s="8" t="n"/>
      <c r="Q500" s="7" t="n"/>
      <c r="R500" s="9" t="n"/>
      <c r="S500" s="10">
        <f>IF($C500="","",$I500*$R500)</f>
        <v/>
      </c>
      <c r="T500" s="10">
        <f>IF($C500="","",(IF($N500="Purchased",$H500,0)+$Q500))</f>
        <v/>
      </c>
      <c r="U500" s="10">
        <f>IF($C500="","",$S500-$T500)</f>
        <v/>
      </c>
      <c r="V500" s="11">
        <f>IF(OR($C500="",$I500=0),"",CEILING($T500/$I500,1))</f>
        <v/>
      </c>
      <c r="W500" s="6" t="n"/>
    </row>
  </sheetData>
  <autoFilter ref="A1:W1"/>
  <dataValidations count="7">
    <dataValidation sqref="B2:B500" showDropDown="0" showInputMessage="0" showErrorMessage="0" allowBlank="1" type="list">
      <formula1>=WardrobeList</formula1>
    </dataValidation>
    <dataValidation sqref="D2:D500" showDropDown="0" showInputMessage="0" showErrorMessage="0" allowBlank="1" type="list">
      <formula1>=CategoryList</formula1>
    </dataValidation>
    <dataValidation sqref="J2:J500" showDropDown="0" showInputMessage="0" showErrorMessage="0" allowBlank="1" type="list">
      <formula1>=ConditionList</formula1>
    </dataValidation>
    <dataValidation sqref="K2:K500" showDropDown="0" showInputMessage="0" showErrorMessage="0" allowBlank="1" type="list">
      <formula1>=SizeList</formula1>
    </dataValidation>
    <dataValidation sqref="L2:L500" showDropDown="0" showInputMessage="0" showErrorMessage="0" allowBlank="1" type="list">
      <formula1>=ColorList</formula1>
    </dataValidation>
    <dataValidation sqref="O2:O500" showDropDown="0" showInputMessage="0" showErrorMessage="0" allowBlank="1" type="list">
      <formula1>=ItemStatusList</formula1>
    </dataValidation>
    <dataValidation sqref="N2:N500" showDropDown="0" showInputMessage="0" showErrorMessage="0" allowBlank="1" type="list">
      <formula1>=PurchaseStatusList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28" customWidth="1" min="5" max="5"/>
    <col width="10" customWidth="1" min="6" max="6"/>
    <col width="30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2" customWidth="1" min="18" max="18"/>
    <col width="18" customWidth="1" min="19" max="19"/>
    <col width="14" customWidth="1" min="20" max="20"/>
    <col width="14" customWidth="1" min="21" max="21"/>
    <col width="18" customWidth="1" min="22" max="22"/>
    <col width="24" customWidth="1" min="23" max="23"/>
  </cols>
  <sheetData>
    <row r="1">
      <c r="A1" s="12" t="inlineStr">
        <is>
          <t>Select wardrobe:</t>
        </is>
      </c>
      <c r="B1" s="13" t="inlineStr"/>
    </row>
    <row r="3">
      <c r="A3" s="12" t="inlineStr">
        <is>
          <t>Matching items (auto):</t>
        </is>
      </c>
    </row>
    <row r="5" ht="22" customHeight="1">
      <c r="A5" s="4" t="inlineStr">
        <is>
          <t>Item ID</t>
        </is>
      </c>
      <c r="B5" s="4" t="inlineStr">
        <is>
          <t>Wardrobe Name</t>
        </is>
      </c>
      <c r="C5" s="4" t="inlineStr">
        <is>
          <t>Item Name</t>
        </is>
      </c>
      <c r="D5" s="4" t="inlineStr">
        <is>
          <t>Category</t>
        </is>
      </c>
      <c r="E5" s="4" t="inlineStr">
        <is>
          <t>Image URL</t>
        </is>
      </c>
      <c r="F5" s="4" t="inlineStr">
        <is>
          <t>Image</t>
        </is>
      </c>
      <c r="G5" s="4" t="inlineStr">
        <is>
          <t>Item Link</t>
        </is>
      </c>
      <c r="H5" s="4" t="inlineStr">
        <is>
          <t>Cost of Item ($)</t>
        </is>
      </c>
      <c r="I5" s="4" t="inlineStr">
        <is>
          <t>Rental Fee ($)</t>
        </is>
      </c>
      <c r="J5" s="4" t="inlineStr">
        <is>
          <t>Condition</t>
        </is>
      </c>
      <c r="K5" s="4" t="inlineStr">
        <is>
          <t>Size</t>
        </is>
      </c>
      <c r="L5" s="4" t="inlineStr">
        <is>
          <t>Color</t>
        </is>
      </c>
      <c r="M5" s="4" t="inlineStr">
        <is>
          <t>Brand</t>
        </is>
      </c>
      <c r="N5" s="4" t="inlineStr">
        <is>
          <t>Purchase Status</t>
        </is>
      </c>
      <c r="O5" s="4" t="inlineStr">
        <is>
          <t>Status</t>
        </is>
      </c>
      <c r="P5" s="4" t="inlineStr">
        <is>
          <t>Date Added</t>
        </is>
      </c>
      <c r="Q5" s="4" t="inlineStr">
        <is>
          <t>Extra Costs ($)</t>
        </is>
      </c>
      <c r="R5" s="4" t="inlineStr">
        <is>
          <t>Times Rented</t>
        </is>
      </c>
      <c r="S5" s="4" t="inlineStr">
        <is>
          <t>Total Revenue ($)</t>
        </is>
      </c>
      <c r="T5" s="4" t="inlineStr">
        <is>
          <t>Total Cost ($)</t>
        </is>
      </c>
      <c r="U5" s="4" t="inlineStr">
        <is>
          <t>Profit ($)</t>
        </is>
      </c>
      <c r="V5" s="4" t="inlineStr">
        <is>
          <t>Break-even Rentals</t>
        </is>
      </c>
      <c r="W5" s="4" t="inlineStr">
        <is>
          <t>Notes</t>
        </is>
      </c>
    </row>
    <row r="6">
      <c r="A6">
        <f>IF($B$1="","",FILTER(Inventory!A2:W500,Inventory!B2:B500=$B$1,"No matches"))</f>
        <v/>
      </c>
    </row>
  </sheetData>
  <dataValidations count="1">
    <dataValidation sqref="B1" showDropDown="0" showInputMessage="0" showErrorMessage="0" allowBlank="1" type="list">
      <formula1>=WardrobeList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6" customWidth="1" min="5" max="5"/>
  </cols>
  <sheetData>
    <row r="1">
      <c r="A1" s="14" t="inlineStr">
        <is>
          <t>Dashboard</t>
        </is>
      </c>
    </row>
    <row r="2">
      <c r="A2" s="15" t="inlineStr">
        <is>
          <t>Tip: Add items in Inventory. Dashboard updates automatically.</t>
        </is>
      </c>
    </row>
    <row r="3">
      <c r="A3" s="4" t="inlineStr">
        <is>
          <t>Wardrobe</t>
        </is>
      </c>
      <c r="B3" s="4" t="inlineStr">
        <is>
          <t># Items</t>
        </is>
      </c>
      <c r="C3" s="4" t="inlineStr">
        <is>
          <t>Total Revenue ($)</t>
        </is>
      </c>
      <c r="D3" s="4" t="inlineStr">
        <is>
          <t>Total Profit ($)</t>
        </is>
      </c>
      <c r="E3" s="4" t="inlineStr">
        <is>
          <t>Avg Rental Fee ($)</t>
        </is>
      </c>
    </row>
    <row r="4">
      <c r="A4">
        <f>SORT(UNIQUE(FILTER(Inventory!B2:B500,Inventory!B2:B500&lt;&gt;"")))</f>
        <v/>
      </c>
      <c r="B4">
        <f>IF(A4="","",COUNTIF(Inventory!B:B,A4))</f>
        <v/>
      </c>
      <c r="C4" s="10">
        <f>IF(A4="","",SUMIF(Inventory!B:B,A4,Inventory!S:S))</f>
        <v/>
      </c>
      <c r="D4" s="10">
        <f>IF(A4="","",SUMIF(Inventory!B:B,A4,Inventory!U:U))</f>
        <v/>
      </c>
      <c r="E4" s="10">
        <f>IF(A4="","",AVERAGEIF(Inventory!B:B,A4,Inventory!I:I))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2025-12-21T01:56:27Z</dcterms:created>
  <dcterms:modified xmlns:dcterms="http://purl.org/dc/terms/" xmlns:xsi="http://www.w3.org/2001/XMLSchema-instance" xsi:type="dcterms:W3CDTF">2025-12-21T01:56:27Z</dcterms:modified>
</cp:coreProperties>
</file>